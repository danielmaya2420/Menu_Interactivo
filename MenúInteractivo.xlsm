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22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663c10fbb3ba00/Documentos/VidsYoutubeTkTk/MenúInteractivo/"/>
    </mc:Choice>
  </mc:AlternateContent>
  <xr:revisionPtr revIDLastSave="407" documentId="8_{B2DB6485-5502-4E9A-8108-21D8A4D4783F}" xr6:coauthVersionLast="47" xr6:coauthVersionMax="47" xr10:uidLastSave="{692E9E22-9013-495D-82F6-1FE1BD9FF631}"/>
  <bookViews>
    <workbookView xWindow="-108" yWindow="-108" windowWidth="23256" windowHeight="12456" firstSheet="1" activeTab="1" xr2:uid="{3E6CBA7A-E202-464E-B0D4-AA90F4081C74}"/>
  </bookViews>
  <sheets>
    <sheet name="ConsultaFiltro" sheetId="2" state="hidden" r:id="rId1"/>
    <sheet name="BaseDeDatos" sheetId="1" r:id="rId2"/>
    <sheet name="TablaDinamica" sheetId="3" state="hidden" r:id="rId3"/>
    <sheet name="TablaFormato" sheetId="4" state="hidden" r:id="rId4"/>
  </sheets>
  <definedNames>
    <definedName name="_xlnm._FilterDatabase" localSheetId="1" hidden="1">BaseDeDatos!$C$1:$N$2422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7" i="4" l="1"/>
  <c r="N27" i="4" s="1"/>
  <c r="K26" i="4"/>
  <c r="N26" i="4" s="1"/>
  <c r="K25" i="4"/>
  <c r="N25" i="4" s="1"/>
  <c r="K24" i="4"/>
  <c r="N24" i="4" s="1"/>
  <c r="K23" i="4"/>
  <c r="N23" i="4" s="1"/>
  <c r="K22" i="4"/>
  <c r="N22" i="4" s="1"/>
  <c r="K21" i="4"/>
  <c r="N21" i="4" s="1"/>
  <c r="K20" i="4"/>
  <c r="N20" i="4" s="1"/>
  <c r="K19" i="4"/>
  <c r="N19" i="4" s="1"/>
  <c r="K18" i="4"/>
  <c r="N18" i="4" s="1"/>
  <c r="K17" i="4"/>
  <c r="N17" i="4" s="1"/>
  <c r="K16" i="4"/>
  <c r="N16" i="4" s="1"/>
  <c r="K15" i="4"/>
  <c r="N15" i="4" s="1"/>
  <c r="K14" i="4"/>
  <c r="N14" i="4" s="1"/>
  <c r="K13" i="4"/>
  <c r="N13" i="4" s="1"/>
  <c r="K12" i="4"/>
  <c r="N12" i="4" s="1"/>
  <c r="K11" i="4"/>
  <c r="N11" i="4" s="1"/>
  <c r="K10" i="4"/>
  <c r="N10" i="4" s="1"/>
  <c r="K9" i="4"/>
  <c r="N9" i="4" s="1"/>
  <c r="K8" i="4"/>
  <c r="N8" i="4" s="1"/>
  <c r="K7" i="4"/>
  <c r="N7" i="4" s="1"/>
  <c r="K6" i="4"/>
  <c r="N6" i="4" s="1"/>
  <c r="K5" i="4"/>
  <c r="N5" i="4" s="1"/>
  <c r="K4" i="4"/>
  <c r="N4" i="4" s="1"/>
  <c r="K3" i="4"/>
  <c r="N3" i="4" s="1"/>
  <c r="Q1" i="2" a="1"/>
  <c r="Q1" i="2" s="1"/>
  <c r="K3" i="1"/>
  <c r="K4" i="1"/>
  <c r="K5" i="1"/>
  <c r="K6" i="1"/>
  <c r="K7" i="1"/>
  <c r="N7" i="1" s="1"/>
  <c r="K8" i="1"/>
  <c r="K9" i="1"/>
  <c r="N9" i="1" s="1"/>
  <c r="K10" i="1"/>
  <c r="K11" i="1"/>
  <c r="K12" i="1"/>
  <c r="K13" i="1"/>
  <c r="K14" i="1"/>
  <c r="K15" i="1"/>
  <c r="N15" i="1" s="1"/>
  <c r="K16" i="1"/>
  <c r="N16" i="1" s="1"/>
  <c r="K17" i="1"/>
  <c r="N17" i="1" s="1"/>
  <c r="K18" i="1"/>
  <c r="K19" i="1"/>
  <c r="K20" i="1"/>
  <c r="K21" i="1"/>
  <c r="K22" i="1"/>
  <c r="K23" i="1"/>
  <c r="N23" i="1" s="1"/>
  <c r="K24" i="1"/>
  <c r="N24" i="1" s="1"/>
  <c r="K25" i="1"/>
  <c r="N25" i="1" s="1"/>
  <c r="K26" i="1"/>
  <c r="K27" i="1"/>
  <c r="K28" i="1"/>
  <c r="K29" i="1"/>
  <c r="K30" i="1"/>
  <c r="K31" i="1"/>
  <c r="N31" i="1" s="1"/>
  <c r="K32" i="1"/>
  <c r="N32" i="1" s="1"/>
  <c r="K33" i="1"/>
  <c r="N33" i="1" s="1"/>
  <c r="K34" i="1"/>
  <c r="K35" i="1"/>
  <c r="K36" i="1"/>
  <c r="K37" i="1"/>
  <c r="K38" i="1"/>
  <c r="K39" i="1"/>
  <c r="N39" i="1" s="1"/>
  <c r="K40" i="1"/>
  <c r="N40" i="1" s="1"/>
  <c r="K41" i="1"/>
  <c r="N41" i="1" s="1"/>
  <c r="K42" i="1"/>
  <c r="K43" i="1"/>
  <c r="K44" i="1"/>
  <c r="K45" i="1"/>
  <c r="K46" i="1"/>
  <c r="K47" i="1"/>
  <c r="N47" i="1" s="1"/>
  <c r="K48" i="1"/>
  <c r="N48" i="1" s="1"/>
  <c r="K49" i="1"/>
  <c r="N49" i="1" s="1"/>
  <c r="K50" i="1"/>
  <c r="K51" i="1"/>
  <c r="K52" i="1"/>
  <c r="K53" i="1"/>
  <c r="K54" i="1"/>
  <c r="K55" i="1"/>
  <c r="N55" i="1" s="1"/>
  <c r="K56" i="1"/>
  <c r="N56" i="1" s="1"/>
  <c r="K57" i="1"/>
  <c r="N57" i="1" s="1"/>
  <c r="K58" i="1"/>
  <c r="K59" i="1"/>
  <c r="K60" i="1"/>
  <c r="K61" i="1"/>
  <c r="K62" i="1"/>
  <c r="K63" i="1"/>
  <c r="N63" i="1" s="1"/>
  <c r="K64" i="1"/>
  <c r="N64" i="1" s="1"/>
  <c r="K65" i="1"/>
  <c r="N65" i="1" s="1"/>
  <c r="K66" i="1"/>
  <c r="K67" i="1"/>
  <c r="K68" i="1"/>
  <c r="K69" i="1"/>
  <c r="K70" i="1"/>
  <c r="K71" i="1"/>
  <c r="N71" i="1" s="1"/>
  <c r="K72" i="1"/>
  <c r="N72" i="1" s="1"/>
  <c r="K73" i="1"/>
  <c r="N73" i="1" s="1"/>
  <c r="K74" i="1"/>
  <c r="K75" i="1"/>
  <c r="K76" i="1"/>
  <c r="K77" i="1"/>
  <c r="K78" i="1"/>
  <c r="K79" i="1"/>
  <c r="N79" i="1" s="1"/>
  <c r="K80" i="1"/>
  <c r="N80" i="1" s="1"/>
  <c r="K81" i="1"/>
  <c r="N81" i="1" s="1"/>
  <c r="K82" i="1"/>
  <c r="K83" i="1"/>
  <c r="K84" i="1"/>
  <c r="K85" i="1"/>
  <c r="K86" i="1"/>
  <c r="K87" i="1"/>
  <c r="N87" i="1" s="1"/>
  <c r="K88" i="1"/>
  <c r="N88" i="1" s="1"/>
  <c r="K89" i="1"/>
  <c r="N89" i="1" s="1"/>
  <c r="K90" i="1"/>
  <c r="K91" i="1"/>
  <c r="K92" i="1"/>
  <c r="K93" i="1"/>
  <c r="K94" i="1"/>
  <c r="K95" i="1"/>
  <c r="N95" i="1" s="1"/>
  <c r="K96" i="1"/>
  <c r="N96" i="1" s="1"/>
  <c r="K97" i="1"/>
  <c r="N97" i="1" s="1"/>
  <c r="K98" i="1"/>
  <c r="K99" i="1"/>
  <c r="K100" i="1"/>
  <c r="K101" i="1"/>
  <c r="K102" i="1"/>
  <c r="K103" i="1"/>
  <c r="N103" i="1" s="1"/>
  <c r="K104" i="1"/>
  <c r="N104" i="1" s="1"/>
  <c r="K105" i="1"/>
  <c r="N105" i="1" s="1"/>
  <c r="K106" i="1"/>
  <c r="K107" i="1"/>
  <c r="K108" i="1"/>
  <c r="K109" i="1"/>
  <c r="K110" i="1"/>
  <c r="K111" i="1"/>
  <c r="N111" i="1" s="1"/>
  <c r="K112" i="1"/>
  <c r="N112" i="1" s="1"/>
  <c r="K113" i="1"/>
  <c r="N113" i="1" s="1"/>
  <c r="K114" i="1"/>
  <c r="K115" i="1"/>
  <c r="K116" i="1"/>
  <c r="K117" i="1"/>
  <c r="K118" i="1"/>
  <c r="K119" i="1"/>
  <c r="N119" i="1" s="1"/>
  <c r="K120" i="1"/>
  <c r="N120" i="1" s="1"/>
  <c r="K121" i="1"/>
  <c r="N121" i="1" s="1"/>
  <c r="K122" i="1"/>
  <c r="K123" i="1"/>
  <c r="K124" i="1"/>
  <c r="K125" i="1"/>
  <c r="K126" i="1"/>
  <c r="K127" i="1"/>
  <c r="N127" i="1" s="1"/>
  <c r="K128" i="1"/>
  <c r="N128" i="1" s="1"/>
  <c r="K129" i="1"/>
  <c r="N129" i="1" s="1"/>
  <c r="K130" i="1"/>
  <c r="K131" i="1"/>
  <c r="K132" i="1"/>
  <c r="K133" i="1"/>
  <c r="K134" i="1"/>
  <c r="K135" i="1"/>
  <c r="N135" i="1" s="1"/>
  <c r="K136" i="1"/>
  <c r="N136" i="1" s="1"/>
  <c r="K137" i="1"/>
  <c r="N137" i="1" s="1"/>
  <c r="K138" i="1"/>
  <c r="K139" i="1"/>
  <c r="K140" i="1"/>
  <c r="K141" i="1"/>
  <c r="K142" i="1"/>
  <c r="K143" i="1"/>
  <c r="N143" i="1" s="1"/>
  <c r="K144" i="1"/>
  <c r="N144" i="1" s="1"/>
  <c r="K145" i="1"/>
  <c r="N145" i="1" s="1"/>
  <c r="K146" i="1"/>
  <c r="K147" i="1"/>
  <c r="K148" i="1"/>
  <c r="K149" i="1"/>
  <c r="K150" i="1"/>
  <c r="K151" i="1"/>
  <c r="N151" i="1" s="1"/>
  <c r="K152" i="1"/>
  <c r="N152" i="1" s="1"/>
  <c r="K153" i="1"/>
  <c r="N153" i="1" s="1"/>
  <c r="K154" i="1"/>
  <c r="K155" i="1"/>
  <c r="K156" i="1"/>
  <c r="K157" i="1"/>
  <c r="K158" i="1"/>
  <c r="K159" i="1"/>
  <c r="N159" i="1" s="1"/>
  <c r="K160" i="1"/>
  <c r="N160" i="1" s="1"/>
  <c r="K161" i="1"/>
  <c r="N161" i="1" s="1"/>
  <c r="K162" i="1"/>
  <c r="K163" i="1"/>
  <c r="K164" i="1"/>
  <c r="K165" i="1"/>
  <c r="K166" i="1"/>
  <c r="K167" i="1"/>
  <c r="N167" i="1" s="1"/>
  <c r="K168" i="1"/>
  <c r="N168" i="1" s="1"/>
  <c r="K169" i="1"/>
  <c r="N169" i="1" s="1"/>
  <c r="K170" i="1"/>
  <c r="K171" i="1"/>
  <c r="K172" i="1"/>
  <c r="K173" i="1"/>
  <c r="K174" i="1"/>
  <c r="K175" i="1"/>
  <c r="N175" i="1" s="1"/>
  <c r="K176" i="1"/>
  <c r="N176" i="1" s="1"/>
  <c r="K177" i="1"/>
  <c r="N177" i="1" s="1"/>
  <c r="K178" i="1"/>
  <c r="K179" i="1"/>
  <c r="K180" i="1"/>
  <c r="K181" i="1"/>
  <c r="K182" i="1"/>
  <c r="K183" i="1"/>
  <c r="N183" i="1" s="1"/>
  <c r="K184" i="1"/>
  <c r="N184" i="1" s="1"/>
  <c r="K185" i="1"/>
  <c r="N185" i="1" s="1"/>
  <c r="K186" i="1"/>
  <c r="K187" i="1"/>
  <c r="K188" i="1"/>
  <c r="K189" i="1"/>
  <c r="K190" i="1"/>
  <c r="K191" i="1"/>
  <c r="N191" i="1" s="1"/>
  <c r="K192" i="1"/>
  <c r="N192" i="1" s="1"/>
  <c r="K193" i="1"/>
  <c r="N193" i="1" s="1"/>
  <c r="K194" i="1"/>
  <c r="K195" i="1"/>
  <c r="K196" i="1"/>
  <c r="K197" i="1"/>
  <c r="K198" i="1"/>
  <c r="K199" i="1"/>
  <c r="N199" i="1" s="1"/>
  <c r="K200" i="1"/>
  <c r="N200" i="1" s="1"/>
  <c r="K201" i="1"/>
  <c r="N201" i="1" s="1"/>
  <c r="K202" i="1"/>
  <c r="K203" i="1"/>
  <c r="K204" i="1"/>
  <c r="K205" i="1"/>
  <c r="K206" i="1"/>
  <c r="K207" i="1"/>
  <c r="N207" i="1" s="1"/>
  <c r="K208" i="1"/>
  <c r="N208" i="1" s="1"/>
  <c r="K209" i="1"/>
  <c r="N209" i="1" s="1"/>
  <c r="K210" i="1"/>
  <c r="K211" i="1"/>
  <c r="K212" i="1"/>
  <c r="K213" i="1"/>
  <c r="K214" i="1"/>
  <c r="K215" i="1"/>
  <c r="N215" i="1" s="1"/>
  <c r="K216" i="1"/>
  <c r="N216" i="1" s="1"/>
  <c r="K217" i="1"/>
  <c r="N217" i="1" s="1"/>
  <c r="K218" i="1"/>
  <c r="K219" i="1"/>
  <c r="K220" i="1"/>
  <c r="K221" i="1"/>
  <c r="K222" i="1"/>
  <c r="K223" i="1"/>
  <c r="N223" i="1" s="1"/>
  <c r="K224" i="1"/>
  <c r="N224" i="1" s="1"/>
  <c r="K225" i="1"/>
  <c r="N225" i="1" s="1"/>
  <c r="K226" i="1"/>
  <c r="K227" i="1"/>
  <c r="K228" i="1"/>
  <c r="K229" i="1"/>
  <c r="K230" i="1"/>
  <c r="K231" i="1"/>
  <c r="N231" i="1" s="1"/>
  <c r="K232" i="1"/>
  <c r="N232" i="1" s="1"/>
  <c r="K233" i="1"/>
  <c r="N233" i="1" s="1"/>
  <c r="K234" i="1"/>
  <c r="K235" i="1"/>
  <c r="K236" i="1"/>
  <c r="K237" i="1"/>
  <c r="K238" i="1"/>
  <c r="K239" i="1"/>
  <c r="N239" i="1" s="1"/>
  <c r="K240" i="1"/>
  <c r="N240" i="1" s="1"/>
  <c r="K241" i="1"/>
  <c r="N241" i="1" s="1"/>
  <c r="K242" i="1"/>
  <c r="K243" i="1"/>
  <c r="K244" i="1"/>
  <c r="K245" i="1"/>
  <c r="K246" i="1"/>
  <c r="K247" i="1"/>
  <c r="N247" i="1" s="1"/>
  <c r="K248" i="1"/>
  <c r="N248" i="1" s="1"/>
  <c r="K249" i="1"/>
  <c r="N249" i="1" s="1"/>
  <c r="K250" i="1"/>
  <c r="K251" i="1"/>
  <c r="K252" i="1"/>
  <c r="K253" i="1"/>
  <c r="K254" i="1"/>
  <c r="K255" i="1"/>
  <c r="K256" i="1"/>
  <c r="N256" i="1" s="1"/>
  <c r="K257" i="1"/>
  <c r="N257" i="1" s="1"/>
  <c r="K258" i="1"/>
  <c r="K259" i="1"/>
  <c r="K260" i="1"/>
  <c r="K261" i="1"/>
  <c r="K262" i="1"/>
  <c r="K263" i="1"/>
  <c r="N263" i="1" s="1"/>
  <c r="K264" i="1"/>
  <c r="N264" i="1" s="1"/>
  <c r="K265" i="1"/>
  <c r="N265" i="1" s="1"/>
  <c r="K266" i="1"/>
  <c r="K267" i="1"/>
  <c r="K268" i="1"/>
  <c r="K269" i="1"/>
  <c r="K270" i="1"/>
  <c r="K271" i="1"/>
  <c r="N271" i="1" s="1"/>
  <c r="K272" i="1"/>
  <c r="N272" i="1" s="1"/>
  <c r="K273" i="1"/>
  <c r="N273" i="1" s="1"/>
  <c r="K274" i="1"/>
  <c r="K275" i="1"/>
  <c r="K276" i="1"/>
  <c r="K277" i="1"/>
  <c r="K278" i="1"/>
  <c r="K279" i="1"/>
  <c r="N279" i="1" s="1"/>
  <c r="K280" i="1"/>
  <c r="N280" i="1" s="1"/>
  <c r="K281" i="1"/>
  <c r="N281" i="1" s="1"/>
  <c r="K282" i="1"/>
  <c r="K283" i="1"/>
  <c r="K284" i="1"/>
  <c r="K285" i="1"/>
  <c r="K286" i="1"/>
  <c r="K287" i="1"/>
  <c r="N287" i="1" s="1"/>
  <c r="K288" i="1"/>
  <c r="N288" i="1" s="1"/>
  <c r="K289" i="1"/>
  <c r="N289" i="1" s="1"/>
  <c r="K290" i="1"/>
  <c r="K291" i="1"/>
  <c r="K292" i="1"/>
  <c r="K293" i="1"/>
  <c r="K294" i="1"/>
  <c r="K295" i="1"/>
  <c r="N295" i="1" s="1"/>
  <c r="K296" i="1"/>
  <c r="N296" i="1" s="1"/>
  <c r="K297" i="1"/>
  <c r="N297" i="1" s="1"/>
  <c r="K298" i="1"/>
  <c r="K299" i="1"/>
  <c r="K300" i="1"/>
  <c r="K301" i="1"/>
  <c r="K302" i="1"/>
  <c r="K303" i="1"/>
  <c r="N303" i="1" s="1"/>
  <c r="K304" i="1"/>
  <c r="N304" i="1" s="1"/>
  <c r="K305" i="1"/>
  <c r="N305" i="1" s="1"/>
  <c r="K306" i="1"/>
  <c r="K307" i="1"/>
  <c r="K308" i="1"/>
  <c r="K309" i="1"/>
  <c r="K310" i="1"/>
  <c r="K311" i="1"/>
  <c r="N311" i="1" s="1"/>
  <c r="K312" i="1"/>
  <c r="N312" i="1" s="1"/>
  <c r="K313" i="1"/>
  <c r="N313" i="1" s="1"/>
  <c r="K314" i="1"/>
  <c r="K315" i="1"/>
  <c r="K316" i="1"/>
  <c r="K317" i="1"/>
  <c r="K318" i="1"/>
  <c r="K319" i="1"/>
  <c r="N319" i="1" s="1"/>
  <c r="K320" i="1"/>
  <c r="N320" i="1" s="1"/>
  <c r="K321" i="1"/>
  <c r="N321" i="1" s="1"/>
  <c r="K322" i="1"/>
  <c r="K323" i="1"/>
  <c r="K324" i="1"/>
  <c r="K325" i="1"/>
  <c r="K326" i="1"/>
  <c r="K327" i="1"/>
  <c r="N327" i="1" s="1"/>
  <c r="K328" i="1"/>
  <c r="N328" i="1" s="1"/>
  <c r="K329" i="1"/>
  <c r="N329" i="1" s="1"/>
  <c r="K330" i="1"/>
  <c r="K331" i="1"/>
  <c r="K332" i="1"/>
  <c r="K333" i="1"/>
  <c r="K334" i="1"/>
  <c r="K335" i="1"/>
  <c r="N335" i="1" s="1"/>
  <c r="K336" i="1"/>
  <c r="N336" i="1" s="1"/>
  <c r="K337" i="1"/>
  <c r="N337" i="1" s="1"/>
  <c r="K338" i="1"/>
  <c r="K339" i="1"/>
  <c r="K340" i="1"/>
  <c r="K341" i="1"/>
  <c r="K342" i="1"/>
  <c r="K343" i="1"/>
  <c r="N343" i="1" s="1"/>
  <c r="K344" i="1"/>
  <c r="N344" i="1" s="1"/>
  <c r="K345" i="1"/>
  <c r="N345" i="1" s="1"/>
  <c r="K346" i="1"/>
  <c r="K347" i="1"/>
  <c r="K348" i="1"/>
  <c r="K349" i="1"/>
  <c r="K350" i="1"/>
  <c r="K351" i="1"/>
  <c r="N351" i="1" s="1"/>
  <c r="K352" i="1"/>
  <c r="N352" i="1" s="1"/>
  <c r="K353" i="1"/>
  <c r="N353" i="1" s="1"/>
  <c r="K354" i="1"/>
  <c r="K355" i="1"/>
  <c r="K356" i="1"/>
  <c r="K357" i="1"/>
  <c r="K358" i="1"/>
  <c r="K359" i="1"/>
  <c r="N359" i="1" s="1"/>
  <c r="K360" i="1"/>
  <c r="N360" i="1" s="1"/>
  <c r="K361" i="1"/>
  <c r="N361" i="1" s="1"/>
  <c r="K362" i="1"/>
  <c r="K363" i="1"/>
  <c r="K364" i="1"/>
  <c r="K365" i="1"/>
  <c r="K366" i="1"/>
  <c r="K367" i="1"/>
  <c r="N367" i="1" s="1"/>
  <c r="K368" i="1"/>
  <c r="N368" i="1" s="1"/>
  <c r="K369" i="1"/>
  <c r="N369" i="1" s="1"/>
  <c r="K370" i="1"/>
  <c r="K371" i="1"/>
  <c r="K372" i="1"/>
  <c r="K373" i="1"/>
  <c r="K374" i="1"/>
  <c r="K375" i="1"/>
  <c r="N375" i="1" s="1"/>
  <c r="K376" i="1"/>
  <c r="N376" i="1" s="1"/>
  <c r="K377" i="1"/>
  <c r="N377" i="1" s="1"/>
  <c r="K378" i="1"/>
  <c r="K379" i="1"/>
  <c r="K380" i="1"/>
  <c r="K381" i="1"/>
  <c r="K382" i="1"/>
  <c r="K383" i="1"/>
  <c r="N383" i="1" s="1"/>
  <c r="K384" i="1"/>
  <c r="N384" i="1" s="1"/>
  <c r="K385" i="1"/>
  <c r="N385" i="1" s="1"/>
  <c r="K386" i="1"/>
  <c r="K387" i="1"/>
  <c r="K388" i="1"/>
  <c r="K389" i="1"/>
  <c r="K390" i="1"/>
  <c r="K391" i="1"/>
  <c r="N391" i="1" s="1"/>
  <c r="K392" i="1"/>
  <c r="N392" i="1" s="1"/>
  <c r="K393" i="1"/>
  <c r="N393" i="1" s="1"/>
  <c r="K394" i="1"/>
  <c r="K395" i="1"/>
  <c r="K396" i="1"/>
  <c r="K397" i="1"/>
  <c r="K398" i="1"/>
  <c r="K399" i="1"/>
  <c r="N399" i="1" s="1"/>
  <c r="K400" i="1"/>
  <c r="N400" i="1" s="1"/>
  <c r="K401" i="1"/>
  <c r="N401" i="1" s="1"/>
  <c r="K402" i="1"/>
  <c r="K403" i="1"/>
  <c r="K404" i="1"/>
  <c r="K405" i="1"/>
  <c r="K406" i="1"/>
  <c r="K407" i="1"/>
  <c r="N407" i="1" s="1"/>
  <c r="K408" i="1"/>
  <c r="N408" i="1" s="1"/>
  <c r="K409" i="1"/>
  <c r="N409" i="1" s="1"/>
  <c r="K410" i="1"/>
  <c r="K411" i="1"/>
  <c r="K412" i="1"/>
  <c r="K413" i="1"/>
  <c r="K414" i="1"/>
  <c r="K415" i="1"/>
  <c r="N415" i="1" s="1"/>
  <c r="K416" i="1"/>
  <c r="N416" i="1" s="1"/>
  <c r="K417" i="1"/>
  <c r="N417" i="1" s="1"/>
  <c r="K418" i="1"/>
  <c r="K419" i="1"/>
  <c r="K420" i="1"/>
  <c r="K421" i="1"/>
  <c r="K422" i="1"/>
  <c r="K423" i="1"/>
  <c r="N423" i="1" s="1"/>
  <c r="K424" i="1"/>
  <c r="N424" i="1" s="1"/>
  <c r="K425" i="1"/>
  <c r="N425" i="1" s="1"/>
  <c r="K426" i="1"/>
  <c r="K427" i="1"/>
  <c r="K428" i="1"/>
  <c r="K429" i="1"/>
  <c r="K430" i="1"/>
  <c r="K431" i="1"/>
  <c r="N431" i="1" s="1"/>
  <c r="K432" i="1"/>
  <c r="N432" i="1" s="1"/>
  <c r="K433" i="1"/>
  <c r="N433" i="1" s="1"/>
  <c r="K434" i="1"/>
  <c r="K435" i="1"/>
  <c r="K436" i="1"/>
  <c r="K437" i="1"/>
  <c r="K438" i="1"/>
  <c r="K439" i="1"/>
  <c r="N439" i="1" s="1"/>
  <c r="K440" i="1"/>
  <c r="N440" i="1" s="1"/>
  <c r="K441" i="1"/>
  <c r="N441" i="1" s="1"/>
  <c r="K442" i="1"/>
  <c r="K443" i="1"/>
  <c r="K444" i="1"/>
  <c r="K445" i="1"/>
  <c r="K446" i="1"/>
  <c r="K447" i="1"/>
  <c r="N447" i="1" s="1"/>
  <c r="K448" i="1"/>
  <c r="N448" i="1" s="1"/>
  <c r="K449" i="1"/>
  <c r="N449" i="1" s="1"/>
  <c r="K450" i="1"/>
  <c r="K451" i="1"/>
  <c r="K452" i="1"/>
  <c r="K453" i="1"/>
  <c r="K454" i="1"/>
  <c r="K455" i="1"/>
  <c r="N455" i="1" s="1"/>
  <c r="K456" i="1"/>
  <c r="N456" i="1" s="1"/>
  <c r="K457" i="1"/>
  <c r="N457" i="1" s="1"/>
  <c r="K458" i="1"/>
  <c r="K459" i="1"/>
  <c r="K460" i="1"/>
  <c r="K461" i="1"/>
  <c r="K462" i="1"/>
  <c r="K463" i="1"/>
  <c r="N463" i="1" s="1"/>
  <c r="K464" i="1"/>
  <c r="N464" i="1" s="1"/>
  <c r="K465" i="1"/>
  <c r="N465" i="1" s="1"/>
  <c r="K466" i="1"/>
  <c r="K467" i="1"/>
  <c r="K468" i="1"/>
  <c r="K469" i="1"/>
  <c r="K470" i="1"/>
  <c r="K471" i="1"/>
  <c r="N471" i="1" s="1"/>
  <c r="K472" i="1"/>
  <c r="N472" i="1" s="1"/>
  <c r="K473" i="1"/>
  <c r="N473" i="1" s="1"/>
  <c r="K474" i="1"/>
  <c r="K475" i="1"/>
  <c r="K476" i="1"/>
  <c r="K477" i="1"/>
  <c r="K478" i="1"/>
  <c r="K479" i="1"/>
  <c r="N479" i="1" s="1"/>
  <c r="K480" i="1"/>
  <c r="K481" i="1"/>
  <c r="N481" i="1" s="1"/>
  <c r="K482" i="1"/>
  <c r="K483" i="1"/>
  <c r="K484" i="1"/>
  <c r="K485" i="1"/>
  <c r="K486" i="1"/>
  <c r="K487" i="1"/>
  <c r="N487" i="1" s="1"/>
  <c r="K488" i="1"/>
  <c r="N488" i="1" s="1"/>
  <c r="K489" i="1"/>
  <c r="N489" i="1" s="1"/>
  <c r="K490" i="1"/>
  <c r="K491" i="1"/>
  <c r="K492" i="1"/>
  <c r="K493" i="1"/>
  <c r="K494" i="1"/>
  <c r="K495" i="1"/>
  <c r="K496" i="1"/>
  <c r="N496" i="1" s="1"/>
  <c r="K497" i="1"/>
  <c r="N497" i="1" s="1"/>
  <c r="K498" i="1"/>
  <c r="K499" i="1"/>
  <c r="K500" i="1"/>
  <c r="K501" i="1"/>
  <c r="K502" i="1"/>
  <c r="K503" i="1"/>
  <c r="N503" i="1" s="1"/>
  <c r="K504" i="1"/>
  <c r="N504" i="1" s="1"/>
  <c r="K505" i="1"/>
  <c r="N505" i="1" s="1"/>
  <c r="K506" i="1"/>
  <c r="K507" i="1"/>
  <c r="K508" i="1"/>
  <c r="K509" i="1"/>
  <c r="K510" i="1"/>
  <c r="K511" i="1"/>
  <c r="N511" i="1" s="1"/>
  <c r="K512" i="1"/>
  <c r="N512" i="1" s="1"/>
  <c r="K513" i="1"/>
  <c r="N513" i="1" s="1"/>
  <c r="K514" i="1"/>
  <c r="K515" i="1"/>
  <c r="K516" i="1"/>
  <c r="K517" i="1"/>
  <c r="K518" i="1"/>
  <c r="K519" i="1"/>
  <c r="N519" i="1" s="1"/>
  <c r="K520" i="1"/>
  <c r="N520" i="1" s="1"/>
  <c r="K521" i="1"/>
  <c r="N521" i="1" s="1"/>
  <c r="K522" i="1"/>
  <c r="K523" i="1"/>
  <c r="K524" i="1"/>
  <c r="K525" i="1"/>
  <c r="K526" i="1"/>
  <c r="K527" i="1"/>
  <c r="N527" i="1" s="1"/>
  <c r="K528" i="1"/>
  <c r="N528" i="1" s="1"/>
  <c r="K529" i="1"/>
  <c r="N529" i="1" s="1"/>
  <c r="K530" i="1"/>
  <c r="K531" i="1"/>
  <c r="K532" i="1"/>
  <c r="K533" i="1"/>
  <c r="K534" i="1"/>
  <c r="K535" i="1"/>
  <c r="N535" i="1" s="1"/>
  <c r="K536" i="1"/>
  <c r="K537" i="1"/>
  <c r="N537" i="1" s="1"/>
  <c r="K538" i="1"/>
  <c r="K539" i="1"/>
  <c r="K540" i="1"/>
  <c r="K541" i="1"/>
  <c r="K542" i="1"/>
  <c r="K543" i="1"/>
  <c r="N543" i="1" s="1"/>
  <c r="K544" i="1"/>
  <c r="N544" i="1" s="1"/>
  <c r="K545" i="1"/>
  <c r="N545" i="1" s="1"/>
  <c r="K546" i="1"/>
  <c r="K547" i="1"/>
  <c r="K548" i="1"/>
  <c r="K549" i="1"/>
  <c r="K550" i="1"/>
  <c r="K551" i="1"/>
  <c r="K552" i="1"/>
  <c r="N552" i="1" s="1"/>
  <c r="K553" i="1"/>
  <c r="N553" i="1" s="1"/>
  <c r="K554" i="1"/>
  <c r="K555" i="1"/>
  <c r="K556" i="1"/>
  <c r="K557" i="1"/>
  <c r="K558" i="1"/>
  <c r="K559" i="1"/>
  <c r="N559" i="1" s="1"/>
  <c r="K560" i="1"/>
  <c r="N560" i="1" s="1"/>
  <c r="K561" i="1"/>
  <c r="N561" i="1" s="1"/>
  <c r="K562" i="1"/>
  <c r="K563" i="1"/>
  <c r="K564" i="1"/>
  <c r="K565" i="1"/>
  <c r="K566" i="1"/>
  <c r="K567" i="1"/>
  <c r="N567" i="1" s="1"/>
  <c r="K568" i="1"/>
  <c r="N568" i="1" s="1"/>
  <c r="K569" i="1"/>
  <c r="N569" i="1" s="1"/>
  <c r="K570" i="1"/>
  <c r="K571" i="1"/>
  <c r="K572" i="1"/>
  <c r="K573" i="1"/>
  <c r="K574" i="1"/>
  <c r="K575" i="1"/>
  <c r="N575" i="1" s="1"/>
  <c r="K576" i="1"/>
  <c r="N576" i="1" s="1"/>
  <c r="K577" i="1"/>
  <c r="N577" i="1" s="1"/>
  <c r="K578" i="1"/>
  <c r="K579" i="1"/>
  <c r="K580" i="1"/>
  <c r="K581" i="1"/>
  <c r="K582" i="1"/>
  <c r="K583" i="1"/>
  <c r="N583" i="1" s="1"/>
  <c r="K584" i="1"/>
  <c r="N584" i="1" s="1"/>
  <c r="K585" i="1"/>
  <c r="N585" i="1" s="1"/>
  <c r="K586" i="1"/>
  <c r="K587" i="1"/>
  <c r="K588" i="1"/>
  <c r="K589" i="1"/>
  <c r="K590" i="1"/>
  <c r="K591" i="1"/>
  <c r="N591" i="1" s="1"/>
  <c r="K592" i="1"/>
  <c r="N592" i="1" s="1"/>
  <c r="K593" i="1"/>
  <c r="N593" i="1" s="1"/>
  <c r="K594" i="1"/>
  <c r="K595" i="1"/>
  <c r="K596" i="1"/>
  <c r="K597" i="1"/>
  <c r="K598" i="1"/>
  <c r="K599" i="1"/>
  <c r="N599" i="1" s="1"/>
  <c r="K600" i="1"/>
  <c r="K601" i="1"/>
  <c r="N601" i="1" s="1"/>
  <c r="K602" i="1"/>
  <c r="K603" i="1"/>
  <c r="K604" i="1"/>
  <c r="K605" i="1"/>
  <c r="K606" i="1"/>
  <c r="K607" i="1"/>
  <c r="N607" i="1" s="1"/>
  <c r="K608" i="1"/>
  <c r="N608" i="1" s="1"/>
  <c r="K609" i="1"/>
  <c r="N609" i="1" s="1"/>
  <c r="K610" i="1"/>
  <c r="K611" i="1"/>
  <c r="K612" i="1"/>
  <c r="K613" i="1"/>
  <c r="K614" i="1"/>
  <c r="K615" i="1"/>
  <c r="N615" i="1" s="1"/>
  <c r="K616" i="1"/>
  <c r="N616" i="1" s="1"/>
  <c r="K617" i="1"/>
  <c r="N617" i="1" s="1"/>
  <c r="K618" i="1"/>
  <c r="K619" i="1"/>
  <c r="K620" i="1"/>
  <c r="K621" i="1"/>
  <c r="K622" i="1"/>
  <c r="K623" i="1"/>
  <c r="N623" i="1" s="1"/>
  <c r="K624" i="1"/>
  <c r="N624" i="1" s="1"/>
  <c r="K625" i="1"/>
  <c r="N625" i="1" s="1"/>
  <c r="K626" i="1"/>
  <c r="K627" i="1"/>
  <c r="K628" i="1"/>
  <c r="K629" i="1"/>
  <c r="K630" i="1"/>
  <c r="K631" i="1"/>
  <c r="N631" i="1" s="1"/>
  <c r="K632" i="1"/>
  <c r="N632" i="1" s="1"/>
  <c r="K633" i="1"/>
  <c r="N633" i="1" s="1"/>
  <c r="K634" i="1"/>
  <c r="K635" i="1"/>
  <c r="K636" i="1"/>
  <c r="K637" i="1"/>
  <c r="K638" i="1"/>
  <c r="N638" i="1" s="1"/>
  <c r="K639" i="1"/>
  <c r="N639" i="1" s="1"/>
  <c r="K640" i="1"/>
  <c r="N640" i="1" s="1"/>
  <c r="K641" i="1"/>
  <c r="N641" i="1" s="1"/>
  <c r="K642" i="1"/>
  <c r="K643" i="1"/>
  <c r="K644" i="1"/>
  <c r="K645" i="1"/>
  <c r="K646" i="1"/>
  <c r="K647" i="1"/>
  <c r="N647" i="1" s="1"/>
  <c r="K648" i="1"/>
  <c r="N648" i="1" s="1"/>
  <c r="K649" i="1"/>
  <c r="N649" i="1" s="1"/>
  <c r="K650" i="1"/>
  <c r="K651" i="1"/>
  <c r="K652" i="1"/>
  <c r="K653" i="1"/>
  <c r="K654" i="1"/>
  <c r="K655" i="1"/>
  <c r="K656" i="1"/>
  <c r="N656" i="1" s="1"/>
  <c r="K657" i="1"/>
  <c r="N657" i="1" s="1"/>
  <c r="K658" i="1"/>
  <c r="K659" i="1"/>
  <c r="K660" i="1"/>
  <c r="K661" i="1"/>
  <c r="K662" i="1"/>
  <c r="K663" i="1"/>
  <c r="N663" i="1" s="1"/>
  <c r="K664" i="1"/>
  <c r="N664" i="1" s="1"/>
  <c r="K665" i="1"/>
  <c r="N665" i="1" s="1"/>
  <c r="K666" i="1"/>
  <c r="K667" i="1"/>
  <c r="K668" i="1"/>
  <c r="K669" i="1"/>
  <c r="K670" i="1"/>
  <c r="N670" i="1" s="1"/>
  <c r="K671" i="1"/>
  <c r="N671" i="1" s="1"/>
  <c r="K672" i="1"/>
  <c r="K673" i="1"/>
  <c r="N673" i="1" s="1"/>
  <c r="K674" i="1"/>
  <c r="K675" i="1"/>
  <c r="K676" i="1"/>
  <c r="K677" i="1"/>
  <c r="K678" i="1"/>
  <c r="N678" i="1" s="1"/>
  <c r="K679" i="1"/>
  <c r="N679" i="1" s="1"/>
  <c r="K680" i="1"/>
  <c r="N680" i="1" s="1"/>
  <c r="K681" i="1"/>
  <c r="N681" i="1" s="1"/>
  <c r="K682" i="1"/>
  <c r="K683" i="1"/>
  <c r="K684" i="1"/>
  <c r="K685" i="1"/>
  <c r="K686" i="1"/>
  <c r="K687" i="1"/>
  <c r="N687" i="1" s="1"/>
  <c r="K688" i="1"/>
  <c r="N688" i="1" s="1"/>
  <c r="K689" i="1"/>
  <c r="N689" i="1" s="1"/>
  <c r="K690" i="1"/>
  <c r="K691" i="1"/>
  <c r="K692" i="1"/>
  <c r="K693" i="1"/>
  <c r="K694" i="1"/>
  <c r="K695" i="1"/>
  <c r="N695" i="1" s="1"/>
  <c r="K696" i="1"/>
  <c r="N696" i="1" s="1"/>
  <c r="K697" i="1"/>
  <c r="N697" i="1" s="1"/>
  <c r="K698" i="1"/>
  <c r="K699" i="1"/>
  <c r="K700" i="1"/>
  <c r="K701" i="1"/>
  <c r="K702" i="1"/>
  <c r="K703" i="1"/>
  <c r="K704" i="1"/>
  <c r="N704" i="1" s="1"/>
  <c r="K705" i="1"/>
  <c r="N705" i="1" s="1"/>
  <c r="K706" i="1"/>
  <c r="K707" i="1"/>
  <c r="K708" i="1"/>
  <c r="K709" i="1"/>
  <c r="K710" i="1"/>
  <c r="N710" i="1" s="1"/>
  <c r="K711" i="1"/>
  <c r="N711" i="1" s="1"/>
  <c r="K712" i="1"/>
  <c r="N712" i="1" s="1"/>
  <c r="K713" i="1"/>
  <c r="N713" i="1" s="1"/>
  <c r="K714" i="1"/>
  <c r="K715" i="1"/>
  <c r="K716" i="1"/>
  <c r="K717" i="1"/>
  <c r="K718" i="1"/>
  <c r="K719" i="1"/>
  <c r="N719" i="1" s="1"/>
  <c r="K720" i="1"/>
  <c r="N720" i="1" s="1"/>
  <c r="K721" i="1"/>
  <c r="N721" i="1" s="1"/>
  <c r="K722" i="1"/>
  <c r="K723" i="1"/>
  <c r="N723" i="1" s="1"/>
  <c r="K724" i="1"/>
  <c r="K725" i="1"/>
  <c r="K726" i="1"/>
  <c r="K727" i="1"/>
  <c r="N727" i="1" s="1"/>
  <c r="K728" i="1"/>
  <c r="N728" i="1" s="1"/>
  <c r="K729" i="1"/>
  <c r="N729" i="1" s="1"/>
  <c r="K730" i="1"/>
  <c r="K731" i="1"/>
  <c r="K732" i="1"/>
  <c r="K733" i="1"/>
  <c r="K734" i="1"/>
  <c r="N734" i="1" s="1"/>
  <c r="K735" i="1"/>
  <c r="N735" i="1" s="1"/>
  <c r="K736" i="1"/>
  <c r="K737" i="1"/>
  <c r="N737" i="1" s="1"/>
  <c r="K738" i="1"/>
  <c r="K739" i="1"/>
  <c r="N739" i="1" s="1"/>
  <c r="K740" i="1"/>
  <c r="K741" i="1"/>
  <c r="K742" i="1"/>
  <c r="K743" i="1"/>
  <c r="N743" i="1" s="1"/>
  <c r="K744" i="1"/>
  <c r="N744" i="1" s="1"/>
  <c r="K745" i="1"/>
  <c r="N745" i="1" s="1"/>
  <c r="K746" i="1"/>
  <c r="K747" i="1"/>
  <c r="K748" i="1"/>
  <c r="K749" i="1"/>
  <c r="K750" i="1"/>
  <c r="K751" i="1"/>
  <c r="N751" i="1" s="1"/>
  <c r="K752" i="1"/>
  <c r="N752" i="1" s="1"/>
  <c r="K753" i="1"/>
  <c r="N753" i="1" s="1"/>
  <c r="K754" i="1"/>
  <c r="K755" i="1"/>
  <c r="K756" i="1"/>
  <c r="K757" i="1"/>
  <c r="K758" i="1"/>
  <c r="K759" i="1"/>
  <c r="N759" i="1" s="1"/>
  <c r="K760" i="1"/>
  <c r="N760" i="1" s="1"/>
  <c r="K761" i="1"/>
  <c r="N761" i="1" s="1"/>
  <c r="K762" i="1"/>
  <c r="K763" i="1"/>
  <c r="N763" i="1" s="1"/>
  <c r="K764" i="1"/>
  <c r="K765" i="1"/>
  <c r="K766" i="1"/>
  <c r="N766" i="1" s="1"/>
  <c r="K767" i="1"/>
  <c r="N767" i="1" s="1"/>
  <c r="K768" i="1"/>
  <c r="N768" i="1" s="1"/>
  <c r="K769" i="1"/>
  <c r="N769" i="1" s="1"/>
  <c r="K770" i="1"/>
  <c r="K771" i="1"/>
  <c r="N771" i="1" s="1"/>
  <c r="K772" i="1"/>
  <c r="K773" i="1"/>
  <c r="K774" i="1"/>
  <c r="K775" i="1"/>
  <c r="N775" i="1" s="1"/>
  <c r="K776" i="1"/>
  <c r="N776" i="1" s="1"/>
  <c r="K777" i="1"/>
  <c r="N777" i="1" s="1"/>
  <c r="K778" i="1"/>
  <c r="K779" i="1"/>
  <c r="K780" i="1"/>
  <c r="K781" i="1"/>
  <c r="K782" i="1"/>
  <c r="K783" i="1"/>
  <c r="N783" i="1" s="1"/>
  <c r="K784" i="1"/>
  <c r="N784" i="1" s="1"/>
  <c r="K785" i="1"/>
  <c r="N785" i="1" s="1"/>
  <c r="K786" i="1"/>
  <c r="K787" i="1"/>
  <c r="K788" i="1"/>
  <c r="K789" i="1"/>
  <c r="K790" i="1"/>
  <c r="N790" i="1" s="1"/>
  <c r="K791" i="1"/>
  <c r="N791" i="1" s="1"/>
  <c r="K792" i="1"/>
  <c r="K793" i="1"/>
  <c r="N793" i="1" s="1"/>
  <c r="K794" i="1"/>
  <c r="K795" i="1"/>
  <c r="K796" i="1"/>
  <c r="K797" i="1"/>
  <c r="K798" i="1"/>
  <c r="N798" i="1" s="1"/>
  <c r="K799" i="1"/>
  <c r="N799" i="1" s="1"/>
  <c r="K800" i="1"/>
  <c r="N800" i="1" s="1"/>
  <c r="K801" i="1"/>
  <c r="N801" i="1" s="1"/>
  <c r="K802" i="1"/>
  <c r="K803" i="1"/>
  <c r="N803" i="1" s="1"/>
  <c r="K804" i="1"/>
  <c r="K805" i="1"/>
  <c r="K806" i="1"/>
  <c r="K807" i="1"/>
  <c r="N807" i="1" s="1"/>
  <c r="K808" i="1"/>
  <c r="N808" i="1" s="1"/>
  <c r="K809" i="1"/>
  <c r="N809" i="1" s="1"/>
  <c r="K810" i="1"/>
  <c r="K811" i="1"/>
  <c r="N811" i="1" s="1"/>
  <c r="K812" i="1"/>
  <c r="K813" i="1"/>
  <c r="K814" i="1"/>
  <c r="K815" i="1"/>
  <c r="N815" i="1" s="1"/>
  <c r="K816" i="1"/>
  <c r="N816" i="1" s="1"/>
  <c r="K817" i="1"/>
  <c r="N817" i="1" s="1"/>
  <c r="K818" i="1"/>
  <c r="K819" i="1"/>
  <c r="K820" i="1"/>
  <c r="K821" i="1"/>
  <c r="K822" i="1"/>
  <c r="N822" i="1" s="1"/>
  <c r="K823" i="1"/>
  <c r="N823" i="1" s="1"/>
  <c r="K824" i="1"/>
  <c r="N824" i="1" s="1"/>
  <c r="K825" i="1"/>
  <c r="N825" i="1" s="1"/>
  <c r="K826" i="1"/>
  <c r="K827" i="1"/>
  <c r="K828" i="1"/>
  <c r="K829" i="1"/>
  <c r="K830" i="1"/>
  <c r="K831" i="1"/>
  <c r="N831" i="1" s="1"/>
  <c r="K832" i="1"/>
  <c r="N832" i="1" s="1"/>
  <c r="K833" i="1"/>
  <c r="N833" i="1" s="1"/>
  <c r="K834" i="1"/>
  <c r="N834" i="1" s="1"/>
  <c r="K835" i="1"/>
  <c r="N835" i="1" s="1"/>
  <c r="K836" i="1"/>
  <c r="K837" i="1"/>
  <c r="K838" i="1"/>
  <c r="K839" i="1"/>
  <c r="N839" i="1" s="1"/>
  <c r="K840" i="1"/>
  <c r="N840" i="1" s="1"/>
  <c r="K841" i="1"/>
  <c r="N841" i="1" s="1"/>
  <c r="K842" i="1"/>
  <c r="K843" i="1"/>
  <c r="N843" i="1" s="1"/>
  <c r="K844" i="1"/>
  <c r="K845" i="1"/>
  <c r="K846" i="1"/>
  <c r="N846" i="1" s="1"/>
  <c r="K847" i="1"/>
  <c r="N847" i="1" s="1"/>
  <c r="K848" i="1"/>
  <c r="N848" i="1" s="1"/>
  <c r="K849" i="1"/>
  <c r="N849" i="1" s="1"/>
  <c r="K850" i="1"/>
  <c r="K851" i="1"/>
  <c r="K852" i="1"/>
  <c r="K853" i="1"/>
  <c r="K854" i="1"/>
  <c r="K855" i="1"/>
  <c r="K856" i="1"/>
  <c r="N856" i="1" s="1"/>
  <c r="K857" i="1"/>
  <c r="N857" i="1" s="1"/>
  <c r="K858" i="1"/>
  <c r="N858" i="1" s="1"/>
  <c r="K859" i="1"/>
  <c r="N859" i="1" s="1"/>
  <c r="K860" i="1"/>
  <c r="K861" i="1"/>
  <c r="K862" i="1"/>
  <c r="N862" i="1" s="1"/>
  <c r="K863" i="1"/>
  <c r="N863" i="1" s="1"/>
  <c r="K864" i="1"/>
  <c r="N864" i="1" s="1"/>
  <c r="K865" i="1"/>
  <c r="N865" i="1" s="1"/>
  <c r="K866" i="1"/>
  <c r="K867" i="1"/>
  <c r="K868" i="1"/>
  <c r="K869" i="1"/>
  <c r="K870" i="1"/>
  <c r="N870" i="1" s="1"/>
  <c r="K871" i="1"/>
  <c r="K872" i="1"/>
  <c r="N872" i="1" s="1"/>
  <c r="K873" i="1"/>
  <c r="N873" i="1" s="1"/>
  <c r="K874" i="1"/>
  <c r="K875" i="1"/>
  <c r="N875" i="1" s="1"/>
  <c r="K876" i="1"/>
  <c r="K877" i="1"/>
  <c r="K878" i="1"/>
  <c r="K879" i="1"/>
  <c r="N879" i="1" s="1"/>
  <c r="K880" i="1"/>
  <c r="N880" i="1" s="1"/>
  <c r="K881" i="1"/>
  <c r="N881" i="1" s="1"/>
  <c r="K882" i="1"/>
  <c r="N882" i="1" s="1"/>
  <c r="K883" i="1"/>
  <c r="N883" i="1" s="1"/>
  <c r="K884" i="1"/>
  <c r="K885" i="1"/>
  <c r="K886" i="1"/>
  <c r="N886" i="1" s="1"/>
  <c r="K887" i="1"/>
  <c r="N887" i="1" s="1"/>
  <c r="K888" i="1"/>
  <c r="N888" i="1" s="1"/>
  <c r="K889" i="1"/>
  <c r="N889" i="1" s="1"/>
  <c r="K890" i="1"/>
  <c r="K891" i="1"/>
  <c r="K892" i="1"/>
  <c r="K893" i="1"/>
  <c r="K894" i="1"/>
  <c r="N894" i="1" s="1"/>
  <c r="K895" i="1"/>
  <c r="N895" i="1" s="1"/>
  <c r="K896" i="1"/>
  <c r="N896" i="1" s="1"/>
  <c r="K897" i="1"/>
  <c r="N897" i="1" s="1"/>
  <c r="K898" i="1"/>
  <c r="K899" i="1"/>
  <c r="K900" i="1"/>
  <c r="K901" i="1"/>
  <c r="K902" i="1"/>
  <c r="N902" i="1" s="1"/>
  <c r="K903" i="1"/>
  <c r="N903" i="1" s="1"/>
  <c r="K904" i="1"/>
  <c r="N904" i="1" s="1"/>
  <c r="K905" i="1"/>
  <c r="N905" i="1" s="1"/>
  <c r="K906" i="1"/>
  <c r="K907" i="1"/>
  <c r="N907" i="1" s="1"/>
  <c r="K908" i="1"/>
  <c r="K909" i="1"/>
  <c r="K910" i="1"/>
  <c r="K911" i="1"/>
  <c r="N911" i="1" s="1"/>
  <c r="K912" i="1"/>
  <c r="N912" i="1" s="1"/>
  <c r="K913" i="1"/>
  <c r="N913" i="1" s="1"/>
  <c r="K914" i="1"/>
  <c r="K915" i="1"/>
  <c r="N915" i="1" s="1"/>
  <c r="K916" i="1"/>
  <c r="K917" i="1"/>
  <c r="K918" i="1"/>
  <c r="N918" i="1" s="1"/>
  <c r="K919" i="1"/>
  <c r="N919" i="1" s="1"/>
  <c r="K920" i="1"/>
  <c r="N920" i="1" s="1"/>
  <c r="K921" i="1"/>
  <c r="N921" i="1" s="1"/>
  <c r="K922" i="1"/>
  <c r="K923" i="1"/>
  <c r="N923" i="1" s="1"/>
  <c r="K924" i="1"/>
  <c r="K925" i="1"/>
  <c r="K926" i="1"/>
  <c r="K927" i="1"/>
  <c r="N927" i="1" s="1"/>
  <c r="K928" i="1"/>
  <c r="N928" i="1" s="1"/>
  <c r="K929" i="1"/>
  <c r="N929" i="1" s="1"/>
  <c r="K930" i="1"/>
  <c r="K931" i="1"/>
  <c r="K932" i="1"/>
  <c r="K933" i="1"/>
  <c r="K934" i="1"/>
  <c r="K935" i="1"/>
  <c r="N935" i="1" s="1"/>
  <c r="K936" i="1"/>
  <c r="N936" i="1" s="1"/>
  <c r="K937" i="1"/>
  <c r="N937" i="1" s="1"/>
  <c r="K938" i="1"/>
  <c r="N938" i="1" s="1"/>
  <c r="K939" i="1"/>
  <c r="K940" i="1"/>
  <c r="K941" i="1"/>
  <c r="K942" i="1"/>
  <c r="N942" i="1" s="1"/>
  <c r="K943" i="1"/>
  <c r="N943" i="1" s="1"/>
  <c r="K944" i="1"/>
  <c r="N944" i="1" s="1"/>
  <c r="K945" i="1"/>
  <c r="N945" i="1" s="1"/>
  <c r="K946" i="1"/>
  <c r="K947" i="1"/>
  <c r="N947" i="1" s="1"/>
  <c r="K948" i="1"/>
  <c r="K949" i="1"/>
  <c r="K950" i="1"/>
  <c r="N950" i="1" s="1"/>
  <c r="K951" i="1"/>
  <c r="N951" i="1" s="1"/>
  <c r="K952" i="1"/>
  <c r="N952" i="1" s="1"/>
  <c r="K953" i="1"/>
  <c r="N953" i="1" s="1"/>
  <c r="K954" i="1"/>
  <c r="K955" i="1"/>
  <c r="N955" i="1" s="1"/>
  <c r="K956" i="1"/>
  <c r="K957" i="1"/>
  <c r="K958" i="1"/>
  <c r="K959" i="1"/>
  <c r="N959" i="1" s="1"/>
  <c r="K960" i="1"/>
  <c r="N960" i="1" s="1"/>
  <c r="K961" i="1"/>
  <c r="N961" i="1" s="1"/>
  <c r="K962" i="1"/>
  <c r="N962" i="1" s="1"/>
  <c r="K963" i="1"/>
  <c r="K964" i="1"/>
  <c r="K965" i="1"/>
  <c r="K966" i="1"/>
  <c r="N966" i="1" s="1"/>
  <c r="K967" i="1"/>
  <c r="N967" i="1" s="1"/>
  <c r="K968" i="1"/>
  <c r="N968" i="1" s="1"/>
  <c r="K969" i="1"/>
  <c r="N969" i="1" s="1"/>
  <c r="K970" i="1"/>
  <c r="K971" i="1"/>
  <c r="K972" i="1"/>
  <c r="K973" i="1"/>
  <c r="K974" i="1"/>
  <c r="N974" i="1" s="1"/>
  <c r="K975" i="1"/>
  <c r="K976" i="1"/>
  <c r="N976" i="1" s="1"/>
  <c r="K977" i="1"/>
  <c r="N977" i="1" s="1"/>
  <c r="K978" i="1"/>
  <c r="K979" i="1"/>
  <c r="N979" i="1" s="1"/>
  <c r="K980" i="1"/>
  <c r="K981" i="1"/>
  <c r="K982" i="1"/>
  <c r="K983" i="1"/>
  <c r="N983" i="1" s="1"/>
  <c r="K984" i="1"/>
  <c r="N984" i="1" s="1"/>
  <c r="K985" i="1"/>
  <c r="N985" i="1" s="1"/>
  <c r="K986" i="1"/>
  <c r="N986" i="1" s="1"/>
  <c r="K987" i="1"/>
  <c r="K988" i="1"/>
  <c r="K989" i="1"/>
  <c r="K990" i="1"/>
  <c r="K991" i="1"/>
  <c r="N991" i="1" s="1"/>
  <c r="K992" i="1"/>
  <c r="N992" i="1" s="1"/>
  <c r="K993" i="1"/>
  <c r="N993" i="1" s="1"/>
  <c r="K994" i="1"/>
  <c r="K995" i="1"/>
  <c r="N995" i="1" s="1"/>
  <c r="K996" i="1"/>
  <c r="K997" i="1"/>
  <c r="K998" i="1"/>
  <c r="N998" i="1" s="1"/>
  <c r="K999" i="1"/>
  <c r="N999" i="1" s="1"/>
  <c r="K1000" i="1"/>
  <c r="N1000" i="1" s="1"/>
  <c r="K1001" i="1"/>
  <c r="N1001" i="1" s="1"/>
  <c r="K1002" i="1"/>
  <c r="K1003" i="1"/>
  <c r="K1004" i="1"/>
  <c r="K1005" i="1"/>
  <c r="K1006" i="1"/>
  <c r="N1006" i="1" s="1"/>
  <c r="K1007" i="1"/>
  <c r="N1007" i="1" s="1"/>
  <c r="K1008" i="1"/>
  <c r="N1008" i="1" s="1"/>
  <c r="K1009" i="1"/>
  <c r="N1009" i="1" s="1"/>
  <c r="K1010" i="1"/>
  <c r="K1011" i="1"/>
  <c r="K1012" i="1"/>
  <c r="K1013" i="1"/>
  <c r="K1014" i="1"/>
  <c r="K1015" i="1"/>
  <c r="N1015" i="1" s="1"/>
  <c r="K1016" i="1"/>
  <c r="N1016" i="1" s="1"/>
  <c r="K1017" i="1"/>
  <c r="N1017" i="1" s="1"/>
  <c r="K1018" i="1"/>
  <c r="N1018" i="1" s="1"/>
  <c r="K1019" i="1"/>
  <c r="N1019" i="1" s="1"/>
  <c r="K1020" i="1"/>
  <c r="K1021" i="1"/>
  <c r="K1022" i="1"/>
  <c r="K1023" i="1"/>
  <c r="N1023" i="1" s="1"/>
  <c r="K1024" i="1"/>
  <c r="N1024" i="1" s="1"/>
  <c r="K1025" i="1"/>
  <c r="N1025" i="1" s="1"/>
  <c r="K1026" i="1"/>
  <c r="K1027" i="1"/>
  <c r="N1027" i="1" s="1"/>
  <c r="K1028" i="1"/>
  <c r="K1029" i="1"/>
  <c r="K1030" i="1"/>
  <c r="N1030" i="1" s="1"/>
  <c r="K1031" i="1"/>
  <c r="N1031" i="1" s="1"/>
  <c r="K1032" i="1"/>
  <c r="N1032" i="1" s="1"/>
  <c r="K1033" i="1"/>
  <c r="N1033" i="1" s="1"/>
  <c r="K1034" i="1"/>
  <c r="K1035" i="1"/>
  <c r="K1036" i="1"/>
  <c r="K1037" i="1"/>
  <c r="K1038" i="1"/>
  <c r="K1039" i="1"/>
  <c r="N1039" i="1" s="1"/>
  <c r="K1040" i="1"/>
  <c r="N1040" i="1" s="1"/>
  <c r="K1041" i="1"/>
  <c r="N1041" i="1" s="1"/>
  <c r="K1042" i="1"/>
  <c r="N1042" i="1" s="1"/>
  <c r="K1043" i="1"/>
  <c r="K1044" i="1"/>
  <c r="K1045" i="1"/>
  <c r="K1046" i="1"/>
  <c r="N1046" i="1" s="1"/>
  <c r="K1047" i="1"/>
  <c r="N1047" i="1" s="1"/>
  <c r="K1048" i="1"/>
  <c r="K1049" i="1"/>
  <c r="N1049" i="1" s="1"/>
  <c r="K1050" i="1"/>
  <c r="K1051" i="1"/>
  <c r="K1052" i="1"/>
  <c r="K1053" i="1"/>
  <c r="K1054" i="1"/>
  <c r="K1055" i="1"/>
  <c r="N1055" i="1" s="1"/>
  <c r="K1056" i="1"/>
  <c r="N1056" i="1" s="1"/>
  <c r="K1057" i="1"/>
  <c r="N1057" i="1" s="1"/>
  <c r="K1058" i="1"/>
  <c r="K1059" i="1"/>
  <c r="N1059" i="1" s="1"/>
  <c r="K1060" i="1"/>
  <c r="K1061" i="1"/>
  <c r="K1062" i="1"/>
  <c r="N1062" i="1" s="1"/>
  <c r="K1063" i="1"/>
  <c r="N1063" i="1" s="1"/>
  <c r="K1064" i="1"/>
  <c r="N1064" i="1" s="1"/>
  <c r="K1065" i="1"/>
  <c r="N1065" i="1" s="1"/>
  <c r="K1066" i="1"/>
  <c r="N1066" i="1" s="1"/>
  <c r="K1067" i="1"/>
  <c r="N1067" i="1" s="1"/>
  <c r="K1068" i="1"/>
  <c r="K1069" i="1"/>
  <c r="K1070" i="1"/>
  <c r="K1071" i="1"/>
  <c r="N1071" i="1" s="1"/>
  <c r="K1072" i="1"/>
  <c r="N1072" i="1" s="1"/>
  <c r="K1073" i="1"/>
  <c r="N1073" i="1" s="1"/>
  <c r="K1074" i="1"/>
  <c r="K1075" i="1"/>
  <c r="K1076" i="1"/>
  <c r="K1077" i="1"/>
  <c r="K1078" i="1"/>
  <c r="K1079" i="1"/>
  <c r="N1079" i="1" s="1"/>
  <c r="K1080" i="1"/>
  <c r="N1080" i="1" s="1"/>
  <c r="K1081" i="1"/>
  <c r="N1081" i="1" s="1"/>
  <c r="K1082" i="1"/>
  <c r="K1083" i="1"/>
  <c r="K1084" i="1"/>
  <c r="K1085" i="1"/>
  <c r="K1086" i="1"/>
  <c r="N1086" i="1" s="1"/>
  <c r="K1087" i="1"/>
  <c r="N1087" i="1" s="1"/>
  <c r="K1088" i="1"/>
  <c r="N1088" i="1" s="1"/>
  <c r="K1089" i="1"/>
  <c r="N1089" i="1" s="1"/>
  <c r="K1090" i="1"/>
  <c r="K1091" i="1"/>
  <c r="N1091" i="1" s="1"/>
  <c r="K1092" i="1"/>
  <c r="K1093" i="1"/>
  <c r="K1094" i="1"/>
  <c r="K1095" i="1"/>
  <c r="N1095" i="1" s="1"/>
  <c r="K1096" i="1"/>
  <c r="N1096" i="1" s="1"/>
  <c r="K1097" i="1"/>
  <c r="N1097" i="1" s="1"/>
  <c r="K1098" i="1"/>
  <c r="N1098" i="1" s="1"/>
  <c r="K1099" i="1"/>
  <c r="N1099" i="1" s="1"/>
  <c r="K1100" i="1"/>
  <c r="K1101" i="1"/>
  <c r="K1102" i="1"/>
  <c r="K1103" i="1"/>
  <c r="N1103" i="1" s="1"/>
  <c r="K1104" i="1"/>
  <c r="N1104" i="1" s="1"/>
  <c r="K1105" i="1"/>
  <c r="N1105" i="1" s="1"/>
  <c r="K1106" i="1"/>
  <c r="K1107" i="1"/>
  <c r="K1108" i="1"/>
  <c r="K1109" i="1"/>
  <c r="K1110" i="1"/>
  <c r="N1110" i="1" s="1"/>
  <c r="K1111" i="1"/>
  <c r="N1111" i="1" s="1"/>
  <c r="K1112" i="1"/>
  <c r="K1113" i="1"/>
  <c r="N1113" i="1" s="1"/>
  <c r="K1114" i="1"/>
  <c r="N1114" i="1" s="1"/>
  <c r="K1115" i="1"/>
  <c r="N1115" i="1" s="1"/>
  <c r="K1116" i="1"/>
  <c r="K1117" i="1"/>
  <c r="K1118" i="1"/>
  <c r="K1119" i="1"/>
  <c r="N1119" i="1" s="1"/>
  <c r="K1120" i="1"/>
  <c r="N1120" i="1" s="1"/>
  <c r="K1121" i="1"/>
  <c r="N1121" i="1" s="1"/>
  <c r="K1122" i="1"/>
  <c r="N1122" i="1" s="1"/>
  <c r="K1123" i="1"/>
  <c r="K1124" i="1"/>
  <c r="K1125" i="1"/>
  <c r="K1126" i="1"/>
  <c r="K1127" i="1"/>
  <c r="N1127" i="1" s="1"/>
  <c r="K1128" i="1"/>
  <c r="N1128" i="1" s="1"/>
  <c r="K1129" i="1"/>
  <c r="N1129" i="1" s="1"/>
  <c r="K1130" i="1"/>
  <c r="K1131" i="1"/>
  <c r="N1131" i="1" s="1"/>
  <c r="K1132" i="1"/>
  <c r="K1133" i="1"/>
  <c r="K1134" i="1"/>
  <c r="N1134" i="1" s="1"/>
  <c r="K1135" i="1"/>
  <c r="N1135" i="1" s="1"/>
  <c r="K1136" i="1"/>
  <c r="N1136" i="1" s="1"/>
  <c r="K1137" i="1"/>
  <c r="N1137" i="1" s="1"/>
  <c r="K1138" i="1"/>
  <c r="N1138" i="1" s="1"/>
  <c r="K1139" i="1"/>
  <c r="N1139" i="1" s="1"/>
  <c r="K1140" i="1"/>
  <c r="K1141" i="1"/>
  <c r="K1142" i="1"/>
  <c r="K1143" i="1"/>
  <c r="N1143" i="1" s="1"/>
  <c r="K1144" i="1"/>
  <c r="N1144" i="1" s="1"/>
  <c r="K1145" i="1"/>
  <c r="N1145" i="1" s="1"/>
  <c r="K1146" i="1"/>
  <c r="N1146" i="1" s="1"/>
  <c r="K1147" i="1"/>
  <c r="K1148" i="1"/>
  <c r="K1149" i="1"/>
  <c r="K1150" i="1"/>
  <c r="K1151" i="1"/>
  <c r="N1151" i="1" s="1"/>
  <c r="K1152" i="1"/>
  <c r="N1152" i="1" s="1"/>
  <c r="K1153" i="1"/>
  <c r="N1153" i="1" s="1"/>
  <c r="K1154" i="1"/>
  <c r="K1155" i="1"/>
  <c r="K1156" i="1"/>
  <c r="K1157" i="1"/>
  <c r="K1158" i="1"/>
  <c r="K1159" i="1"/>
  <c r="N1159" i="1" s="1"/>
  <c r="K1160" i="1"/>
  <c r="N1160" i="1" s="1"/>
  <c r="K1161" i="1"/>
  <c r="N1161" i="1" s="1"/>
  <c r="K1162" i="1"/>
  <c r="K1163" i="1"/>
  <c r="N1163" i="1" s="1"/>
  <c r="K1164" i="1"/>
  <c r="K1165" i="1"/>
  <c r="K1166" i="1"/>
  <c r="N1166" i="1" s="1"/>
  <c r="K1167" i="1"/>
  <c r="N1167" i="1" s="1"/>
  <c r="K1168" i="1"/>
  <c r="N1168" i="1" s="1"/>
  <c r="K1169" i="1"/>
  <c r="N1169" i="1" s="1"/>
  <c r="K1170" i="1"/>
  <c r="N1170" i="1" s="1"/>
  <c r="K1171" i="1"/>
  <c r="N1171" i="1" s="1"/>
  <c r="K1172" i="1"/>
  <c r="K1173" i="1"/>
  <c r="K1174" i="1"/>
  <c r="K1175" i="1"/>
  <c r="N1175" i="1" s="1"/>
  <c r="K1176" i="1"/>
  <c r="N1176" i="1" s="1"/>
  <c r="K1177" i="1"/>
  <c r="N1177" i="1" s="1"/>
  <c r="K1178" i="1"/>
  <c r="K1179" i="1"/>
  <c r="N1179" i="1" s="1"/>
  <c r="K1180" i="1"/>
  <c r="K1181" i="1"/>
  <c r="K1182" i="1"/>
  <c r="N1182" i="1" s="1"/>
  <c r="K1183" i="1"/>
  <c r="N1183" i="1" s="1"/>
  <c r="K1184" i="1"/>
  <c r="N1184" i="1" s="1"/>
  <c r="K1185" i="1"/>
  <c r="N1185" i="1" s="1"/>
  <c r="K1186" i="1"/>
  <c r="K1187" i="1"/>
  <c r="K1188" i="1"/>
  <c r="K1189" i="1"/>
  <c r="K1190" i="1"/>
  <c r="N1190" i="1" s="1"/>
  <c r="K1191" i="1"/>
  <c r="N1191" i="1" s="1"/>
  <c r="K1192" i="1"/>
  <c r="N1192" i="1" s="1"/>
  <c r="K1193" i="1"/>
  <c r="N1193" i="1" s="1"/>
  <c r="K1194" i="1"/>
  <c r="N1194" i="1" s="1"/>
  <c r="K1195" i="1"/>
  <c r="K1196" i="1"/>
  <c r="K1197" i="1"/>
  <c r="K1198" i="1"/>
  <c r="K1199" i="1"/>
  <c r="N1199" i="1" s="1"/>
  <c r="K1200" i="1"/>
  <c r="N1200" i="1" s="1"/>
  <c r="K1201" i="1"/>
  <c r="N1201" i="1" s="1"/>
  <c r="K1202" i="1"/>
  <c r="N1202" i="1" s="1"/>
  <c r="K1203" i="1"/>
  <c r="K1204" i="1"/>
  <c r="K1205" i="1"/>
  <c r="K1206" i="1"/>
  <c r="N1206" i="1" s="1"/>
  <c r="K1207" i="1"/>
  <c r="N1207" i="1" s="1"/>
  <c r="K1208" i="1"/>
  <c r="N1208" i="1" s="1"/>
  <c r="K1209" i="1"/>
  <c r="N1209" i="1" s="1"/>
  <c r="K1210" i="1"/>
  <c r="K1211" i="1"/>
  <c r="N1211" i="1" s="1"/>
  <c r="K1212" i="1"/>
  <c r="K1213" i="1"/>
  <c r="K1214" i="1"/>
  <c r="N1214" i="1" s="1"/>
  <c r="K1215" i="1"/>
  <c r="N1215" i="1" s="1"/>
  <c r="K1216" i="1"/>
  <c r="N1216" i="1" s="1"/>
  <c r="K1217" i="1"/>
  <c r="N1217" i="1" s="1"/>
  <c r="K1218" i="1"/>
  <c r="K1219" i="1"/>
  <c r="N1219" i="1" s="1"/>
  <c r="K1220" i="1"/>
  <c r="K1221" i="1"/>
  <c r="K1222" i="1"/>
  <c r="N1222" i="1" s="1"/>
  <c r="K1223" i="1"/>
  <c r="N1223" i="1" s="1"/>
  <c r="K1224" i="1"/>
  <c r="N1224" i="1" s="1"/>
  <c r="K1225" i="1"/>
  <c r="N1225" i="1" s="1"/>
  <c r="K1226" i="1"/>
  <c r="K1227" i="1"/>
  <c r="N1227" i="1" s="1"/>
  <c r="K1228" i="1"/>
  <c r="K1229" i="1"/>
  <c r="K1230" i="1"/>
  <c r="N1230" i="1" s="1"/>
  <c r="K1231" i="1"/>
  <c r="N1231" i="1" s="1"/>
  <c r="K1232" i="1"/>
  <c r="N1232" i="1" s="1"/>
  <c r="K1233" i="1"/>
  <c r="N1233" i="1" s="1"/>
  <c r="K1234" i="1"/>
  <c r="N1234" i="1" s="1"/>
  <c r="K1235" i="1"/>
  <c r="N1235" i="1" s="1"/>
  <c r="K1236" i="1"/>
  <c r="K1237" i="1"/>
  <c r="K1238" i="1"/>
  <c r="K1239" i="1"/>
  <c r="N1239" i="1" s="1"/>
  <c r="K1240" i="1"/>
  <c r="N1240" i="1" s="1"/>
  <c r="K1241" i="1"/>
  <c r="N1241" i="1" s="1"/>
  <c r="K1242" i="1"/>
  <c r="N1242" i="1" s="1"/>
  <c r="K1243" i="1"/>
  <c r="N1243" i="1" s="1"/>
  <c r="K1244" i="1"/>
  <c r="K1245" i="1"/>
  <c r="K1246" i="1"/>
  <c r="N1246" i="1" s="1"/>
  <c r="K1247" i="1"/>
  <c r="N1247" i="1" s="1"/>
  <c r="K1248" i="1"/>
  <c r="K1249" i="1"/>
  <c r="N1249" i="1" s="1"/>
  <c r="K1250" i="1"/>
  <c r="K1251" i="1"/>
  <c r="N1251" i="1" s="1"/>
  <c r="K1252" i="1"/>
  <c r="K1253" i="1"/>
  <c r="K1254" i="1"/>
  <c r="N1254" i="1" s="1"/>
  <c r="K1255" i="1"/>
  <c r="N1255" i="1" s="1"/>
  <c r="K1256" i="1"/>
  <c r="N1256" i="1" s="1"/>
  <c r="K1257" i="1"/>
  <c r="N1257" i="1" s="1"/>
  <c r="K1258" i="1"/>
  <c r="K1259" i="1"/>
  <c r="K1260" i="1"/>
  <c r="K1261" i="1"/>
  <c r="K1262" i="1"/>
  <c r="N1262" i="1" s="1"/>
  <c r="K1263" i="1"/>
  <c r="N1263" i="1" s="1"/>
  <c r="K1264" i="1"/>
  <c r="N1264" i="1" s="1"/>
  <c r="K1265" i="1"/>
  <c r="N1265" i="1" s="1"/>
  <c r="K1266" i="1"/>
  <c r="N1266" i="1" s="1"/>
  <c r="K1267" i="1"/>
  <c r="N1267" i="1" s="1"/>
  <c r="K1268" i="1"/>
  <c r="K1269" i="1"/>
  <c r="K1270" i="1"/>
  <c r="K1271" i="1"/>
  <c r="N1271" i="1" s="1"/>
  <c r="K1272" i="1"/>
  <c r="N1272" i="1" s="1"/>
  <c r="K1273" i="1"/>
  <c r="N1273" i="1" s="1"/>
  <c r="K1274" i="1"/>
  <c r="K1275" i="1"/>
  <c r="K1276" i="1"/>
  <c r="K1277" i="1"/>
  <c r="K1278" i="1"/>
  <c r="N1278" i="1" s="1"/>
  <c r="K1279" i="1"/>
  <c r="N1279" i="1" s="1"/>
  <c r="K1280" i="1"/>
  <c r="N1280" i="1" s="1"/>
  <c r="K1281" i="1"/>
  <c r="N1281" i="1" s="1"/>
  <c r="K1282" i="1"/>
  <c r="K1283" i="1"/>
  <c r="K1284" i="1"/>
  <c r="K1285" i="1"/>
  <c r="K1286" i="1"/>
  <c r="N1286" i="1" s="1"/>
  <c r="K1287" i="1"/>
  <c r="K1288" i="1"/>
  <c r="N1288" i="1" s="1"/>
  <c r="K1289" i="1"/>
  <c r="N1289" i="1" s="1"/>
  <c r="K1290" i="1"/>
  <c r="N1290" i="1" s="1"/>
  <c r="K1291" i="1"/>
  <c r="K1292" i="1"/>
  <c r="K1293" i="1"/>
  <c r="K1294" i="1"/>
  <c r="N1294" i="1" s="1"/>
  <c r="K1295" i="1"/>
  <c r="N1295" i="1" s="1"/>
  <c r="K1296" i="1"/>
  <c r="N1296" i="1" s="1"/>
  <c r="K1297" i="1"/>
  <c r="N1297" i="1" s="1"/>
  <c r="K1298" i="1"/>
  <c r="K1299" i="1"/>
  <c r="K1300" i="1"/>
  <c r="K1301" i="1"/>
  <c r="K1302" i="1"/>
  <c r="N1302" i="1" s="1"/>
  <c r="K1303" i="1"/>
  <c r="N1303" i="1" s="1"/>
  <c r="K1304" i="1"/>
  <c r="K1305" i="1"/>
  <c r="N1305" i="1" s="1"/>
  <c r="K1306" i="1"/>
  <c r="N1306" i="1" s="1"/>
  <c r="K1307" i="1"/>
  <c r="N1307" i="1" s="1"/>
  <c r="K1308" i="1"/>
  <c r="K1309" i="1"/>
  <c r="K1310" i="1"/>
  <c r="N1310" i="1" s="1"/>
  <c r="K1311" i="1"/>
  <c r="N1311" i="1" s="1"/>
  <c r="K1312" i="1"/>
  <c r="N1312" i="1" s="1"/>
  <c r="K1313" i="1"/>
  <c r="N1313" i="1" s="1"/>
  <c r="K1314" i="1"/>
  <c r="N1314" i="1" s="1"/>
  <c r="K1315" i="1"/>
  <c r="K1316" i="1"/>
  <c r="K1317" i="1"/>
  <c r="K1318" i="1"/>
  <c r="N1318" i="1" s="1"/>
  <c r="K1319" i="1"/>
  <c r="N1319" i="1" s="1"/>
  <c r="K1320" i="1"/>
  <c r="N1320" i="1" s="1"/>
  <c r="K1321" i="1"/>
  <c r="N1321" i="1" s="1"/>
  <c r="K1322" i="1"/>
  <c r="K1323" i="1"/>
  <c r="N1323" i="1" s="1"/>
  <c r="K1324" i="1"/>
  <c r="K1325" i="1"/>
  <c r="K1326" i="1"/>
  <c r="N1326" i="1" s="1"/>
  <c r="K1327" i="1"/>
  <c r="N1327" i="1" s="1"/>
  <c r="K1328" i="1"/>
  <c r="N1328" i="1" s="1"/>
  <c r="K1329" i="1"/>
  <c r="N1329" i="1" s="1"/>
  <c r="K1330" i="1"/>
  <c r="N1330" i="1" s="1"/>
  <c r="K1331" i="1"/>
  <c r="N1331" i="1" s="1"/>
  <c r="K1332" i="1"/>
  <c r="K1333" i="1"/>
  <c r="K1334" i="1"/>
  <c r="N1334" i="1" s="1"/>
  <c r="K1335" i="1"/>
  <c r="N1335" i="1" s="1"/>
  <c r="K1336" i="1"/>
  <c r="N1336" i="1" s="1"/>
  <c r="K1337" i="1"/>
  <c r="N1337" i="1" s="1"/>
  <c r="K1338" i="1"/>
  <c r="K1339" i="1"/>
  <c r="N1339" i="1" s="1"/>
  <c r="K1340" i="1"/>
  <c r="K1341" i="1"/>
  <c r="K1342" i="1"/>
  <c r="N1342" i="1" s="1"/>
  <c r="K1343" i="1"/>
  <c r="N1343" i="1" s="1"/>
  <c r="K1344" i="1"/>
  <c r="N1344" i="1" s="1"/>
  <c r="K1345" i="1"/>
  <c r="N1345" i="1" s="1"/>
  <c r="K1346" i="1"/>
  <c r="K1347" i="1"/>
  <c r="N1347" i="1" s="1"/>
  <c r="K1348" i="1"/>
  <c r="K1349" i="1"/>
  <c r="K1350" i="1"/>
  <c r="N1350" i="1" s="1"/>
  <c r="K1351" i="1"/>
  <c r="N1351" i="1" s="1"/>
  <c r="K1352" i="1"/>
  <c r="N1352" i="1" s="1"/>
  <c r="K1353" i="1"/>
  <c r="N1353" i="1" s="1"/>
  <c r="K1354" i="1"/>
  <c r="K1355" i="1"/>
  <c r="N1355" i="1" s="1"/>
  <c r="K1356" i="1"/>
  <c r="K1357" i="1"/>
  <c r="K1358" i="1"/>
  <c r="N1358" i="1" s="1"/>
  <c r="K1359" i="1"/>
  <c r="N1359" i="1" s="1"/>
  <c r="K1360" i="1"/>
  <c r="N1360" i="1" s="1"/>
  <c r="K1361" i="1"/>
  <c r="N1361" i="1" s="1"/>
  <c r="K1362" i="1"/>
  <c r="K1363" i="1"/>
  <c r="N1363" i="1" s="1"/>
  <c r="K1364" i="1"/>
  <c r="K1365" i="1"/>
  <c r="K1366" i="1"/>
  <c r="N1366" i="1" s="1"/>
  <c r="K1367" i="1"/>
  <c r="N1367" i="1" s="1"/>
  <c r="K1368" i="1"/>
  <c r="N1368" i="1" s="1"/>
  <c r="K1369" i="1"/>
  <c r="N1369" i="1" s="1"/>
  <c r="K1370" i="1"/>
  <c r="K1371" i="1"/>
  <c r="N1371" i="1" s="1"/>
  <c r="K1372" i="1"/>
  <c r="K1373" i="1"/>
  <c r="K1374" i="1"/>
  <c r="N1374" i="1" s="1"/>
  <c r="K1375" i="1"/>
  <c r="N1375" i="1" s="1"/>
  <c r="K1376" i="1"/>
  <c r="N1376" i="1" s="1"/>
  <c r="K1377" i="1"/>
  <c r="N1377" i="1" s="1"/>
  <c r="K1378" i="1"/>
  <c r="N1378" i="1" s="1"/>
  <c r="K1379" i="1"/>
  <c r="N1379" i="1" s="1"/>
  <c r="K1380" i="1"/>
  <c r="K1381" i="1"/>
  <c r="K1382" i="1"/>
  <c r="N1382" i="1" s="1"/>
  <c r="K1383" i="1"/>
  <c r="N1383" i="1" s="1"/>
  <c r="K1384" i="1"/>
  <c r="N1384" i="1" s="1"/>
  <c r="K1385" i="1"/>
  <c r="N1385" i="1" s="1"/>
  <c r="K1386" i="1"/>
  <c r="N1386" i="1" s="1"/>
  <c r="K1387" i="1"/>
  <c r="N1387" i="1" s="1"/>
  <c r="K1388" i="1"/>
  <c r="K1389" i="1"/>
  <c r="K1390" i="1"/>
  <c r="N1390" i="1" s="1"/>
  <c r="K1391" i="1"/>
  <c r="N1391" i="1" s="1"/>
  <c r="K1392" i="1"/>
  <c r="N1392" i="1" s="1"/>
  <c r="K1393" i="1"/>
  <c r="N1393" i="1" s="1"/>
  <c r="K1394" i="1"/>
  <c r="N1394" i="1" s="1"/>
  <c r="K1395" i="1"/>
  <c r="N1395" i="1" s="1"/>
  <c r="K1396" i="1"/>
  <c r="K1397" i="1"/>
  <c r="K1398" i="1"/>
  <c r="N1398" i="1" s="1"/>
  <c r="K1399" i="1"/>
  <c r="K1400" i="1"/>
  <c r="N1400" i="1" s="1"/>
  <c r="K1401" i="1"/>
  <c r="N1401" i="1" s="1"/>
  <c r="K1402" i="1"/>
  <c r="N1402" i="1" s="1"/>
  <c r="K1403" i="1"/>
  <c r="K1404" i="1"/>
  <c r="K1405" i="1"/>
  <c r="K1406" i="1"/>
  <c r="N1406" i="1" s="1"/>
  <c r="K1407" i="1"/>
  <c r="N1407" i="1" s="1"/>
  <c r="K1408" i="1"/>
  <c r="N1408" i="1" s="1"/>
  <c r="K1409" i="1"/>
  <c r="N1409" i="1" s="1"/>
  <c r="K1410" i="1"/>
  <c r="K1411" i="1"/>
  <c r="N1411" i="1" s="1"/>
  <c r="K1412" i="1"/>
  <c r="K1413" i="1"/>
  <c r="K1414" i="1"/>
  <c r="N1414" i="1" s="1"/>
  <c r="K1415" i="1"/>
  <c r="N1415" i="1" s="1"/>
  <c r="K1416" i="1"/>
  <c r="N1416" i="1" s="1"/>
  <c r="K1417" i="1"/>
  <c r="N1417" i="1" s="1"/>
  <c r="K1418" i="1"/>
  <c r="N1418" i="1" s="1"/>
  <c r="K1419" i="1"/>
  <c r="N1419" i="1" s="1"/>
  <c r="K1420" i="1"/>
  <c r="K1421" i="1"/>
  <c r="K1422" i="1"/>
  <c r="N1422" i="1" s="1"/>
  <c r="K1423" i="1"/>
  <c r="N1423" i="1" s="1"/>
  <c r="K1424" i="1"/>
  <c r="N1424" i="1" s="1"/>
  <c r="K1425" i="1"/>
  <c r="N1425" i="1" s="1"/>
  <c r="K1426" i="1"/>
  <c r="K1427" i="1"/>
  <c r="K1428" i="1"/>
  <c r="K1429" i="1"/>
  <c r="K1430" i="1"/>
  <c r="N1430" i="1" s="1"/>
  <c r="K1431" i="1"/>
  <c r="N1431" i="1" s="1"/>
  <c r="K1432" i="1"/>
  <c r="N1432" i="1" s="1"/>
  <c r="K1433" i="1"/>
  <c r="N1433" i="1" s="1"/>
  <c r="K1434" i="1"/>
  <c r="K1435" i="1"/>
  <c r="K1436" i="1"/>
  <c r="K1437" i="1"/>
  <c r="K1438" i="1"/>
  <c r="K1439" i="1"/>
  <c r="N1439" i="1" s="1"/>
  <c r="K1440" i="1"/>
  <c r="N1440" i="1" s="1"/>
  <c r="K1441" i="1"/>
  <c r="N1441" i="1" s="1"/>
  <c r="K1442" i="1"/>
  <c r="N1442" i="1" s="1"/>
  <c r="K1443" i="1"/>
  <c r="N1443" i="1" s="1"/>
  <c r="K1444" i="1"/>
  <c r="K1445" i="1"/>
  <c r="K1446" i="1"/>
  <c r="N1446" i="1" s="1"/>
  <c r="K1447" i="1"/>
  <c r="N1447" i="1" s="1"/>
  <c r="K1448" i="1"/>
  <c r="N1448" i="1" s="1"/>
  <c r="K1449" i="1"/>
  <c r="N1449" i="1" s="1"/>
  <c r="K1450" i="1"/>
  <c r="K1451" i="1"/>
  <c r="K1452" i="1"/>
  <c r="K1453" i="1"/>
  <c r="K1454" i="1"/>
  <c r="N1454" i="1" s="1"/>
  <c r="K1455" i="1"/>
  <c r="N1455" i="1" s="1"/>
  <c r="K1456" i="1"/>
  <c r="N1456" i="1" s="1"/>
  <c r="K1457" i="1"/>
  <c r="N1457" i="1" s="1"/>
  <c r="K1458" i="1"/>
  <c r="N1458" i="1" s="1"/>
  <c r="K1459" i="1"/>
  <c r="K1460" i="1"/>
  <c r="K1461" i="1"/>
  <c r="K1462" i="1"/>
  <c r="N1462" i="1" s="1"/>
  <c r="K1463" i="1"/>
  <c r="N1463" i="1" s="1"/>
  <c r="K1464" i="1"/>
  <c r="N1464" i="1" s="1"/>
  <c r="K1465" i="1"/>
  <c r="N1465" i="1" s="1"/>
  <c r="K1466" i="1"/>
  <c r="K1467" i="1"/>
  <c r="N1467" i="1" s="1"/>
  <c r="K1468" i="1"/>
  <c r="K1469" i="1"/>
  <c r="K1470" i="1"/>
  <c r="N1470" i="1" s="1"/>
  <c r="K1471" i="1"/>
  <c r="N1471" i="1" s="1"/>
  <c r="K1472" i="1"/>
  <c r="N1472" i="1" s="1"/>
  <c r="K1473" i="1"/>
  <c r="N1473" i="1" s="1"/>
  <c r="K1474" i="1"/>
  <c r="N1474" i="1" s="1"/>
  <c r="K1475" i="1"/>
  <c r="K1476" i="1"/>
  <c r="K1477" i="1"/>
  <c r="K1478" i="1"/>
  <c r="N1478" i="1" s="1"/>
  <c r="K1479" i="1"/>
  <c r="N1479" i="1" s="1"/>
  <c r="K1480" i="1"/>
  <c r="N1480" i="1" s="1"/>
  <c r="K1481" i="1"/>
  <c r="N1481" i="1" s="1"/>
  <c r="K1482" i="1"/>
  <c r="N1482" i="1" s="1"/>
  <c r="K1483" i="1"/>
  <c r="K1484" i="1"/>
  <c r="K1485" i="1"/>
  <c r="K1486" i="1"/>
  <c r="N1486" i="1" s="1"/>
  <c r="K1487" i="1"/>
  <c r="K1488" i="1"/>
  <c r="N1488" i="1" s="1"/>
  <c r="K1489" i="1"/>
  <c r="N1489" i="1" s="1"/>
  <c r="K1490" i="1"/>
  <c r="K1491" i="1"/>
  <c r="N1491" i="1" s="1"/>
  <c r="K1492" i="1"/>
  <c r="K1493" i="1"/>
  <c r="K1494" i="1"/>
  <c r="N1494" i="1" s="1"/>
  <c r="K1495" i="1"/>
  <c r="N1495" i="1" s="1"/>
  <c r="K1496" i="1"/>
  <c r="N1496" i="1" s="1"/>
  <c r="K1497" i="1"/>
  <c r="N1497" i="1" s="1"/>
  <c r="K1498" i="1"/>
  <c r="N1498" i="1" s="1"/>
  <c r="K1499" i="1"/>
  <c r="K1500" i="1"/>
  <c r="K1501" i="1"/>
  <c r="K1502" i="1"/>
  <c r="K1503" i="1"/>
  <c r="K1504" i="1"/>
  <c r="N1504" i="1" s="1"/>
  <c r="K1505" i="1"/>
  <c r="N1505" i="1" s="1"/>
  <c r="K1506" i="1"/>
  <c r="N1506" i="1" s="1"/>
  <c r="K1507" i="1"/>
  <c r="K1508" i="1"/>
  <c r="K1509" i="1"/>
  <c r="K1510" i="1"/>
  <c r="N1510" i="1" s="1"/>
  <c r="K1511" i="1"/>
  <c r="N1511" i="1" s="1"/>
  <c r="K1512" i="1"/>
  <c r="N1512" i="1" s="1"/>
  <c r="K1513" i="1"/>
  <c r="N1513" i="1" s="1"/>
  <c r="K1514" i="1"/>
  <c r="K1515" i="1"/>
  <c r="N1515" i="1" s="1"/>
  <c r="K1516" i="1"/>
  <c r="K1517" i="1"/>
  <c r="K1518" i="1"/>
  <c r="N1518" i="1" s="1"/>
  <c r="K1519" i="1"/>
  <c r="N1519" i="1" s="1"/>
  <c r="K1520" i="1"/>
  <c r="N1520" i="1" s="1"/>
  <c r="K1521" i="1"/>
  <c r="N1521" i="1" s="1"/>
  <c r="K1522" i="1"/>
  <c r="N1522" i="1" s="1"/>
  <c r="K1523" i="1"/>
  <c r="K1524" i="1"/>
  <c r="K1525" i="1"/>
  <c r="K1526" i="1"/>
  <c r="N1526" i="1" s="1"/>
  <c r="K1527" i="1"/>
  <c r="N1527" i="1" s="1"/>
  <c r="K1528" i="1"/>
  <c r="N1528" i="1" s="1"/>
  <c r="K1529" i="1"/>
  <c r="N1529" i="1" s="1"/>
  <c r="K1530" i="1"/>
  <c r="K1531" i="1"/>
  <c r="N1531" i="1" s="1"/>
  <c r="K1532" i="1"/>
  <c r="K1533" i="1"/>
  <c r="K1534" i="1"/>
  <c r="N1534" i="1" s="1"/>
  <c r="K1535" i="1"/>
  <c r="N1535" i="1" s="1"/>
  <c r="K1536" i="1"/>
  <c r="N1536" i="1" s="1"/>
  <c r="K1537" i="1"/>
  <c r="N1537" i="1" s="1"/>
  <c r="K1538" i="1"/>
  <c r="K1539" i="1"/>
  <c r="N1539" i="1" s="1"/>
  <c r="K1540" i="1"/>
  <c r="K1541" i="1"/>
  <c r="K1542" i="1"/>
  <c r="N1542" i="1" s="1"/>
  <c r="K1543" i="1"/>
  <c r="N1543" i="1" s="1"/>
  <c r="K1544" i="1"/>
  <c r="N1544" i="1" s="1"/>
  <c r="K1545" i="1"/>
  <c r="N1545" i="1" s="1"/>
  <c r="K1546" i="1"/>
  <c r="K1547" i="1"/>
  <c r="K1548" i="1"/>
  <c r="K1549" i="1"/>
  <c r="K1550" i="1"/>
  <c r="N1550" i="1" s="1"/>
  <c r="K1551" i="1"/>
  <c r="N1551" i="1" s="1"/>
  <c r="K1552" i="1"/>
  <c r="N1552" i="1" s="1"/>
  <c r="K1553" i="1"/>
  <c r="N1553" i="1" s="1"/>
  <c r="K1554" i="1"/>
  <c r="N1554" i="1" s="1"/>
  <c r="K1555" i="1"/>
  <c r="N1555" i="1" s="1"/>
  <c r="K1556" i="1"/>
  <c r="K1557" i="1"/>
  <c r="K1558" i="1"/>
  <c r="N1558" i="1" s="1"/>
  <c r="K1559" i="1"/>
  <c r="N1559" i="1" s="1"/>
  <c r="K1560" i="1"/>
  <c r="N1560" i="1" s="1"/>
  <c r="K1561" i="1"/>
  <c r="N1561" i="1" s="1"/>
  <c r="K1562" i="1"/>
  <c r="N1562" i="1" s="1"/>
  <c r="K1563" i="1"/>
  <c r="N1563" i="1" s="1"/>
  <c r="K1564" i="1"/>
  <c r="K1565" i="1"/>
  <c r="K1566" i="1"/>
  <c r="K1567" i="1"/>
  <c r="N1567" i="1" s="1"/>
  <c r="K1568" i="1"/>
  <c r="N1568" i="1" s="1"/>
  <c r="K1569" i="1"/>
  <c r="N1569" i="1" s="1"/>
  <c r="K1570" i="1"/>
  <c r="K1571" i="1"/>
  <c r="K1572" i="1"/>
  <c r="K1573" i="1"/>
  <c r="K1574" i="1"/>
  <c r="N1574" i="1" s="1"/>
  <c r="K1575" i="1"/>
  <c r="N1575" i="1" s="1"/>
  <c r="K1576" i="1"/>
  <c r="N1576" i="1" s="1"/>
  <c r="K1577" i="1"/>
  <c r="N1577" i="1" s="1"/>
  <c r="K1578" i="1"/>
  <c r="N1578" i="1" s="1"/>
  <c r="K1579" i="1"/>
  <c r="N1579" i="1" s="1"/>
  <c r="K1580" i="1"/>
  <c r="K1581" i="1"/>
  <c r="K1582" i="1"/>
  <c r="N1582" i="1" s="1"/>
  <c r="K1583" i="1"/>
  <c r="N1583" i="1" s="1"/>
  <c r="K1584" i="1"/>
  <c r="N1584" i="1" s="1"/>
  <c r="K1585" i="1"/>
  <c r="N1585" i="1" s="1"/>
  <c r="K1586" i="1"/>
  <c r="K1587" i="1"/>
  <c r="N1587" i="1" s="1"/>
  <c r="K1588" i="1"/>
  <c r="K1589" i="1"/>
  <c r="K1590" i="1"/>
  <c r="N1590" i="1" s="1"/>
  <c r="K1591" i="1"/>
  <c r="N1591" i="1" s="1"/>
  <c r="K1592" i="1"/>
  <c r="N1592" i="1" s="1"/>
  <c r="K1593" i="1"/>
  <c r="N1593" i="1" s="1"/>
  <c r="K1594" i="1"/>
  <c r="K1595" i="1"/>
  <c r="K1596" i="1"/>
  <c r="K1597" i="1"/>
  <c r="K1598" i="1"/>
  <c r="N1598" i="1" s="1"/>
  <c r="K1599" i="1"/>
  <c r="N1599" i="1" s="1"/>
  <c r="K1600" i="1"/>
  <c r="N1600" i="1" s="1"/>
  <c r="K1601" i="1"/>
  <c r="N1601" i="1" s="1"/>
  <c r="K1602" i="1"/>
  <c r="N1602" i="1" s="1"/>
  <c r="K1603" i="1"/>
  <c r="N1603" i="1" s="1"/>
  <c r="K1604" i="1"/>
  <c r="K1605" i="1"/>
  <c r="K1606" i="1"/>
  <c r="N1606" i="1" s="1"/>
  <c r="K1607" i="1"/>
  <c r="N1607" i="1" s="1"/>
  <c r="K1608" i="1"/>
  <c r="N1608" i="1" s="1"/>
  <c r="K1609" i="1"/>
  <c r="N1609" i="1" s="1"/>
  <c r="K1610" i="1"/>
  <c r="N1610" i="1" s="1"/>
  <c r="K1611" i="1"/>
  <c r="N1611" i="1" s="1"/>
  <c r="K1612" i="1"/>
  <c r="K1613" i="1"/>
  <c r="K1614" i="1"/>
  <c r="N1614" i="1" s="1"/>
  <c r="K1615" i="1"/>
  <c r="N1615" i="1" s="1"/>
  <c r="K1616" i="1"/>
  <c r="N1616" i="1" s="1"/>
  <c r="K1617" i="1"/>
  <c r="N1617" i="1" s="1"/>
  <c r="K1618" i="1"/>
  <c r="N1618" i="1" s="1"/>
  <c r="K1619" i="1"/>
  <c r="N1619" i="1" s="1"/>
  <c r="K1620" i="1"/>
  <c r="K1621" i="1"/>
  <c r="K1622" i="1"/>
  <c r="K1623" i="1"/>
  <c r="N1623" i="1" s="1"/>
  <c r="K1624" i="1"/>
  <c r="N1624" i="1" s="1"/>
  <c r="K1625" i="1"/>
  <c r="N1625" i="1" s="1"/>
  <c r="K1626" i="1"/>
  <c r="K1627" i="1"/>
  <c r="N1627" i="1" s="1"/>
  <c r="K1628" i="1"/>
  <c r="K1629" i="1"/>
  <c r="K1630" i="1"/>
  <c r="N1630" i="1" s="1"/>
  <c r="K1631" i="1"/>
  <c r="N1631" i="1" s="1"/>
  <c r="K1632" i="1"/>
  <c r="N1632" i="1" s="1"/>
  <c r="K1633" i="1"/>
  <c r="N1633" i="1" s="1"/>
  <c r="K1634" i="1"/>
  <c r="N1634" i="1" s="1"/>
  <c r="K1635" i="1"/>
  <c r="N1635" i="1" s="1"/>
  <c r="K1636" i="1"/>
  <c r="K1637" i="1"/>
  <c r="K1638" i="1"/>
  <c r="N1638" i="1" s="1"/>
  <c r="K1639" i="1"/>
  <c r="N1639" i="1" s="1"/>
  <c r="K1640" i="1"/>
  <c r="N1640" i="1" s="1"/>
  <c r="K1641" i="1"/>
  <c r="N1641" i="1" s="1"/>
  <c r="K1642" i="1"/>
  <c r="K1643" i="1"/>
  <c r="K1644" i="1"/>
  <c r="K1645" i="1"/>
  <c r="K1646" i="1"/>
  <c r="N1646" i="1" s="1"/>
  <c r="K1647" i="1"/>
  <c r="N1647" i="1" s="1"/>
  <c r="K1648" i="1"/>
  <c r="N1648" i="1" s="1"/>
  <c r="K1649" i="1"/>
  <c r="N1649" i="1" s="1"/>
  <c r="K1650" i="1"/>
  <c r="K1651" i="1"/>
  <c r="N1651" i="1" s="1"/>
  <c r="K1652" i="1"/>
  <c r="K1653" i="1"/>
  <c r="K1654" i="1"/>
  <c r="N1654" i="1" s="1"/>
  <c r="K1655" i="1"/>
  <c r="N1655" i="1" s="1"/>
  <c r="K1656" i="1"/>
  <c r="N1656" i="1" s="1"/>
  <c r="K1657" i="1"/>
  <c r="N1657" i="1" s="1"/>
  <c r="K1658" i="1"/>
  <c r="K1659" i="1"/>
  <c r="N1659" i="1" s="1"/>
  <c r="K1660" i="1"/>
  <c r="K1661" i="1"/>
  <c r="K1662" i="1"/>
  <c r="N1662" i="1" s="1"/>
  <c r="K1663" i="1"/>
  <c r="N1663" i="1" s="1"/>
  <c r="K1664" i="1"/>
  <c r="N1664" i="1" s="1"/>
  <c r="K1665" i="1"/>
  <c r="N1665" i="1" s="1"/>
  <c r="K1666" i="1"/>
  <c r="K1667" i="1"/>
  <c r="N1667" i="1" s="1"/>
  <c r="K1668" i="1"/>
  <c r="K1669" i="1"/>
  <c r="K1670" i="1"/>
  <c r="K1671" i="1"/>
  <c r="N1671" i="1" s="1"/>
  <c r="K1672" i="1"/>
  <c r="N1672" i="1" s="1"/>
  <c r="K1673" i="1"/>
  <c r="N1673" i="1" s="1"/>
  <c r="K1674" i="1"/>
  <c r="N1674" i="1" s="1"/>
  <c r="K1675" i="1"/>
  <c r="N1675" i="1" s="1"/>
  <c r="K1676" i="1"/>
  <c r="K1677" i="1"/>
  <c r="K1678" i="1"/>
  <c r="N1678" i="1" s="1"/>
  <c r="K1679" i="1"/>
  <c r="N1679" i="1" s="1"/>
  <c r="K1680" i="1"/>
  <c r="N1680" i="1" s="1"/>
  <c r="K1681" i="1"/>
  <c r="N1681" i="1" s="1"/>
  <c r="K1682" i="1"/>
  <c r="N1682" i="1" s="1"/>
  <c r="K1683" i="1"/>
  <c r="N1683" i="1" s="1"/>
  <c r="K1684" i="1"/>
  <c r="K1685" i="1"/>
  <c r="K1686" i="1"/>
  <c r="N1686" i="1" s="1"/>
  <c r="K1687" i="1"/>
  <c r="K1688" i="1"/>
  <c r="N1688" i="1" s="1"/>
  <c r="K1689" i="1"/>
  <c r="N1689" i="1" s="1"/>
  <c r="K1690" i="1"/>
  <c r="N1690" i="1" s="1"/>
  <c r="K1691" i="1"/>
  <c r="N1691" i="1" s="1"/>
  <c r="K1692" i="1"/>
  <c r="K1693" i="1"/>
  <c r="K1694" i="1"/>
  <c r="N1694" i="1" s="1"/>
  <c r="K1695" i="1"/>
  <c r="N1695" i="1" s="1"/>
  <c r="K1696" i="1"/>
  <c r="N1696" i="1" s="1"/>
  <c r="K1697" i="1"/>
  <c r="N1697" i="1" s="1"/>
  <c r="K1698" i="1"/>
  <c r="N1698" i="1" s="1"/>
  <c r="K1699" i="1"/>
  <c r="N1699" i="1" s="1"/>
  <c r="K1700" i="1"/>
  <c r="K1701" i="1"/>
  <c r="K1702" i="1"/>
  <c r="N1702" i="1" s="1"/>
  <c r="K1703" i="1"/>
  <c r="N1703" i="1" s="1"/>
  <c r="K1704" i="1"/>
  <c r="N1704" i="1" s="1"/>
  <c r="K1705" i="1"/>
  <c r="N1705" i="1" s="1"/>
  <c r="K1706" i="1"/>
  <c r="N1706" i="1" s="1"/>
  <c r="K1707" i="1"/>
  <c r="K1708" i="1"/>
  <c r="K1709" i="1"/>
  <c r="K1710" i="1"/>
  <c r="N1710" i="1" s="1"/>
  <c r="K1711" i="1"/>
  <c r="N1711" i="1" s="1"/>
  <c r="K1712" i="1"/>
  <c r="N1712" i="1" s="1"/>
  <c r="K1713" i="1"/>
  <c r="N1713" i="1" s="1"/>
  <c r="K1714" i="1"/>
  <c r="K1715" i="1"/>
  <c r="K1716" i="1"/>
  <c r="K1717" i="1"/>
  <c r="K1718" i="1"/>
  <c r="N1718" i="1" s="1"/>
  <c r="K1719" i="1"/>
  <c r="N1719" i="1" s="1"/>
  <c r="K1720" i="1"/>
  <c r="N1720" i="1" s="1"/>
  <c r="K1721" i="1"/>
  <c r="N1721" i="1" s="1"/>
  <c r="K1722" i="1"/>
  <c r="N1722" i="1" s="1"/>
  <c r="K1723" i="1"/>
  <c r="N1723" i="1" s="1"/>
  <c r="K1724" i="1"/>
  <c r="K1725" i="1"/>
  <c r="K1726" i="1"/>
  <c r="N1726" i="1" s="1"/>
  <c r="K1727" i="1"/>
  <c r="K1728" i="1"/>
  <c r="N1728" i="1" s="1"/>
  <c r="K1729" i="1"/>
  <c r="N1729" i="1" s="1"/>
  <c r="K1730" i="1"/>
  <c r="K1731" i="1"/>
  <c r="K1732" i="1"/>
  <c r="K1733" i="1"/>
  <c r="K1734" i="1"/>
  <c r="N1734" i="1" s="1"/>
  <c r="K1735" i="1"/>
  <c r="N1735" i="1" s="1"/>
  <c r="K1736" i="1"/>
  <c r="N1736" i="1" s="1"/>
  <c r="K1737" i="1"/>
  <c r="N1737" i="1" s="1"/>
  <c r="K1738" i="1"/>
  <c r="K1739" i="1"/>
  <c r="N1739" i="1" s="1"/>
  <c r="K1740" i="1"/>
  <c r="K1741" i="1"/>
  <c r="K1742" i="1"/>
  <c r="N1742" i="1" s="1"/>
  <c r="K1743" i="1"/>
  <c r="K1744" i="1"/>
  <c r="N1744" i="1" s="1"/>
  <c r="K1745" i="1"/>
  <c r="K1746" i="1"/>
  <c r="K1747" i="1"/>
  <c r="N1747" i="1" s="1"/>
  <c r="K1748" i="1"/>
  <c r="K1749" i="1"/>
  <c r="K1750" i="1"/>
  <c r="N1750" i="1" s="1"/>
  <c r="K1751" i="1"/>
  <c r="N1751" i="1" s="1"/>
  <c r="K1752" i="1"/>
  <c r="N1752" i="1" s="1"/>
  <c r="K1753" i="1"/>
  <c r="K1754" i="1"/>
  <c r="N1754" i="1" s="1"/>
  <c r="K1755" i="1"/>
  <c r="K1756" i="1"/>
  <c r="K1757" i="1"/>
  <c r="K1758" i="1"/>
  <c r="N1758" i="1" s="1"/>
  <c r="K1759" i="1"/>
  <c r="N1759" i="1" s="1"/>
  <c r="K1760" i="1"/>
  <c r="N1760" i="1" s="1"/>
  <c r="K1761" i="1"/>
  <c r="K1762" i="1"/>
  <c r="N1762" i="1" s="1"/>
  <c r="K1763" i="1"/>
  <c r="N1763" i="1" s="1"/>
  <c r="K1764" i="1"/>
  <c r="K1765" i="1"/>
  <c r="K1766" i="1"/>
  <c r="N1766" i="1" s="1"/>
  <c r="K1767" i="1"/>
  <c r="N1767" i="1" s="1"/>
  <c r="K1768" i="1"/>
  <c r="N1768" i="1" s="1"/>
  <c r="K1769" i="1"/>
  <c r="K1770" i="1"/>
  <c r="K1771" i="1"/>
  <c r="N1771" i="1" s="1"/>
  <c r="K1772" i="1"/>
  <c r="K1773" i="1"/>
  <c r="K1774" i="1"/>
  <c r="N1774" i="1" s="1"/>
  <c r="K1775" i="1"/>
  <c r="N1775" i="1" s="1"/>
  <c r="K1776" i="1"/>
  <c r="N1776" i="1" s="1"/>
  <c r="K1777" i="1"/>
  <c r="K1778" i="1"/>
  <c r="N1778" i="1" s="1"/>
  <c r="K1779" i="1"/>
  <c r="K1780" i="1"/>
  <c r="K1781" i="1"/>
  <c r="K1782" i="1"/>
  <c r="N1782" i="1" s="1"/>
  <c r="K1783" i="1"/>
  <c r="N1783" i="1" s="1"/>
  <c r="K1784" i="1"/>
  <c r="N1784" i="1" s="1"/>
  <c r="K1785" i="1"/>
  <c r="K1786" i="1"/>
  <c r="K1787" i="1"/>
  <c r="N1787" i="1" s="1"/>
  <c r="K1788" i="1"/>
  <c r="K1789" i="1"/>
  <c r="K1790" i="1"/>
  <c r="N1790" i="1" s="1"/>
  <c r="K1791" i="1"/>
  <c r="N1791" i="1" s="1"/>
  <c r="K1792" i="1"/>
  <c r="N1792" i="1" s="1"/>
  <c r="K1793" i="1"/>
  <c r="K1794" i="1"/>
  <c r="K1795" i="1"/>
  <c r="N1795" i="1" s="1"/>
  <c r="K1796" i="1"/>
  <c r="K1797" i="1"/>
  <c r="K1798" i="1"/>
  <c r="K1799" i="1"/>
  <c r="N1799" i="1" s="1"/>
  <c r="K1800" i="1"/>
  <c r="N1800" i="1" s="1"/>
  <c r="K1801" i="1"/>
  <c r="K1802" i="1"/>
  <c r="N1802" i="1" s="1"/>
  <c r="K1803" i="1"/>
  <c r="K1804" i="1"/>
  <c r="K1805" i="1"/>
  <c r="K1806" i="1"/>
  <c r="N1806" i="1" s="1"/>
  <c r="K1807" i="1"/>
  <c r="N1807" i="1" s="1"/>
  <c r="K1808" i="1"/>
  <c r="N1808" i="1" s="1"/>
  <c r="K1809" i="1"/>
  <c r="K1810" i="1"/>
  <c r="K1811" i="1"/>
  <c r="N1811" i="1" s="1"/>
  <c r="K1812" i="1"/>
  <c r="K1813" i="1"/>
  <c r="K1814" i="1"/>
  <c r="N1814" i="1" s="1"/>
  <c r="K1815" i="1"/>
  <c r="N1815" i="1" s="1"/>
  <c r="K1816" i="1"/>
  <c r="N1816" i="1" s="1"/>
  <c r="K1817" i="1"/>
  <c r="K1818" i="1"/>
  <c r="N1818" i="1" s="1"/>
  <c r="K1819" i="1"/>
  <c r="N1819" i="1" s="1"/>
  <c r="K1820" i="1"/>
  <c r="K1821" i="1"/>
  <c r="K1822" i="1"/>
  <c r="N1822" i="1" s="1"/>
  <c r="K1823" i="1"/>
  <c r="N1823" i="1" s="1"/>
  <c r="K1824" i="1"/>
  <c r="N1824" i="1" s="1"/>
  <c r="K1825" i="1"/>
  <c r="K1826" i="1"/>
  <c r="K1827" i="1"/>
  <c r="N1827" i="1" s="1"/>
  <c r="K1828" i="1"/>
  <c r="K1829" i="1"/>
  <c r="K1830" i="1"/>
  <c r="N1830" i="1" s="1"/>
  <c r="K1831" i="1"/>
  <c r="N1831" i="1" s="1"/>
  <c r="K1832" i="1"/>
  <c r="N1832" i="1" s="1"/>
  <c r="K1833" i="1"/>
  <c r="K1834" i="1"/>
  <c r="N1834" i="1" s="1"/>
  <c r="K1835" i="1"/>
  <c r="N1835" i="1" s="1"/>
  <c r="K1836" i="1"/>
  <c r="K1837" i="1"/>
  <c r="K1838" i="1"/>
  <c r="N1838" i="1" s="1"/>
  <c r="K1839" i="1"/>
  <c r="N1839" i="1" s="1"/>
  <c r="K1840" i="1"/>
  <c r="N1840" i="1" s="1"/>
  <c r="K1841" i="1"/>
  <c r="K1842" i="1"/>
  <c r="K1843" i="1"/>
  <c r="K1844" i="1"/>
  <c r="K1845" i="1"/>
  <c r="K1846" i="1"/>
  <c r="N1846" i="1" s="1"/>
  <c r="K1847" i="1"/>
  <c r="N1847" i="1" s="1"/>
  <c r="K1848" i="1"/>
  <c r="N1848" i="1" s="1"/>
  <c r="K1849" i="1"/>
  <c r="K1850" i="1"/>
  <c r="N1850" i="1" s="1"/>
  <c r="K1851" i="1"/>
  <c r="K1852" i="1"/>
  <c r="K1853" i="1"/>
  <c r="K1854" i="1"/>
  <c r="N1854" i="1" s="1"/>
  <c r="K1855" i="1"/>
  <c r="N1855" i="1" s="1"/>
  <c r="K1856" i="1"/>
  <c r="N1856" i="1" s="1"/>
  <c r="K1857" i="1"/>
  <c r="K1858" i="1"/>
  <c r="K1859" i="1"/>
  <c r="N1859" i="1" s="1"/>
  <c r="K1860" i="1"/>
  <c r="K1861" i="1"/>
  <c r="K1862" i="1"/>
  <c r="N1862" i="1" s="1"/>
  <c r="K1863" i="1"/>
  <c r="N1863" i="1" s="1"/>
  <c r="K1864" i="1"/>
  <c r="N1864" i="1" s="1"/>
  <c r="K1865" i="1"/>
  <c r="K1866" i="1"/>
  <c r="K1867" i="1"/>
  <c r="K1868" i="1"/>
  <c r="K1869" i="1"/>
  <c r="K1870" i="1"/>
  <c r="N1870" i="1" s="1"/>
  <c r="K1871" i="1"/>
  <c r="N1871" i="1" s="1"/>
  <c r="K1872" i="1"/>
  <c r="N1872" i="1" s="1"/>
  <c r="K1873" i="1"/>
  <c r="K1874" i="1"/>
  <c r="N1874" i="1" s="1"/>
  <c r="K1875" i="1"/>
  <c r="N1875" i="1" s="1"/>
  <c r="K1876" i="1"/>
  <c r="K1877" i="1"/>
  <c r="K1878" i="1"/>
  <c r="N1878" i="1" s="1"/>
  <c r="K1879" i="1"/>
  <c r="N1879" i="1" s="1"/>
  <c r="K1880" i="1"/>
  <c r="N1880" i="1" s="1"/>
  <c r="K1881" i="1"/>
  <c r="K1882" i="1"/>
  <c r="N1882" i="1" s="1"/>
  <c r="K1883" i="1"/>
  <c r="N1883" i="1" s="1"/>
  <c r="K1884" i="1"/>
  <c r="K1885" i="1"/>
  <c r="K1886" i="1"/>
  <c r="N1886" i="1" s="1"/>
  <c r="K1887" i="1"/>
  <c r="N1887" i="1" s="1"/>
  <c r="K1888" i="1"/>
  <c r="N1888" i="1" s="1"/>
  <c r="K1889" i="1"/>
  <c r="K1890" i="1"/>
  <c r="N1890" i="1" s="1"/>
  <c r="K1891" i="1"/>
  <c r="N1891" i="1" s="1"/>
  <c r="K1892" i="1"/>
  <c r="K1893" i="1"/>
  <c r="K1894" i="1"/>
  <c r="N1894" i="1" s="1"/>
  <c r="K1895" i="1"/>
  <c r="N1895" i="1" s="1"/>
  <c r="K1896" i="1"/>
  <c r="N1896" i="1" s="1"/>
  <c r="K1897" i="1"/>
  <c r="K1898" i="1"/>
  <c r="N1898" i="1" s="1"/>
  <c r="K1899" i="1"/>
  <c r="N1899" i="1" s="1"/>
  <c r="K1900" i="1"/>
  <c r="K1901" i="1"/>
  <c r="K1902" i="1"/>
  <c r="N1902" i="1" s="1"/>
  <c r="K1903" i="1"/>
  <c r="N1903" i="1" s="1"/>
  <c r="K1904" i="1"/>
  <c r="N1904" i="1" s="1"/>
  <c r="K1905" i="1"/>
  <c r="K1906" i="1"/>
  <c r="N1906" i="1" s="1"/>
  <c r="K1907" i="1"/>
  <c r="K1908" i="1"/>
  <c r="K1909" i="1"/>
  <c r="K1910" i="1"/>
  <c r="N1910" i="1" s="1"/>
  <c r="K1911" i="1"/>
  <c r="N1911" i="1" s="1"/>
  <c r="K1912" i="1"/>
  <c r="N1912" i="1" s="1"/>
  <c r="K1913" i="1"/>
  <c r="K1914" i="1"/>
  <c r="K1915" i="1"/>
  <c r="K1916" i="1"/>
  <c r="K1917" i="1"/>
  <c r="K1918" i="1"/>
  <c r="N1918" i="1" s="1"/>
  <c r="K1919" i="1"/>
  <c r="N1919" i="1" s="1"/>
  <c r="K1920" i="1"/>
  <c r="N1920" i="1" s="1"/>
  <c r="K1921" i="1"/>
  <c r="K1922" i="1"/>
  <c r="N1922" i="1" s="1"/>
  <c r="K1923" i="1"/>
  <c r="N1923" i="1" s="1"/>
  <c r="K1924" i="1"/>
  <c r="K1925" i="1"/>
  <c r="K1926" i="1"/>
  <c r="N1926" i="1" s="1"/>
  <c r="K1927" i="1"/>
  <c r="N1927" i="1" s="1"/>
  <c r="K1928" i="1"/>
  <c r="N1928" i="1" s="1"/>
  <c r="K1929" i="1"/>
  <c r="K1930" i="1"/>
  <c r="K1931" i="1"/>
  <c r="K1932" i="1"/>
  <c r="K1933" i="1"/>
  <c r="K1934" i="1"/>
  <c r="N1934" i="1" s="1"/>
  <c r="K1935" i="1"/>
  <c r="N1935" i="1" s="1"/>
  <c r="K1936" i="1"/>
  <c r="N1936" i="1" s="1"/>
  <c r="K1937" i="1"/>
  <c r="K1938" i="1"/>
  <c r="K1939" i="1"/>
  <c r="N1939" i="1" s="1"/>
  <c r="K1940" i="1"/>
  <c r="K1941" i="1"/>
  <c r="K1942" i="1"/>
  <c r="N1942" i="1" s="1"/>
  <c r="K1943" i="1"/>
  <c r="N1943" i="1" s="1"/>
  <c r="K1944" i="1"/>
  <c r="N1944" i="1" s="1"/>
  <c r="K1945" i="1"/>
  <c r="K1946" i="1"/>
  <c r="K1947" i="1"/>
  <c r="N1947" i="1" s="1"/>
  <c r="K1948" i="1"/>
  <c r="K1949" i="1"/>
  <c r="K1950" i="1"/>
  <c r="N1950" i="1" s="1"/>
  <c r="K1951" i="1"/>
  <c r="N1951" i="1" s="1"/>
  <c r="K1952" i="1"/>
  <c r="N1952" i="1" s="1"/>
  <c r="K1953" i="1"/>
  <c r="K1954" i="1"/>
  <c r="K1955" i="1"/>
  <c r="N1955" i="1" s="1"/>
  <c r="K1956" i="1"/>
  <c r="K1957" i="1"/>
  <c r="K1958" i="1"/>
  <c r="K1959" i="1"/>
  <c r="N1959" i="1" s="1"/>
  <c r="K1960" i="1"/>
  <c r="N1960" i="1" s="1"/>
  <c r="K1961" i="1"/>
  <c r="K1962" i="1"/>
  <c r="N1962" i="1" s="1"/>
  <c r="K1963" i="1"/>
  <c r="N1963" i="1" s="1"/>
  <c r="K1964" i="1"/>
  <c r="K1965" i="1"/>
  <c r="K1966" i="1"/>
  <c r="N1966" i="1" s="1"/>
  <c r="K1967" i="1"/>
  <c r="N1967" i="1" s="1"/>
  <c r="K1968" i="1"/>
  <c r="N1968" i="1" s="1"/>
  <c r="K1969" i="1"/>
  <c r="K1970" i="1"/>
  <c r="N1970" i="1" s="1"/>
  <c r="K1971" i="1"/>
  <c r="N1971" i="1" s="1"/>
  <c r="K1972" i="1"/>
  <c r="K1973" i="1"/>
  <c r="K1974" i="1"/>
  <c r="N1974" i="1" s="1"/>
  <c r="K1975" i="1"/>
  <c r="K1976" i="1"/>
  <c r="N1976" i="1" s="1"/>
  <c r="K1977" i="1"/>
  <c r="K1978" i="1"/>
  <c r="N1978" i="1" s="1"/>
  <c r="K1979" i="1"/>
  <c r="N1979" i="1" s="1"/>
  <c r="K1980" i="1"/>
  <c r="K1981" i="1"/>
  <c r="K1982" i="1"/>
  <c r="N1982" i="1" s="1"/>
  <c r="K1983" i="1"/>
  <c r="N1983" i="1" s="1"/>
  <c r="K1984" i="1"/>
  <c r="N1984" i="1" s="1"/>
  <c r="K1985" i="1"/>
  <c r="K1986" i="1"/>
  <c r="N1986" i="1" s="1"/>
  <c r="K1987" i="1"/>
  <c r="N1987" i="1" s="1"/>
  <c r="K1988" i="1"/>
  <c r="K1989" i="1"/>
  <c r="K1990" i="1"/>
  <c r="N1990" i="1" s="1"/>
  <c r="K1991" i="1"/>
  <c r="N1991" i="1" s="1"/>
  <c r="K1992" i="1"/>
  <c r="N1992" i="1" s="1"/>
  <c r="K1993" i="1"/>
  <c r="K1994" i="1"/>
  <c r="N1994" i="1" s="1"/>
  <c r="K1995" i="1"/>
  <c r="K1996" i="1"/>
  <c r="K1997" i="1"/>
  <c r="K1998" i="1"/>
  <c r="N1998" i="1" s="1"/>
  <c r="K1999" i="1"/>
  <c r="N1999" i="1" s="1"/>
  <c r="K2000" i="1"/>
  <c r="N2000" i="1" s="1"/>
  <c r="K2001" i="1"/>
  <c r="K2002" i="1"/>
  <c r="K2003" i="1"/>
  <c r="K2004" i="1"/>
  <c r="K2005" i="1"/>
  <c r="K2006" i="1"/>
  <c r="N2006" i="1" s="1"/>
  <c r="K2007" i="1"/>
  <c r="N2007" i="1" s="1"/>
  <c r="K2008" i="1"/>
  <c r="N2008" i="1" s="1"/>
  <c r="K2009" i="1"/>
  <c r="K2010" i="1"/>
  <c r="N2010" i="1" s="1"/>
  <c r="K2011" i="1"/>
  <c r="N2011" i="1" s="1"/>
  <c r="K2012" i="1"/>
  <c r="K2013" i="1"/>
  <c r="K2014" i="1"/>
  <c r="N2014" i="1" s="1"/>
  <c r="K2015" i="1"/>
  <c r="N2015" i="1" s="1"/>
  <c r="K2016" i="1"/>
  <c r="N2016" i="1" s="1"/>
  <c r="K2017" i="1"/>
  <c r="K2018" i="1"/>
  <c r="K2019" i="1"/>
  <c r="K2020" i="1"/>
  <c r="K2021" i="1"/>
  <c r="K2022" i="1"/>
  <c r="N2022" i="1" s="1"/>
  <c r="K2023" i="1"/>
  <c r="N2023" i="1" s="1"/>
  <c r="K2024" i="1"/>
  <c r="N2024" i="1" s="1"/>
  <c r="K2025" i="1"/>
  <c r="K2026" i="1"/>
  <c r="N2026" i="1" s="1"/>
  <c r="K2027" i="1"/>
  <c r="K2028" i="1"/>
  <c r="K2029" i="1"/>
  <c r="K2030" i="1"/>
  <c r="N2030" i="1" s="1"/>
  <c r="K2031" i="1"/>
  <c r="N2031" i="1" s="1"/>
  <c r="K2032" i="1"/>
  <c r="N2032" i="1" s="1"/>
  <c r="K2033" i="1"/>
  <c r="K2034" i="1"/>
  <c r="N2034" i="1" s="1"/>
  <c r="K2035" i="1"/>
  <c r="N2035" i="1" s="1"/>
  <c r="K2036" i="1"/>
  <c r="K2037" i="1"/>
  <c r="K2038" i="1"/>
  <c r="N2038" i="1" s="1"/>
  <c r="K2039" i="1"/>
  <c r="N2039" i="1" s="1"/>
  <c r="K2040" i="1"/>
  <c r="N2040" i="1" s="1"/>
  <c r="K2041" i="1"/>
  <c r="K2042" i="1"/>
  <c r="K2043" i="1"/>
  <c r="K2044" i="1"/>
  <c r="K2045" i="1"/>
  <c r="K2046" i="1"/>
  <c r="N2046" i="1" s="1"/>
  <c r="K2047" i="1"/>
  <c r="N2047" i="1" s="1"/>
  <c r="K2048" i="1"/>
  <c r="N2048" i="1" s="1"/>
  <c r="K2049" i="1"/>
  <c r="K2050" i="1"/>
  <c r="N2050" i="1" s="1"/>
  <c r="K2051" i="1"/>
  <c r="N2051" i="1" s="1"/>
  <c r="K2052" i="1"/>
  <c r="K2053" i="1"/>
  <c r="K2054" i="1"/>
  <c r="K2055" i="1"/>
  <c r="K2056" i="1"/>
  <c r="N2056" i="1" s="1"/>
  <c r="K2057" i="1"/>
  <c r="K2058" i="1"/>
  <c r="K2059" i="1"/>
  <c r="N2059" i="1" s="1"/>
  <c r="K2060" i="1"/>
  <c r="K2061" i="1"/>
  <c r="K2062" i="1"/>
  <c r="N2062" i="1" s="1"/>
  <c r="K2063" i="1"/>
  <c r="N2063" i="1" s="1"/>
  <c r="K2064" i="1"/>
  <c r="N2064" i="1" s="1"/>
  <c r="K2065" i="1"/>
  <c r="K2066" i="1"/>
  <c r="K2067" i="1"/>
  <c r="K2068" i="1"/>
  <c r="K2069" i="1"/>
  <c r="K2070" i="1"/>
  <c r="N2070" i="1" s="1"/>
  <c r="K2071" i="1"/>
  <c r="K2072" i="1"/>
  <c r="N2072" i="1" s="1"/>
  <c r="K2073" i="1"/>
  <c r="K2074" i="1"/>
  <c r="N2074" i="1" s="1"/>
  <c r="K2075" i="1"/>
  <c r="N2075" i="1" s="1"/>
  <c r="K2076" i="1"/>
  <c r="K2077" i="1"/>
  <c r="K2078" i="1"/>
  <c r="N2078" i="1" s="1"/>
  <c r="K2079" i="1"/>
  <c r="N2079" i="1" s="1"/>
  <c r="K2080" i="1"/>
  <c r="N2080" i="1" s="1"/>
  <c r="K2081" i="1"/>
  <c r="K2082" i="1"/>
  <c r="N2082" i="1" s="1"/>
  <c r="K2083" i="1"/>
  <c r="N2083" i="1" s="1"/>
  <c r="K2084" i="1"/>
  <c r="K2085" i="1"/>
  <c r="K2086" i="1"/>
  <c r="N2086" i="1" s="1"/>
  <c r="K2087" i="1"/>
  <c r="N2087" i="1" s="1"/>
  <c r="K2088" i="1"/>
  <c r="N2088" i="1" s="1"/>
  <c r="K2089" i="1"/>
  <c r="K2090" i="1"/>
  <c r="N2090" i="1" s="1"/>
  <c r="K2091" i="1"/>
  <c r="N2091" i="1" s="1"/>
  <c r="K2092" i="1"/>
  <c r="K2093" i="1"/>
  <c r="K2094" i="1"/>
  <c r="N2094" i="1" s="1"/>
  <c r="K2095" i="1"/>
  <c r="N2095" i="1" s="1"/>
  <c r="K2096" i="1"/>
  <c r="N2096" i="1" s="1"/>
  <c r="K2097" i="1"/>
  <c r="K2098" i="1"/>
  <c r="N2098" i="1" s="1"/>
  <c r="K2099" i="1"/>
  <c r="N2099" i="1" s="1"/>
  <c r="K2100" i="1"/>
  <c r="K2101" i="1"/>
  <c r="K2102" i="1"/>
  <c r="N2102" i="1" s="1"/>
  <c r="K2103" i="1"/>
  <c r="N2103" i="1" s="1"/>
  <c r="K2104" i="1"/>
  <c r="N2104" i="1" s="1"/>
  <c r="K2105" i="1"/>
  <c r="K2106" i="1"/>
  <c r="N2106" i="1" s="1"/>
  <c r="K2107" i="1"/>
  <c r="N2107" i="1" s="1"/>
  <c r="K2108" i="1"/>
  <c r="K2109" i="1"/>
  <c r="K2110" i="1"/>
  <c r="N2110" i="1" s="1"/>
  <c r="K2111" i="1"/>
  <c r="N2111" i="1" s="1"/>
  <c r="K2112" i="1"/>
  <c r="N2112" i="1" s="1"/>
  <c r="K2113" i="1"/>
  <c r="K2114" i="1"/>
  <c r="K2115" i="1"/>
  <c r="K2116" i="1"/>
  <c r="K2117" i="1"/>
  <c r="K2118" i="1"/>
  <c r="N2118" i="1" s="1"/>
  <c r="K2119" i="1"/>
  <c r="N2119" i="1" s="1"/>
  <c r="K2120" i="1"/>
  <c r="N2120" i="1" s="1"/>
  <c r="K2121" i="1"/>
  <c r="K2122" i="1"/>
  <c r="N2122" i="1" s="1"/>
  <c r="K2123" i="1"/>
  <c r="N2123" i="1" s="1"/>
  <c r="K2124" i="1"/>
  <c r="K2125" i="1"/>
  <c r="K2126" i="1"/>
  <c r="N2126" i="1" s="1"/>
  <c r="K2127" i="1"/>
  <c r="N2127" i="1" s="1"/>
  <c r="K2128" i="1"/>
  <c r="N2128" i="1" s="1"/>
  <c r="K2129" i="1"/>
  <c r="K2130" i="1"/>
  <c r="K2131" i="1"/>
  <c r="K2132" i="1"/>
  <c r="K2133" i="1"/>
  <c r="K2134" i="1"/>
  <c r="N2134" i="1" s="1"/>
  <c r="K2135" i="1"/>
  <c r="N2135" i="1" s="1"/>
  <c r="K2136" i="1"/>
  <c r="N2136" i="1" s="1"/>
  <c r="K2137" i="1"/>
  <c r="K2138" i="1"/>
  <c r="K2139" i="1"/>
  <c r="K2140" i="1"/>
  <c r="K2141" i="1"/>
  <c r="K2142" i="1"/>
  <c r="N2142" i="1" s="1"/>
  <c r="K2143" i="1"/>
  <c r="N2143" i="1" s="1"/>
  <c r="K2144" i="1"/>
  <c r="N2144" i="1" s="1"/>
  <c r="K2145" i="1"/>
  <c r="K2146" i="1"/>
  <c r="N2146" i="1" s="1"/>
  <c r="K2147" i="1"/>
  <c r="N2147" i="1" s="1"/>
  <c r="K2148" i="1"/>
  <c r="K2149" i="1"/>
  <c r="K2150" i="1"/>
  <c r="N2150" i="1" s="1"/>
  <c r="K2151" i="1"/>
  <c r="N2151" i="1" s="1"/>
  <c r="K2152" i="1"/>
  <c r="N2152" i="1" s="1"/>
  <c r="K2153" i="1"/>
  <c r="K2154" i="1"/>
  <c r="N2154" i="1" s="1"/>
  <c r="K2155" i="1"/>
  <c r="K2156" i="1"/>
  <c r="K2157" i="1"/>
  <c r="K2158" i="1"/>
  <c r="N2158" i="1" s="1"/>
  <c r="K2159" i="1"/>
  <c r="N2159" i="1" s="1"/>
  <c r="K2160" i="1"/>
  <c r="N2160" i="1" s="1"/>
  <c r="K2161" i="1"/>
  <c r="K2162" i="1"/>
  <c r="N2162" i="1" s="1"/>
  <c r="K2163" i="1"/>
  <c r="N2163" i="1" s="1"/>
  <c r="K2164" i="1"/>
  <c r="K2165" i="1"/>
  <c r="K2166" i="1"/>
  <c r="N2166" i="1" s="1"/>
  <c r="K2167" i="1"/>
  <c r="N2167" i="1" s="1"/>
  <c r="K2168" i="1"/>
  <c r="N2168" i="1" s="1"/>
  <c r="K2169" i="1"/>
  <c r="K2170" i="1"/>
  <c r="K2171" i="1"/>
  <c r="N2171" i="1" s="1"/>
  <c r="K2172" i="1"/>
  <c r="K2173" i="1"/>
  <c r="K2174" i="1"/>
  <c r="N2174" i="1" s="1"/>
  <c r="K2175" i="1"/>
  <c r="N2175" i="1" s="1"/>
  <c r="K2176" i="1"/>
  <c r="N2176" i="1" s="1"/>
  <c r="K2177" i="1"/>
  <c r="K2178" i="1"/>
  <c r="N2178" i="1" s="1"/>
  <c r="K2179" i="1"/>
  <c r="N2179" i="1" s="1"/>
  <c r="K2180" i="1"/>
  <c r="K2181" i="1"/>
  <c r="K2182" i="1"/>
  <c r="N2182" i="1" s="1"/>
  <c r="K2183" i="1"/>
  <c r="N2183" i="1" s="1"/>
  <c r="K2184" i="1"/>
  <c r="N2184" i="1" s="1"/>
  <c r="K2185" i="1"/>
  <c r="K2186" i="1"/>
  <c r="K2187" i="1"/>
  <c r="N2187" i="1" s="1"/>
  <c r="K2188" i="1"/>
  <c r="K2189" i="1"/>
  <c r="K2190" i="1"/>
  <c r="N2190" i="1" s="1"/>
  <c r="K2191" i="1"/>
  <c r="N2191" i="1" s="1"/>
  <c r="K2192" i="1"/>
  <c r="N2192" i="1" s="1"/>
  <c r="K2193" i="1"/>
  <c r="K2194" i="1"/>
  <c r="N2194" i="1" s="1"/>
  <c r="K2195" i="1"/>
  <c r="K2196" i="1"/>
  <c r="K2197" i="1"/>
  <c r="K2198" i="1"/>
  <c r="N2198" i="1" s="1"/>
  <c r="K2199" i="1"/>
  <c r="N2199" i="1" s="1"/>
  <c r="K2200" i="1"/>
  <c r="N2200" i="1" s="1"/>
  <c r="K2201" i="1"/>
  <c r="K2202" i="1"/>
  <c r="K2203" i="1"/>
  <c r="K2204" i="1"/>
  <c r="K2205" i="1"/>
  <c r="K2206" i="1"/>
  <c r="N2206" i="1" s="1"/>
  <c r="K2207" i="1"/>
  <c r="N2207" i="1" s="1"/>
  <c r="K2208" i="1"/>
  <c r="N2208" i="1" s="1"/>
  <c r="K2209" i="1"/>
  <c r="K2210" i="1"/>
  <c r="K2211" i="1"/>
  <c r="N2211" i="1" s="1"/>
  <c r="K2212" i="1"/>
  <c r="K2213" i="1"/>
  <c r="K2214" i="1"/>
  <c r="N2214" i="1" s="1"/>
  <c r="K2215" i="1"/>
  <c r="N2215" i="1" s="1"/>
  <c r="K2216" i="1"/>
  <c r="N2216" i="1" s="1"/>
  <c r="K2217" i="1"/>
  <c r="K2218" i="1"/>
  <c r="K2219" i="1"/>
  <c r="N2219" i="1" s="1"/>
  <c r="K2220" i="1"/>
  <c r="K2221" i="1"/>
  <c r="K2222" i="1"/>
  <c r="N2222" i="1" s="1"/>
  <c r="K2223" i="1"/>
  <c r="N2223" i="1" s="1"/>
  <c r="K2224" i="1"/>
  <c r="N2224" i="1" s="1"/>
  <c r="K2225" i="1"/>
  <c r="K2226" i="1"/>
  <c r="N2226" i="1" s="1"/>
  <c r="K2227" i="1"/>
  <c r="N2227" i="1" s="1"/>
  <c r="K2228" i="1"/>
  <c r="K2229" i="1"/>
  <c r="K2230" i="1"/>
  <c r="N2230" i="1" s="1"/>
  <c r="K2231" i="1"/>
  <c r="N2231" i="1" s="1"/>
  <c r="K2232" i="1"/>
  <c r="N2232" i="1" s="1"/>
  <c r="K2233" i="1"/>
  <c r="K2234" i="1"/>
  <c r="N2234" i="1" s="1"/>
  <c r="K2235" i="1"/>
  <c r="N2235" i="1" s="1"/>
  <c r="K2236" i="1"/>
  <c r="K2237" i="1"/>
  <c r="K2238" i="1"/>
  <c r="N2238" i="1" s="1"/>
  <c r="K2239" i="1"/>
  <c r="N2239" i="1" s="1"/>
  <c r="K2240" i="1"/>
  <c r="N2240" i="1" s="1"/>
  <c r="K2241" i="1"/>
  <c r="K2242" i="1"/>
  <c r="N2242" i="1" s="1"/>
  <c r="K2243" i="1"/>
  <c r="N2243" i="1" s="1"/>
  <c r="K2244" i="1"/>
  <c r="K2245" i="1"/>
  <c r="K2246" i="1"/>
  <c r="N2246" i="1" s="1"/>
  <c r="K2247" i="1"/>
  <c r="N2247" i="1" s="1"/>
  <c r="K2248" i="1"/>
  <c r="N2248" i="1" s="1"/>
  <c r="K2249" i="1"/>
  <c r="K2250" i="1"/>
  <c r="N2250" i="1" s="1"/>
  <c r="K2251" i="1"/>
  <c r="N2251" i="1" s="1"/>
  <c r="K2252" i="1"/>
  <c r="K2253" i="1"/>
  <c r="K2254" i="1"/>
  <c r="N2254" i="1" s="1"/>
  <c r="K2255" i="1"/>
  <c r="N2255" i="1" s="1"/>
  <c r="K2256" i="1"/>
  <c r="N2256" i="1" s="1"/>
  <c r="K2257" i="1"/>
  <c r="K2258" i="1"/>
  <c r="N2258" i="1" s="1"/>
  <c r="K2259" i="1"/>
  <c r="N2259" i="1" s="1"/>
  <c r="K2260" i="1"/>
  <c r="K2261" i="1"/>
  <c r="K2262" i="1"/>
  <c r="N2262" i="1" s="1"/>
  <c r="K2263" i="1"/>
  <c r="N2263" i="1" s="1"/>
  <c r="K2264" i="1"/>
  <c r="N2264" i="1" s="1"/>
  <c r="K2265" i="1"/>
  <c r="K2266" i="1"/>
  <c r="N2266" i="1" s="1"/>
  <c r="K2267" i="1"/>
  <c r="N2267" i="1" s="1"/>
  <c r="K2268" i="1"/>
  <c r="K2269" i="1"/>
  <c r="K2270" i="1"/>
  <c r="N2270" i="1" s="1"/>
  <c r="K2271" i="1"/>
  <c r="N2271" i="1" s="1"/>
  <c r="K2272" i="1"/>
  <c r="N2272" i="1" s="1"/>
  <c r="K2273" i="1"/>
  <c r="K2274" i="1"/>
  <c r="N2274" i="1" s="1"/>
  <c r="K2275" i="1"/>
  <c r="K2276" i="1"/>
  <c r="K2277" i="1"/>
  <c r="K2278" i="1"/>
  <c r="N2278" i="1" s="1"/>
  <c r="K2279" i="1"/>
  <c r="N2279" i="1" s="1"/>
  <c r="K2280" i="1"/>
  <c r="N2280" i="1" s="1"/>
  <c r="K2281" i="1"/>
  <c r="K2282" i="1"/>
  <c r="N2282" i="1" s="1"/>
  <c r="K2283" i="1"/>
  <c r="N2283" i="1" s="1"/>
  <c r="K2284" i="1"/>
  <c r="K2285" i="1"/>
  <c r="K2286" i="1"/>
  <c r="N2286" i="1" s="1"/>
  <c r="K2287" i="1"/>
  <c r="N2287" i="1" s="1"/>
  <c r="K2288" i="1"/>
  <c r="N2288" i="1" s="1"/>
  <c r="K2289" i="1"/>
  <c r="K2290" i="1"/>
  <c r="N2290" i="1" s="1"/>
  <c r="K2291" i="1"/>
  <c r="K2292" i="1"/>
  <c r="K2293" i="1"/>
  <c r="N2293" i="1" s="1"/>
  <c r="K2294" i="1"/>
  <c r="N2294" i="1" s="1"/>
  <c r="K2295" i="1"/>
  <c r="N2295" i="1" s="1"/>
  <c r="K2296" i="1"/>
  <c r="N2296" i="1" s="1"/>
  <c r="K2297" i="1"/>
  <c r="K2298" i="1"/>
  <c r="N2298" i="1" s="1"/>
  <c r="K2299" i="1"/>
  <c r="N2299" i="1" s="1"/>
  <c r="K2300" i="1"/>
  <c r="K2301" i="1"/>
  <c r="N2301" i="1" s="1"/>
  <c r="K2302" i="1"/>
  <c r="N2302" i="1" s="1"/>
  <c r="K2303" i="1"/>
  <c r="N2303" i="1" s="1"/>
  <c r="K2304" i="1"/>
  <c r="N2304" i="1" s="1"/>
  <c r="K2305" i="1"/>
  <c r="K2306" i="1"/>
  <c r="N2306" i="1" s="1"/>
  <c r="K2307" i="1"/>
  <c r="N2307" i="1" s="1"/>
  <c r="K2308" i="1"/>
  <c r="K2309" i="1"/>
  <c r="K2310" i="1"/>
  <c r="N2310" i="1" s="1"/>
  <c r="K2311" i="1"/>
  <c r="N2311" i="1" s="1"/>
  <c r="K2312" i="1"/>
  <c r="N2312" i="1" s="1"/>
  <c r="K2313" i="1"/>
  <c r="K2314" i="1"/>
  <c r="N2314" i="1" s="1"/>
  <c r="K2315" i="1"/>
  <c r="N2315" i="1" s="1"/>
  <c r="K2316" i="1"/>
  <c r="K2317" i="1"/>
  <c r="K2318" i="1"/>
  <c r="N2318" i="1" s="1"/>
  <c r="K2319" i="1"/>
  <c r="N2319" i="1" s="1"/>
  <c r="K2320" i="1"/>
  <c r="N2320" i="1" s="1"/>
  <c r="K2321" i="1"/>
  <c r="K2322" i="1"/>
  <c r="N2322" i="1" s="1"/>
  <c r="K2323" i="1"/>
  <c r="N2323" i="1" s="1"/>
  <c r="K2324" i="1"/>
  <c r="K2325" i="1"/>
  <c r="N2325" i="1" s="1"/>
  <c r="K2326" i="1"/>
  <c r="N2326" i="1" s="1"/>
  <c r="K2327" i="1"/>
  <c r="N2327" i="1" s="1"/>
  <c r="K2328" i="1"/>
  <c r="N2328" i="1" s="1"/>
  <c r="K2329" i="1"/>
  <c r="K2330" i="1"/>
  <c r="N2330" i="1" s="1"/>
  <c r="K2331" i="1"/>
  <c r="N2331" i="1" s="1"/>
  <c r="K2332" i="1"/>
  <c r="K2333" i="1"/>
  <c r="N2333" i="1" s="1"/>
  <c r="K2334" i="1"/>
  <c r="N2334" i="1" s="1"/>
  <c r="K2335" i="1"/>
  <c r="N2335" i="1" s="1"/>
  <c r="K2336" i="1"/>
  <c r="N2336" i="1" s="1"/>
  <c r="K2337" i="1"/>
  <c r="K2338" i="1"/>
  <c r="N2338" i="1" s="1"/>
  <c r="K2339" i="1"/>
  <c r="N2339" i="1" s="1"/>
  <c r="K2340" i="1"/>
  <c r="K2341" i="1"/>
  <c r="K2342" i="1"/>
  <c r="N2342" i="1" s="1"/>
  <c r="K2343" i="1"/>
  <c r="N2343" i="1" s="1"/>
  <c r="K2344" i="1"/>
  <c r="N2344" i="1" s="1"/>
  <c r="K2345" i="1"/>
  <c r="K2346" i="1"/>
  <c r="N2346" i="1" s="1"/>
  <c r="K2347" i="1"/>
  <c r="K2348" i="1"/>
  <c r="K2349" i="1"/>
  <c r="K2350" i="1"/>
  <c r="N2350" i="1" s="1"/>
  <c r="K2351" i="1"/>
  <c r="N2351" i="1" s="1"/>
  <c r="K2352" i="1"/>
  <c r="N2352" i="1" s="1"/>
  <c r="K2353" i="1"/>
  <c r="K2354" i="1"/>
  <c r="N2354" i="1" s="1"/>
  <c r="K2355" i="1"/>
  <c r="N2355" i="1" s="1"/>
  <c r="K2356" i="1"/>
  <c r="K2357" i="1"/>
  <c r="N2357" i="1" s="1"/>
  <c r="K2358" i="1"/>
  <c r="N2358" i="1" s="1"/>
  <c r="K2359" i="1"/>
  <c r="N2359" i="1" s="1"/>
  <c r="K2360" i="1"/>
  <c r="N2360" i="1" s="1"/>
  <c r="K2361" i="1"/>
  <c r="K2362" i="1"/>
  <c r="N2362" i="1" s="1"/>
  <c r="K2363" i="1"/>
  <c r="K2364" i="1"/>
  <c r="K2365" i="1"/>
  <c r="N2365" i="1" s="1"/>
  <c r="K2366" i="1"/>
  <c r="N2366" i="1" s="1"/>
  <c r="K2367" i="1"/>
  <c r="N2367" i="1" s="1"/>
  <c r="K2368" i="1"/>
  <c r="N2368" i="1" s="1"/>
  <c r="K2369" i="1"/>
  <c r="K2370" i="1"/>
  <c r="N2370" i="1" s="1"/>
  <c r="K2371" i="1"/>
  <c r="N2371" i="1" s="1"/>
  <c r="K2372" i="1"/>
  <c r="K2373" i="1"/>
  <c r="K2374" i="1"/>
  <c r="N2374" i="1" s="1"/>
  <c r="K2375" i="1"/>
  <c r="N2375" i="1" s="1"/>
  <c r="K2376" i="1"/>
  <c r="N2376" i="1" s="1"/>
  <c r="K2377" i="1"/>
  <c r="K2378" i="1"/>
  <c r="N2378" i="1" s="1"/>
  <c r="K2379" i="1"/>
  <c r="N2379" i="1" s="1"/>
  <c r="K2380" i="1"/>
  <c r="K2381" i="1"/>
  <c r="N2381" i="1" s="1"/>
  <c r="K2382" i="1"/>
  <c r="N2382" i="1" s="1"/>
  <c r="K2383" i="1"/>
  <c r="N2383" i="1" s="1"/>
  <c r="K2384" i="1"/>
  <c r="N2384" i="1" s="1"/>
  <c r="K2385" i="1"/>
  <c r="K2386" i="1"/>
  <c r="N2386" i="1" s="1"/>
  <c r="K2387" i="1"/>
  <c r="N2387" i="1" s="1"/>
  <c r="K2388" i="1"/>
  <c r="K2389" i="1"/>
  <c r="N2389" i="1" s="1"/>
  <c r="K2390" i="1"/>
  <c r="N2390" i="1" s="1"/>
  <c r="K2391" i="1"/>
  <c r="N2391" i="1" s="1"/>
  <c r="K2392" i="1"/>
  <c r="N2392" i="1" s="1"/>
  <c r="K2393" i="1"/>
  <c r="K2394" i="1"/>
  <c r="N2394" i="1" s="1"/>
  <c r="K2395" i="1"/>
  <c r="K2396" i="1"/>
  <c r="K2397" i="1"/>
  <c r="N2397" i="1" s="1"/>
  <c r="K2398" i="1"/>
  <c r="N2398" i="1" s="1"/>
  <c r="K2399" i="1"/>
  <c r="N2399" i="1" s="1"/>
  <c r="K2400" i="1"/>
  <c r="N2400" i="1" s="1"/>
  <c r="K2401" i="1"/>
  <c r="K2402" i="1"/>
  <c r="N2402" i="1" s="1"/>
  <c r="K2403" i="1"/>
  <c r="N2403" i="1" s="1"/>
  <c r="K2404" i="1"/>
  <c r="N2404" i="1" s="1"/>
  <c r="K2405" i="1"/>
  <c r="N2405" i="1" s="1"/>
  <c r="K2406" i="1"/>
  <c r="N2406" i="1" s="1"/>
  <c r="K2407" i="1"/>
  <c r="N2407" i="1" s="1"/>
  <c r="K2408" i="1"/>
  <c r="N2408" i="1" s="1"/>
  <c r="K2409" i="1"/>
  <c r="K2410" i="1"/>
  <c r="N2410" i="1" s="1"/>
  <c r="K2411" i="1"/>
  <c r="N2411" i="1" s="1"/>
  <c r="K2412" i="1"/>
  <c r="K2413" i="1"/>
  <c r="N2413" i="1" s="1"/>
  <c r="K2414" i="1"/>
  <c r="N2414" i="1" s="1"/>
  <c r="K2415" i="1"/>
  <c r="N2415" i="1" s="1"/>
  <c r="K2416" i="1"/>
  <c r="N2416" i="1" s="1"/>
  <c r="K2417" i="1"/>
  <c r="K2418" i="1"/>
  <c r="N2418" i="1" s="1"/>
  <c r="K2419" i="1"/>
  <c r="K2420" i="1"/>
  <c r="K2421" i="1"/>
  <c r="N2421" i="1" s="1"/>
  <c r="K2422" i="1"/>
  <c r="N2422" i="1" s="1"/>
  <c r="K2" i="1"/>
  <c r="N2420" i="1"/>
  <c r="N2419" i="1"/>
  <c r="N2412" i="1"/>
  <c r="N2396" i="1"/>
  <c r="N2395" i="1"/>
  <c r="N2388" i="1"/>
  <c r="N2380" i="1"/>
  <c r="N2373" i="1"/>
  <c r="N2372" i="1"/>
  <c r="N2364" i="1"/>
  <c r="N2363" i="1"/>
  <c r="N2356" i="1"/>
  <c r="N2349" i="1"/>
  <c r="N2348" i="1"/>
  <c r="N2347" i="1"/>
  <c r="N2341" i="1"/>
  <c r="N2340" i="1"/>
  <c r="N2332" i="1"/>
  <c r="N2324" i="1"/>
  <c r="N2317" i="1"/>
  <c r="N2316" i="1"/>
  <c r="N2309" i="1"/>
  <c r="N2308" i="1"/>
  <c r="N2300" i="1"/>
  <c r="N2292" i="1"/>
  <c r="N2291" i="1"/>
  <c r="N2285" i="1"/>
  <c r="N2284" i="1"/>
  <c r="N2277" i="1"/>
  <c r="N2276" i="1"/>
  <c r="N2275" i="1"/>
  <c r="N2269" i="1"/>
  <c r="N2268" i="1"/>
  <c r="N2261" i="1"/>
  <c r="N2260" i="1"/>
  <c r="N2253" i="1"/>
  <c r="N2252" i="1"/>
  <c r="N2245" i="1"/>
  <c r="N2244" i="1"/>
  <c r="N2237" i="1"/>
  <c r="N2236" i="1"/>
  <c r="N2229" i="1"/>
  <c r="N2228" i="1"/>
  <c r="N2221" i="1"/>
  <c r="N2220" i="1"/>
  <c r="N2218" i="1"/>
  <c r="N2213" i="1"/>
  <c r="N2212" i="1"/>
  <c r="N2210" i="1"/>
  <c r="N2205" i="1"/>
  <c r="N2204" i="1"/>
  <c r="N2203" i="1"/>
  <c r="N2202" i="1"/>
  <c r="N2197" i="1"/>
  <c r="N2196" i="1"/>
  <c r="N2195" i="1"/>
  <c r="N2189" i="1"/>
  <c r="N2188" i="1"/>
  <c r="N2186" i="1"/>
  <c r="N2181" i="1"/>
  <c r="N2180" i="1"/>
  <c r="N2173" i="1"/>
  <c r="N2172" i="1"/>
  <c r="N2170" i="1"/>
  <c r="N2165" i="1"/>
  <c r="N2164" i="1"/>
  <c r="N2157" i="1"/>
  <c r="N2156" i="1"/>
  <c r="N2155" i="1"/>
  <c r="N2149" i="1"/>
  <c r="N2148" i="1"/>
  <c r="N2141" i="1"/>
  <c r="N2140" i="1"/>
  <c r="N2139" i="1"/>
  <c r="N2138" i="1"/>
  <c r="N2133" i="1"/>
  <c r="N2132" i="1"/>
  <c r="N2131" i="1"/>
  <c r="N2130" i="1"/>
  <c r="N2125" i="1"/>
  <c r="N2124" i="1"/>
  <c r="N2117" i="1"/>
  <c r="N2116" i="1"/>
  <c r="N2115" i="1"/>
  <c r="N2114" i="1"/>
  <c r="N2109" i="1"/>
  <c r="N2108" i="1"/>
  <c r="N2101" i="1"/>
  <c r="N2100" i="1"/>
  <c r="N2093" i="1"/>
  <c r="N2092" i="1"/>
  <c r="N2085" i="1"/>
  <c r="N2084" i="1"/>
  <c r="N2077" i="1"/>
  <c r="N2076" i="1"/>
  <c r="N2071" i="1"/>
  <c r="N2069" i="1"/>
  <c r="N2068" i="1"/>
  <c r="N2067" i="1"/>
  <c r="N2066" i="1"/>
  <c r="N2061" i="1"/>
  <c r="N2060" i="1"/>
  <c r="N2058" i="1"/>
  <c r="N2055" i="1"/>
  <c r="N2054" i="1"/>
  <c r="N2053" i="1"/>
  <c r="N2052" i="1"/>
  <c r="N2045" i="1"/>
  <c r="N2044" i="1"/>
  <c r="N2043" i="1"/>
  <c r="N2042" i="1"/>
  <c r="N2037" i="1"/>
  <c r="N2036" i="1"/>
  <c r="N2029" i="1"/>
  <c r="N2028" i="1"/>
  <c r="N2027" i="1"/>
  <c r="N2021" i="1"/>
  <c r="N2020" i="1"/>
  <c r="N2019" i="1"/>
  <c r="N2018" i="1"/>
  <c r="N2013" i="1"/>
  <c r="N2012" i="1"/>
  <c r="N2005" i="1"/>
  <c r="N2004" i="1"/>
  <c r="N2003" i="1"/>
  <c r="N2002" i="1"/>
  <c r="N1997" i="1"/>
  <c r="N1996" i="1"/>
  <c r="N1995" i="1"/>
  <c r="N1989" i="1"/>
  <c r="N1988" i="1"/>
  <c r="N1981" i="1"/>
  <c r="N1980" i="1"/>
  <c r="N1975" i="1"/>
  <c r="N1973" i="1"/>
  <c r="N1972" i="1"/>
  <c r="N1965" i="1"/>
  <c r="N1964" i="1"/>
  <c r="N1958" i="1"/>
  <c r="N1957" i="1"/>
  <c r="N1956" i="1"/>
  <c r="N1954" i="1"/>
  <c r="N1949" i="1"/>
  <c r="N1948" i="1"/>
  <c r="N1946" i="1"/>
  <c r="N1941" i="1"/>
  <c r="N1940" i="1"/>
  <c r="N1938" i="1"/>
  <c r="N1933" i="1"/>
  <c r="N1932" i="1"/>
  <c r="N1931" i="1"/>
  <c r="N1930" i="1"/>
  <c r="N1925" i="1"/>
  <c r="N1924" i="1"/>
  <c r="N1917" i="1"/>
  <c r="N1916" i="1"/>
  <c r="N1915" i="1"/>
  <c r="N1914" i="1"/>
  <c r="N1909" i="1"/>
  <c r="N1908" i="1"/>
  <c r="N1907" i="1"/>
  <c r="N1901" i="1"/>
  <c r="N1900" i="1"/>
  <c r="N1893" i="1"/>
  <c r="N1892" i="1"/>
  <c r="N1885" i="1"/>
  <c r="N1884" i="1"/>
  <c r="N1877" i="1"/>
  <c r="N1876" i="1"/>
  <c r="N1869" i="1"/>
  <c r="N1868" i="1"/>
  <c r="N1867" i="1"/>
  <c r="N1866" i="1"/>
  <c r="N1861" i="1"/>
  <c r="N1860" i="1"/>
  <c r="N1858" i="1"/>
  <c r="N1853" i="1"/>
  <c r="N1852" i="1"/>
  <c r="N1851" i="1"/>
  <c r="N1845" i="1"/>
  <c r="N1844" i="1"/>
  <c r="N1843" i="1"/>
  <c r="N1842" i="1"/>
  <c r="N1837" i="1"/>
  <c r="N1836" i="1"/>
  <c r="N1829" i="1"/>
  <c r="N1828" i="1"/>
  <c r="N1826" i="1"/>
  <c r="N1821" i="1"/>
  <c r="N1820" i="1"/>
  <c r="N1813" i="1"/>
  <c r="N1812" i="1"/>
  <c r="N1810" i="1"/>
  <c r="N1805" i="1"/>
  <c r="N1804" i="1"/>
  <c r="N1803" i="1"/>
  <c r="N1798" i="1"/>
  <c r="N1797" i="1"/>
  <c r="N1796" i="1"/>
  <c r="N1794" i="1"/>
  <c r="N1789" i="1"/>
  <c r="N1788" i="1"/>
  <c r="N1786" i="1"/>
  <c r="N1781" i="1"/>
  <c r="N1780" i="1"/>
  <c r="N1779" i="1"/>
  <c r="N1773" i="1"/>
  <c r="N1772" i="1"/>
  <c r="N1770" i="1"/>
  <c r="N1765" i="1"/>
  <c r="N1764" i="1"/>
  <c r="N1757" i="1"/>
  <c r="N1756" i="1"/>
  <c r="N1755" i="1"/>
  <c r="N1749" i="1"/>
  <c r="N1748" i="1"/>
  <c r="N1746" i="1"/>
  <c r="N1743" i="1"/>
  <c r="N1741" i="1"/>
  <c r="N1740" i="1"/>
  <c r="N1738" i="1"/>
  <c r="N1733" i="1"/>
  <c r="N1732" i="1"/>
  <c r="N1731" i="1"/>
  <c r="N1730" i="1"/>
  <c r="N1727" i="1"/>
  <c r="N1725" i="1"/>
  <c r="N1724" i="1"/>
  <c r="N1717" i="1"/>
  <c r="N1716" i="1"/>
  <c r="N1715" i="1"/>
  <c r="N1714" i="1"/>
  <c r="N1709" i="1"/>
  <c r="N1708" i="1"/>
  <c r="N1707" i="1"/>
  <c r="N1701" i="1"/>
  <c r="N1700" i="1"/>
  <c r="N1693" i="1"/>
  <c r="N1692" i="1"/>
  <c r="N1687" i="1"/>
  <c r="N1685" i="1"/>
  <c r="N1684" i="1"/>
  <c r="N1677" i="1"/>
  <c r="N1676" i="1"/>
  <c r="N1670" i="1"/>
  <c r="N1669" i="1"/>
  <c r="N1668" i="1"/>
  <c r="N1666" i="1"/>
  <c r="N1661" i="1"/>
  <c r="N1660" i="1"/>
  <c r="N1658" i="1"/>
  <c r="N1653" i="1"/>
  <c r="N1652" i="1"/>
  <c r="N1650" i="1"/>
  <c r="N1645" i="1"/>
  <c r="N1644" i="1"/>
  <c r="N1643" i="1"/>
  <c r="N1642" i="1"/>
  <c r="N1637" i="1"/>
  <c r="N1636" i="1"/>
  <c r="N1629" i="1"/>
  <c r="N1628" i="1"/>
  <c r="N1626" i="1"/>
  <c r="N1622" i="1"/>
  <c r="N1621" i="1"/>
  <c r="N1620" i="1"/>
  <c r="N1613" i="1"/>
  <c r="N1612" i="1"/>
  <c r="N1605" i="1"/>
  <c r="N1604" i="1"/>
  <c r="N1597" i="1"/>
  <c r="N1596" i="1"/>
  <c r="N1595" i="1"/>
  <c r="N1594" i="1"/>
  <c r="N1589" i="1"/>
  <c r="N1588" i="1"/>
  <c r="N1586" i="1"/>
  <c r="N1581" i="1"/>
  <c r="N1580" i="1"/>
  <c r="N1573" i="1"/>
  <c r="N1572" i="1"/>
  <c r="N1571" i="1"/>
  <c r="N1570" i="1"/>
  <c r="N1566" i="1"/>
  <c r="N1565" i="1"/>
  <c r="N1564" i="1"/>
  <c r="N1557" i="1"/>
  <c r="N1556" i="1"/>
  <c r="N1549" i="1"/>
  <c r="N1548" i="1"/>
  <c r="N1547" i="1"/>
  <c r="N1546" i="1"/>
  <c r="N1541" i="1"/>
  <c r="N1540" i="1"/>
  <c r="N1538" i="1"/>
  <c r="N1533" i="1"/>
  <c r="N1532" i="1"/>
  <c r="N1530" i="1"/>
  <c r="N1525" i="1"/>
  <c r="N1524" i="1"/>
  <c r="N1523" i="1"/>
  <c r="N1517" i="1"/>
  <c r="N1516" i="1"/>
  <c r="N1514" i="1"/>
  <c r="N1509" i="1"/>
  <c r="N1508" i="1"/>
  <c r="N1507" i="1"/>
  <c r="N1503" i="1"/>
  <c r="N1502" i="1"/>
  <c r="N1501" i="1"/>
  <c r="N1500" i="1"/>
  <c r="N1499" i="1"/>
  <c r="N1493" i="1"/>
  <c r="N1492" i="1"/>
  <c r="N1490" i="1"/>
  <c r="N1487" i="1"/>
  <c r="N1485" i="1"/>
  <c r="N1484" i="1"/>
  <c r="N1483" i="1"/>
  <c r="N1477" i="1"/>
  <c r="N1476" i="1"/>
  <c r="N1475" i="1"/>
  <c r="N1469" i="1"/>
  <c r="N1468" i="1"/>
  <c r="N1466" i="1"/>
  <c r="N1461" i="1"/>
  <c r="N1460" i="1"/>
  <c r="N1459" i="1"/>
  <c r="N1453" i="1"/>
  <c r="N1452" i="1"/>
  <c r="N1451" i="1"/>
  <c r="N1450" i="1"/>
  <c r="N1445" i="1"/>
  <c r="N1444" i="1"/>
  <c r="N1438" i="1"/>
  <c r="N1437" i="1"/>
  <c r="N1436" i="1"/>
  <c r="N1435" i="1"/>
  <c r="N1434" i="1"/>
  <c r="N1429" i="1"/>
  <c r="N1428" i="1"/>
  <c r="N1427" i="1"/>
  <c r="N1426" i="1"/>
  <c r="N1421" i="1"/>
  <c r="N1420" i="1"/>
  <c r="N1413" i="1"/>
  <c r="N1412" i="1"/>
  <c r="N1410" i="1"/>
  <c r="N1405" i="1"/>
  <c r="N1404" i="1"/>
  <c r="N1403" i="1"/>
  <c r="N1399" i="1"/>
  <c r="N1397" i="1"/>
  <c r="N1396" i="1"/>
  <c r="N1389" i="1"/>
  <c r="N1388" i="1"/>
  <c r="N1381" i="1"/>
  <c r="N1380" i="1"/>
  <c r="N1373" i="1"/>
  <c r="N1372" i="1"/>
  <c r="N1370" i="1"/>
  <c r="N1365" i="1"/>
  <c r="N1364" i="1"/>
  <c r="N1362" i="1"/>
  <c r="N1357" i="1"/>
  <c r="N1356" i="1"/>
  <c r="N1354" i="1"/>
  <c r="N1349" i="1"/>
  <c r="N1348" i="1"/>
  <c r="N1346" i="1"/>
  <c r="N1341" i="1"/>
  <c r="N1340" i="1"/>
  <c r="N1338" i="1"/>
  <c r="N1333" i="1"/>
  <c r="N1332" i="1"/>
  <c r="N1325" i="1"/>
  <c r="N1324" i="1"/>
  <c r="N1322" i="1"/>
  <c r="N1317" i="1"/>
  <c r="N1316" i="1"/>
  <c r="N1315" i="1"/>
  <c r="N1309" i="1"/>
  <c r="N1308" i="1"/>
  <c r="N1304" i="1"/>
  <c r="N1301" i="1"/>
  <c r="N1300" i="1"/>
  <c r="N1299" i="1"/>
  <c r="N1298" i="1"/>
  <c r="N1293" i="1"/>
  <c r="N1292" i="1"/>
  <c r="N1291" i="1"/>
  <c r="N1287" i="1"/>
  <c r="N1285" i="1"/>
  <c r="N1284" i="1"/>
  <c r="N1283" i="1"/>
  <c r="N1282" i="1"/>
  <c r="N1277" i="1"/>
  <c r="N1276" i="1"/>
  <c r="N1275" i="1"/>
  <c r="N1274" i="1"/>
  <c r="N1270" i="1"/>
  <c r="N1269" i="1"/>
  <c r="N1268" i="1"/>
  <c r="N1261" i="1"/>
  <c r="N1260" i="1"/>
  <c r="N1259" i="1"/>
  <c r="N1258" i="1"/>
  <c r="N1253" i="1"/>
  <c r="N1252" i="1"/>
  <c r="N1250" i="1"/>
  <c r="N1248" i="1"/>
  <c r="N1245" i="1"/>
  <c r="N1244" i="1"/>
  <c r="N1238" i="1"/>
  <c r="N1237" i="1"/>
  <c r="N1236" i="1"/>
  <c r="N1229" i="1"/>
  <c r="N1228" i="1"/>
  <c r="N1226" i="1"/>
  <c r="N1221" i="1"/>
  <c r="N1220" i="1"/>
  <c r="N1218" i="1"/>
  <c r="N1213" i="1"/>
  <c r="N1212" i="1"/>
  <c r="N1210" i="1"/>
  <c r="N1205" i="1"/>
  <c r="N1204" i="1"/>
  <c r="N1203" i="1"/>
  <c r="N1198" i="1"/>
  <c r="N1197" i="1"/>
  <c r="N1196" i="1"/>
  <c r="N1195" i="1"/>
  <c r="N1189" i="1"/>
  <c r="N1188" i="1"/>
  <c r="N1187" i="1"/>
  <c r="N1186" i="1"/>
  <c r="N1181" i="1"/>
  <c r="N1180" i="1"/>
  <c r="N1178" i="1"/>
  <c r="N1174" i="1"/>
  <c r="N1173" i="1"/>
  <c r="N1172" i="1"/>
  <c r="N1165" i="1"/>
  <c r="N1164" i="1"/>
  <c r="N1162" i="1"/>
  <c r="N1158" i="1"/>
  <c r="N1157" i="1"/>
  <c r="N1156" i="1"/>
  <c r="N1155" i="1"/>
  <c r="N1154" i="1"/>
  <c r="N1150" i="1"/>
  <c r="N1149" i="1"/>
  <c r="N1148" i="1"/>
  <c r="N1147" i="1"/>
  <c r="N1142" i="1"/>
  <c r="N1141" i="1"/>
  <c r="N1140" i="1"/>
  <c r="N1133" i="1"/>
  <c r="N1132" i="1"/>
  <c r="N1130" i="1"/>
  <c r="N1126" i="1"/>
  <c r="N1125" i="1"/>
  <c r="N1124" i="1"/>
  <c r="N1123" i="1"/>
  <c r="N1118" i="1"/>
  <c r="N1117" i="1"/>
  <c r="N1116" i="1"/>
  <c r="N1112" i="1"/>
  <c r="N1109" i="1"/>
  <c r="N1108" i="1"/>
  <c r="N1107" i="1"/>
  <c r="N1106" i="1"/>
  <c r="N1102" i="1"/>
  <c r="N1101" i="1"/>
  <c r="N1100" i="1"/>
  <c r="N1094" i="1"/>
  <c r="N1093" i="1"/>
  <c r="N1092" i="1"/>
  <c r="N1090" i="1"/>
  <c r="N1085" i="1"/>
  <c r="N1084" i="1"/>
  <c r="N1083" i="1"/>
  <c r="N1082" i="1"/>
  <c r="N1078" i="1"/>
  <c r="N1077" i="1"/>
  <c r="N1076" i="1"/>
  <c r="N1075" i="1"/>
  <c r="N1074" i="1"/>
  <c r="N1070" i="1"/>
  <c r="N1069" i="1"/>
  <c r="N1068" i="1"/>
  <c r="N1061" i="1"/>
  <c r="N1060" i="1"/>
  <c r="N1058" i="1"/>
  <c r="N1054" i="1"/>
  <c r="N1053" i="1"/>
  <c r="N1052" i="1"/>
  <c r="N1051" i="1"/>
  <c r="N1050" i="1"/>
  <c r="N1048" i="1"/>
  <c r="N1045" i="1"/>
  <c r="N1044" i="1"/>
  <c r="N1043" i="1"/>
  <c r="N1038" i="1"/>
  <c r="N1037" i="1"/>
  <c r="N1036" i="1"/>
  <c r="N1035" i="1"/>
  <c r="N1034" i="1"/>
  <c r="N1029" i="1"/>
  <c r="N1028" i="1"/>
  <c r="N1026" i="1"/>
  <c r="N1022" i="1"/>
  <c r="N1021" i="1"/>
  <c r="N1020" i="1"/>
  <c r="N1014" i="1"/>
  <c r="N1013" i="1"/>
  <c r="N1012" i="1"/>
  <c r="N1011" i="1"/>
  <c r="N1010" i="1"/>
  <c r="N1005" i="1"/>
  <c r="N1004" i="1"/>
  <c r="N1003" i="1"/>
  <c r="N1002" i="1"/>
  <c r="N997" i="1"/>
  <c r="N996" i="1"/>
  <c r="N994" i="1"/>
  <c r="N990" i="1"/>
  <c r="N989" i="1"/>
  <c r="N988" i="1"/>
  <c r="N987" i="1"/>
  <c r="N982" i="1"/>
  <c r="N981" i="1"/>
  <c r="N980" i="1"/>
  <c r="N978" i="1"/>
  <c r="N975" i="1"/>
  <c r="N973" i="1"/>
  <c r="N972" i="1"/>
  <c r="N971" i="1"/>
  <c r="N970" i="1"/>
  <c r="N965" i="1"/>
  <c r="N964" i="1"/>
  <c r="N963" i="1"/>
  <c r="N958" i="1"/>
  <c r="N957" i="1"/>
  <c r="N956" i="1"/>
  <c r="N954" i="1"/>
  <c r="N949" i="1"/>
  <c r="N948" i="1"/>
  <c r="N946" i="1"/>
  <c r="N941" i="1"/>
  <c r="N940" i="1"/>
  <c r="N939" i="1"/>
  <c r="N934" i="1"/>
  <c r="N933" i="1"/>
  <c r="N932" i="1"/>
  <c r="N931" i="1"/>
  <c r="N930" i="1"/>
  <c r="N926" i="1"/>
  <c r="N925" i="1"/>
  <c r="N924" i="1"/>
  <c r="N922" i="1"/>
  <c r="N917" i="1"/>
  <c r="N916" i="1"/>
  <c r="N914" i="1"/>
  <c r="N910" i="1"/>
  <c r="N909" i="1"/>
  <c r="N908" i="1"/>
  <c r="N906" i="1"/>
  <c r="N901" i="1"/>
  <c r="N900" i="1"/>
  <c r="N899" i="1"/>
  <c r="N898" i="1"/>
  <c r="N893" i="1"/>
  <c r="N892" i="1"/>
  <c r="N891" i="1"/>
  <c r="N890" i="1"/>
  <c r="N885" i="1"/>
  <c r="N884" i="1"/>
  <c r="N878" i="1"/>
  <c r="N877" i="1"/>
  <c r="N876" i="1"/>
  <c r="N874" i="1"/>
  <c r="N871" i="1"/>
  <c r="N869" i="1"/>
  <c r="N868" i="1"/>
  <c r="N867" i="1"/>
  <c r="N866" i="1"/>
  <c r="N861" i="1"/>
  <c r="N860" i="1"/>
  <c r="N855" i="1"/>
  <c r="N854" i="1"/>
  <c r="N853" i="1"/>
  <c r="N852" i="1"/>
  <c r="N851" i="1"/>
  <c r="N850" i="1"/>
  <c r="N845" i="1"/>
  <c r="N844" i="1"/>
  <c r="N842" i="1"/>
  <c r="N838" i="1"/>
  <c r="N837" i="1"/>
  <c r="N836" i="1"/>
  <c r="N830" i="1"/>
  <c r="N829" i="1"/>
  <c r="N828" i="1"/>
  <c r="N827" i="1"/>
  <c r="N826" i="1"/>
  <c r="N821" i="1"/>
  <c r="N820" i="1"/>
  <c r="N819" i="1"/>
  <c r="N818" i="1"/>
  <c r="N814" i="1"/>
  <c r="N813" i="1"/>
  <c r="N812" i="1"/>
  <c r="N810" i="1"/>
  <c r="N806" i="1"/>
  <c r="N805" i="1"/>
  <c r="N804" i="1"/>
  <c r="N802" i="1"/>
  <c r="N797" i="1"/>
  <c r="N796" i="1"/>
  <c r="N795" i="1"/>
  <c r="N794" i="1"/>
  <c r="N792" i="1"/>
  <c r="N789" i="1"/>
  <c r="N788" i="1"/>
  <c r="N787" i="1"/>
  <c r="N786" i="1"/>
  <c r="N782" i="1"/>
  <c r="N781" i="1"/>
  <c r="N780" i="1"/>
  <c r="N779" i="1"/>
  <c r="N778" i="1"/>
  <c r="N774" i="1"/>
  <c r="N773" i="1"/>
  <c r="N772" i="1"/>
  <c r="N770" i="1"/>
  <c r="N765" i="1"/>
  <c r="N764" i="1"/>
  <c r="N762" i="1"/>
  <c r="N758" i="1"/>
  <c r="N757" i="1"/>
  <c r="N756" i="1"/>
  <c r="N755" i="1"/>
  <c r="N754" i="1"/>
  <c r="N750" i="1"/>
  <c r="N749" i="1"/>
  <c r="N748" i="1"/>
  <c r="N747" i="1"/>
  <c r="N746" i="1"/>
  <c r="N742" i="1"/>
  <c r="N741" i="1"/>
  <c r="N740" i="1"/>
  <c r="N738" i="1"/>
  <c r="N736" i="1"/>
  <c r="N733" i="1"/>
  <c r="N732" i="1"/>
  <c r="N731" i="1"/>
  <c r="N730" i="1"/>
  <c r="N726" i="1"/>
  <c r="N725" i="1"/>
  <c r="N724" i="1"/>
  <c r="N722" i="1"/>
  <c r="N718" i="1"/>
  <c r="N717" i="1"/>
  <c r="N716" i="1"/>
  <c r="N715" i="1"/>
  <c r="N714" i="1"/>
  <c r="N709" i="1"/>
  <c r="N708" i="1"/>
  <c r="N707" i="1"/>
  <c r="N706" i="1"/>
  <c r="N703" i="1"/>
  <c r="N702" i="1"/>
  <c r="N701" i="1"/>
  <c r="N700" i="1"/>
  <c r="N699" i="1"/>
  <c r="N698" i="1"/>
  <c r="N694" i="1"/>
  <c r="N693" i="1"/>
  <c r="N692" i="1"/>
  <c r="N691" i="1"/>
  <c r="N690" i="1"/>
  <c r="N686" i="1"/>
  <c r="N685" i="1"/>
  <c r="N684" i="1"/>
  <c r="N683" i="1"/>
  <c r="N682" i="1"/>
  <c r="N677" i="1"/>
  <c r="N676" i="1"/>
  <c r="N675" i="1"/>
  <c r="N674" i="1"/>
  <c r="N672" i="1"/>
  <c r="N669" i="1"/>
  <c r="N668" i="1"/>
  <c r="N667" i="1"/>
  <c r="N666" i="1"/>
  <c r="N662" i="1"/>
  <c r="N661" i="1"/>
  <c r="N660" i="1"/>
  <c r="N659" i="1"/>
  <c r="N658" i="1"/>
  <c r="N655" i="1"/>
  <c r="N654" i="1"/>
  <c r="N653" i="1"/>
  <c r="N652" i="1"/>
  <c r="N651" i="1"/>
  <c r="N650" i="1"/>
  <c r="N646" i="1"/>
  <c r="N645" i="1"/>
  <c r="N644" i="1"/>
  <c r="N643" i="1"/>
  <c r="N642" i="1"/>
  <c r="N637" i="1"/>
  <c r="N636" i="1"/>
  <c r="N635" i="1"/>
  <c r="N634" i="1"/>
  <c r="N630" i="1"/>
  <c r="N629" i="1"/>
  <c r="N628" i="1"/>
  <c r="N627" i="1"/>
  <c r="N626" i="1"/>
  <c r="N622" i="1"/>
  <c r="N621" i="1"/>
  <c r="N620" i="1"/>
  <c r="N619" i="1"/>
  <c r="N618" i="1"/>
  <c r="N614" i="1"/>
  <c r="N613" i="1"/>
  <c r="N612" i="1"/>
  <c r="N611" i="1"/>
  <c r="N610" i="1"/>
  <c r="N606" i="1"/>
  <c r="N605" i="1"/>
  <c r="N604" i="1"/>
  <c r="N603" i="1"/>
  <c r="N602" i="1"/>
  <c r="N600" i="1"/>
  <c r="N598" i="1"/>
  <c r="N597" i="1"/>
  <c r="N596" i="1"/>
  <c r="N595" i="1"/>
  <c r="N594" i="1"/>
  <c r="N590" i="1"/>
  <c r="N589" i="1"/>
  <c r="N588" i="1"/>
  <c r="N587" i="1"/>
  <c r="N586" i="1"/>
  <c r="N582" i="1"/>
  <c r="N581" i="1"/>
  <c r="N580" i="1"/>
  <c r="N579" i="1"/>
  <c r="N578" i="1"/>
  <c r="N574" i="1"/>
  <c r="N573" i="1"/>
  <c r="N572" i="1"/>
  <c r="N571" i="1"/>
  <c r="N570" i="1"/>
  <c r="N566" i="1"/>
  <c r="N565" i="1"/>
  <c r="N564" i="1"/>
  <c r="N563" i="1"/>
  <c r="N562" i="1"/>
  <c r="N558" i="1"/>
  <c r="N557" i="1"/>
  <c r="N556" i="1"/>
  <c r="N555" i="1"/>
  <c r="N554" i="1"/>
  <c r="N551" i="1"/>
  <c r="N550" i="1"/>
  <c r="N549" i="1"/>
  <c r="N548" i="1"/>
  <c r="N547" i="1"/>
  <c r="N546" i="1"/>
  <c r="N542" i="1"/>
  <c r="N541" i="1"/>
  <c r="N540" i="1"/>
  <c r="N539" i="1"/>
  <c r="N538" i="1"/>
  <c r="N536" i="1"/>
  <c r="N534" i="1"/>
  <c r="N533" i="1"/>
  <c r="N532" i="1"/>
  <c r="N531" i="1"/>
  <c r="N530" i="1"/>
  <c r="N526" i="1"/>
  <c r="N525" i="1"/>
  <c r="N524" i="1"/>
  <c r="N523" i="1"/>
  <c r="N522" i="1"/>
  <c r="N518" i="1"/>
  <c r="N517" i="1"/>
  <c r="N516" i="1"/>
  <c r="N515" i="1"/>
  <c r="N514" i="1"/>
  <c r="N510" i="1"/>
  <c r="N509" i="1"/>
  <c r="N508" i="1"/>
  <c r="N507" i="1"/>
  <c r="N506" i="1"/>
  <c r="N502" i="1"/>
  <c r="N501" i="1"/>
  <c r="N500" i="1"/>
  <c r="N499" i="1"/>
  <c r="N498" i="1"/>
  <c r="N495" i="1"/>
  <c r="N494" i="1"/>
  <c r="N493" i="1"/>
  <c r="N492" i="1"/>
  <c r="N491" i="1"/>
  <c r="N490" i="1"/>
  <c r="N486" i="1"/>
  <c r="N485" i="1"/>
  <c r="N484" i="1"/>
  <c r="N483" i="1"/>
  <c r="N482" i="1"/>
  <c r="N480" i="1"/>
  <c r="N478" i="1"/>
  <c r="N477" i="1"/>
  <c r="N476" i="1"/>
  <c r="N475" i="1"/>
  <c r="N474" i="1"/>
  <c r="N470" i="1"/>
  <c r="N469" i="1"/>
  <c r="N468" i="1"/>
  <c r="N467" i="1"/>
  <c r="N466" i="1"/>
  <c r="N462" i="1"/>
  <c r="N461" i="1"/>
  <c r="N460" i="1"/>
  <c r="N459" i="1"/>
  <c r="N458" i="1"/>
  <c r="N454" i="1"/>
  <c r="N453" i="1"/>
  <c r="N452" i="1"/>
  <c r="N451" i="1"/>
  <c r="N450" i="1"/>
  <c r="N446" i="1"/>
  <c r="N445" i="1"/>
  <c r="N444" i="1"/>
  <c r="N443" i="1"/>
  <c r="N442" i="1"/>
  <c r="N438" i="1"/>
  <c r="N437" i="1"/>
  <c r="N436" i="1"/>
  <c r="N435" i="1"/>
  <c r="N434" i="1"/>
  <c r="N430" i="1"/>
  <c r="N429" i="1"/>
  <c r="N428" i="1"/>
  <c r="N427" i="1"/>
  <c r="N426" i="1"/>
  <c r="N422" i="1"/>
  <c r="N421" i="1"/>
  <c r="N420" i="1"/>
  <c r="N419" i="1"/>
  <c r="N418" i="1"/>
  <c r="N414" i="1"/>
  <c r="N413" i="1"/>
  <c r="N412" i="1"/>
  <c r="N411" i="1"/>
  <c r="N410" i="1"/>
  <c r="N406" i="1"/>
  <c r="N405" i="1"/>
  <c r="N404" i="1"/>
  <c r="N403" i="1"/>
  <c r="N402" i="1"/>
  <c r="N398" i="1"/>
  <c r="N397" i="1"/>
  <c r="N396" i="1"/>
  <c r="N395" i="1"/>
  <c r="N394" i="1"/>
  <c r="N390" i="1"/>
  <c r="N389" i="1"/>
  <c r="N388" i="1"/>
  <c r="N387" i="1"/>
  <c r="N386" i="1"/>
  <c r="N382" i="1"/>
  <c r="N381" i="1"/>
  <c r="N380" i="1"/>
  <c r="N379" i="1"/>
  <c r="N378" i="1"/>
  <c r="N374" i="1"/>
  <c r="N373" i="1"/>
  <c r="N372" i="1"/>
  <c r="N371" i="1"/>
  <c r="N370" i="1"/>
  <c r="N366" i="1"/>
  <c r="N365" i="1"/>
  <c r="N364" i="1"/>
  <c r="N363" i="1"/>
  <c r="N362" i="1"/>
  <c r="N358" i="1"/>
  <c r="N357" i="1"/>
  <c r="N356" i="1"/>
  <c r="N355" i="1"/>
  <c r="N354" i="1"/>
  <c r="N350" i="1"/>
  <c r="N349" i="1"/>
  <c r="N348" i="1"/>
  <c r="N347" i="1"/>
  <c r="N346" i="1"/>
  <c r="N342" i="1"/>
  <c r="N341" i="1"/>
  <c r="N340" i="1"/>
  <c r="N339" i="1"/>
  <c r="N338" i="1"/>
  <c r="N334" i="1"/>
  <c r="N333" i="1"/>
  <c r="N332" i="1"/>
  <c r="N331" i="1"/>
  <c r="N330" i="1"/>
  <c r="N326" i="1"/>
  <c r="N325" i="1"/>
  <c r="N324" i="1"/>
  <c r="N323" i="1"/>
  <c r="N322" i="1"/>
  <c r="N318" i="1"/>
  <c r="N317" i="1"/>
  <c r="N316" i="1"/>
  <c r="N315" i="1"/>
  <c r="N314" i="1"/>
  <c r="N310" i="1"/>
  <c r="N309" i="1"/>
  <c r="N308" i="1"/>
  <c r="N307" i="1"/>
  <c r="N306" i="1"/>
  <c r="N302" i="1"/>
  <c r="N301" i="1"/>
  <c r="N300" i="1"/>
  <c r="N299" i="1"/>
  <c r="N298" i="1"/>
  <c r="N294" i="1"/>
  <c r="N293" i="1"/>
  <c r="N292" i="1"/>
  <c r="N291" i="1"/>
  <c r="N290" i="1"/>
  <c r="N286" i="1"/>
  <c r="N285" i="1"/>
  <c r="N284" i="1"/>
  <c r="N283" i="1"/>
  <c r="N282" i="1"/>
  <c r="N278" i="1"/>
  <c r="N277" i="1"/>
  <c r="N276" i="1"/>
  <c r="N275" i="1"/>
  <c r="N274" i="1"/>
  <c r="N270" i="1"/>
  <c r="N269" i="1"/>
  <c r="N268" i="1"/>
  <c r="N267" i="1"/>
  <c r="N266" i="1"/>
  <c r="N262" i="1"/>
  <c r="N261" i="1"/>
  <c r="N260" i="1"/>
  <c r="N259" i="1"/>
  <c r="N258" i="1"/>
  <c r="N255" i="1"/>
  <c r="N254" i="1"/>
  <c r="N253" i="1"/>
  <c r="N252" i="1"/>
  <c r="N251" i="1"/>
  <c r="N250" i="1"/>
  <c r="N246" i="1"/>
  <c r="N245" i="1"/>
  <c r="N244" i="1"/>
  <c r="N243" i="1"/>
  <c r="N242" i="1"/>
  <c r="N238" i="1"/>
  <c r="N237" i="1"/>
  <c r="N236" i="1"/>
  <c r="N235" i="1"/>
  <c r="N234" i="1"/>
  <c r="N230" i="1"/>
  <c r="N229" i="1"/>
  <c r="N228" i="1"/>
  <c r="N227" i="1"/>
  <c r="N226" i="1"/>
  <c r="N222" i="1"/>
  <c r="N221" i="1"/>
  <c r="N220" i="1"/>
  <c r="N219" i="1"/>
  <c r="N218" i="1"/>
  <c r="N214" i="1"/>
  <c r="N213" i="1"/>
  <c r="N212" i="1"/>
  <c r="N211" i="1"/>
  <c r="N210" i="1"/>
  <c r="N206" i="1"/>
  <c r="N205" i="1"/>
  <c r="N204" i="1"/>
  <c r="N203" i="1"/>
  <c r="N202" i="1"/>
  <c r="N198" i="1"/>
  <c r="N197" i="1"/>
  <c r="N196" i="1"/>
  <c r="N195" i="1"/>
  <c r="N194" i="1"/>
  <c r="N190" i="1"/>
  <c r="N189" i="1"/>
  <c r="N188" i="1"/>
  <c r="N187" i="1"/>
  <c r="N186" i="1"/>
  <c r="N182" i="1"/>
  <c r="N181" i="1"/>
  <c r="N180" i="1"/>
  <c r="N179" i="1"/>
  <c r="N178" i="1"/>
  <c r="N174" i="1"/>
  <c r="N173" i="1"/>
  <c r="N172" i="1"/>
  <c r="N171" i="1"/>
  <c r="N170" i="1"/>
  <c r="N166" i="1"/>
  <c r="N165" i="1"/>
  <c r="N164" i="1"/>
  <c r="N163" i="1"/>
  <c r="N162" i="1"/>
  <c r="N158" i="1"/>
  <c r="N157" i="1"/>
  <c r="N156" i="1"/>
  <c r="N155" i="1"/>
  <c r="N154" i="1"/>
  <c r="N150" i="1"/>
  <c r="N149" i="1"/>
  <c r="N148" i="1"/>
  <c r="N147" i="1"/>
  <c r="N146" i="1"/>
  <c r="N142" i="1"/>
  <c r="N141" i="1"/>
  <c r="N140" i="1"/>
  <c r="N139" i="1"/>
  <c r="N138" i="1"/>
  <c r="N134" i="1"/>
  <c r="N133" i="1"/>
  <c r="N132" i="1"/>
  <c r="N131" i="1"/>
  <c r="N130" i="1"/>
  <c r="N126" i="1"/>
  <c r="N125" i="1"/>
  <c r="N124" i="1"/>
  <c r="N123" i="1"/>
  <c r="N122" i="1"/>
  <c r="N118" i="1"/>
  <c r="N117" i="1"/>
  <c r="N116" i="1"/>
  <c r="N115" i="1"/>
  <c r="N114" i="1"/>
  <c r="N110" i="1"/>
  <c r="N109" i="1"/>
  <c r="N108" i="1"/>
  <c r="N107" i="1"/>
  <c r="N106" i="1"/>
  <c r="N102" i="1"/>
  <c r="N101" i="1"/>
  <c r="N100" i="1"/>
  <c r="N99" i="1"/>
  <c r="N98" i="1"/>
  <c r="N94" i="1"/>
  <c r="N93" i="1"/>
  <c r="N92" i="1"/>
  <c r="N91" i="1"/>
  <c r="N90" i="1"/>
  <c r="N86" i="1"/>
  <c r="N85" i="1"/>
  <c r="N84" i="1"/>
  <c r="N83" i="1"/>
  <c r="N82" i="1"/>
  <c r="N78" i="1"/>
  <c r="N77" i="1"/>
  <c r="N76" i="1"/>
  <c r="N75" i="1"/>
  <c r="N74" i="1"/>
  <c r="N70" i="1"/>
  <c r="N69" i="1"/>
  <c r="N68" i="1"/>
  <c r="N67" i="1"/>
  <c r="N66" i="1"/>
  <c r="N62" i="1"/>
  <c r="N61" i="1"/>
  <c r="N60" i="1"/>
  <c r="N59" i="1"/>
  <c r="N58" i="1"/>
  <c r="N54" i="1"/>
  <c r="N53" i="1"/>
  <c r="N52" i="1"/>
  <c r="N51" i="1"/>
  <c r="N50" i="1"/>
  <c r="N46" i="1"/>
  <c r="N45" i="1"/>
  <c r="N44" i="1"/>
  <c r="N43" i="1"/>
  <c r="N42" i="1"/>
  <c r="N38" i="1"/>
  <c r="N37" i="1"/>
  <c r="N36" i="1"/>
  <c r="N35" i="1"/>
  <c r="N34" i="1"/>
  <c r="N30" i="1"/>
  <c r="N29" i="1"/>
  <c r="N28" i="1"/>
  <c r="N27" i="1"/>
  <c r="N26" i="1"/>
  <c r="N22" i="1"/>
  <c r="N21" i="1"/>
  <c r="N20" i="1"/>
  <c r="N19" i="1"/>
  <c r="N18" i="1"/>
  <c r="N14" i="1"/>
  <c r="N13" i="1"/>
  <c r="N12" i="1"/>
  <c r="N11" i="1"/>
  <c r="N10" i="1"/>
  <c r="N8" i="1"/>
  <c r="N6" i="1"/>
  <c r="N5" i="1"/>
  <c r="N4" i="1"/>
  <c r="N3" i="1"/>
  <c r="N2417" i="1" l="1"/>
  <c r="N2409" i="1"/>
  <c r="N2401" i="1"/>
  <c r="N2393" i="1"/>
  <c r="N2385" i="1"/>
  <c r="N2377" i="1"/>
  <c r="N2369" i="1"/>
  <c r="N2361" i="1"/>
  <c r="N2353" i="1"/>
  <c r="N2345" i="1"/>
  <c r="N2337" i="1"/>
  <c r="N2329" i="1"/>
  <c r="N2321" i="1"/>
  <c r="N2313" i="1"/>
  <c r="N2305" i="1"/>
  <c r="N2297" i="1"/>
  <c r="N2289" i="1"/>
  <c r="N2281" i="1"/>
  <c r="N2273" i="1"/>
  <c r="N2265" i="1"/>
  <c r="N2257" i="1"/>
  <c r="N2249" i="1"/>
  <c r="N2241" i="1"/>
  <c r="N2233" i="1"/>
  <c r="N2225" i="1"/>
  <c r="N2217" i="1"/>
  <c r="N2209" i="1"/>
  <c r="N2201" i="1"/>
  <c r="N2193" i="1"/>
  <c r="N2185" i="1"/>
  <c r="N2177" i="1"/>
  <c r="N2169" i="1"/>
  <c r="N2161" i="1"/>
  <c r="N2153" i="1"/>
  <c r="N2145" i="1"/>
  <c r="N2137" i="1"/>
  <c r="N2129" i="1"/>
  <c r="N2121" i="1"/>
  <c r="N2113" i="1"/>
  <c r="N2105" i="1"/>
  <c r="N2097" i="1"/>
  <c r="N2089" i="1"/>
  <c r="N2081" i="1"/>
  <c r="N2073" i="1"/>
  <c r="N2065" i="1"/>
  <c r="N2057" i="1"/>
  <c r="N2049" i="1"/>
  <c r="N2041" i="1"/>
  <c r="N2033" i="1"/>
  <c r="N2025" i="1"/>
  <c r="N2017" i="1"/>
  <c r="N2009" i="1"/>
  <c r="N2001" i="1"/>
  <c r="N1993" i="1"/>
  <c r="N1985" i="1"/>
  <c r="N1977" i="1"/>
  <c r="N1969" i="1"/>
  <c r="N1961" i="1"/>
  <c r="N1953" i="1"/>
  <c r="N1945" i="1"/>
  <c r="N1937" i="1"/>
  <c r="N1929" i="1"/>
  <c r="N1921" i="1"/>
  <c r="N1913" i="1"/>
  <c r="N1905" i="1"/>
  <c r="N1897" i="1"/>
  <c r="N1889" i="1"/>
  <c r="N1881" i="1"/>
  <c r="N1873" i="1"/>
  <c r="N1865" i="1"/>
  <c r="N1857" i="1"/>
  <c r="N1849" i="1"/>
  <c r="N1841" i="1"/>
  <c r="N1833" i="1"/>
  <c r="N1825" i="1"/>
  <c r="N1817" i="1"/>
  <c r="N1809" i="1"/>
  <c r="N1801" i="1"/>
  <c r="N1793" i="1"/>
  <c r="N1785" i="1"/>
  <c r="N1777" i="1"/>
  <c r="N1769" i="1"/>
  <c r="N1761" i="1"/>
  <c r="N1753" i="1"/>
  <c r="N1745" i="1"/>
  <c r="N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<sst xmlns="http://schemas.openxmlformats.org/spreadsheetml/2006/main" count="9916" uniqueCount="204">
  <si>
    <t>Fecha</t>
  </si>
  <si>
    <t>Mes</t>
  </si>
  <si>
    <t>Año</t>
  </si>
  <si>
    <t>Clientes</t>
  </si>
  <si>
    <t>Categoría</t>
  </si>
  <si>
    <t>Producto</t>
  </si>
  <si>
    <t>Cantidad</t>
  </si>
  <si>
    <t>Precio Unit</t>
  </si>
  <si>
    <t>SubTotal</t>
  </si>
  <si>
    <t>Descuento</t>
  </si>
  <si>
    <t>Impuesto</t>
  </si>
  <si>
    <t>Total</t>
  </si>
  <si>
    <t>Jul</t>
  </si>
  <si>
    <t>Matias Contreras</t>
  </si>
  <si>
    <t>Productos Lácteos</t>
  </si>
  <si>
    <t>Queso Cabrales</t>
  </si>
  <si>
    <t>Granos y Cereales</t>
  </si>
  <si>
    <t>Fried Mee de hockey de Singapur</t>
  </si>
  <si>
    <t>Mozzarella di Giovanni</t>
  </si>
  <si>
    <t>Anabela Domingues</t>
  </si>
  <si>
    <t>Productos Alimenticios</t>
  </si>
  <si>
    <t>Tofu</t>
  </si>
  <si>
    <t>Manjimup Dry Apples</t>
  </si>
  <si>
    <t>María Fuentes</t>
  </si>
  <si>
    <t>Mariscos</t>
  </si>
  <si>
    <t>Sopa de almejas de Nueva Inglaterra de Jack</t>
  </si>
  <si>
    <t>Condimentos</t>
  </si>
  <si>
    <t>Salsa de pimiento picante de Luisiana</t>
  </si>
  <si>
    <t>Mery Saavedra</t>
  </si>
  <si>
    <t>Pan crujiente de Gustaf</t>
  </si>
  <si>
    <t>Ravioli Angelo</t>
  </si>
  <si>
    <t>Pascual Cartagena</t>
  </si>
  <si>
    <t>Dulces</t>
  </si>
  <si>
    <t>Mermelada de Sir Rodney</t>
  </si>
  <si>
    <t>Queso de cabra</t>
  </si>
  <si>
    <t>Pierrot camembert</t>
  </si>
  <si>
    <t>Gorgonzola Telino</t>
  </si>
  <si>
    <t>Bebidas</t>
  </si>
  <si>
    <t>Chartreuse verde</t>
  </si>
  <si>
    <t>Maxilaku</t>
  </si>
  <si>
    <t>Yolanda Wilches</t>
  </si>
  <si>
    <t>Guaraná Fantástica</t>
  </si>
  <si>
    <t>Carnes y Aves</t>
  </si>
  <si>
    <t>Paté chino</t>
  </si>
  <si>
    <t>Tofu de larga duración</t>
  </si>
  <si>
    <t>Miguel Loja</t>
  </si>
  <si>
    <t>Chang</t>
  </si>
  <si>
    <t>Pavlova</t>
  </si>
  <si>
    <t>Arenque en escabeche</t>
  </si>
  <si>
    <t>Raclette Courdavault</t>
  </si>
  <si>
    <t>Paul Paredes</t>
  </si>
  <si>
    <t>Empanadas de Perth</t>
  </si>
  <si>
    <t>Salsa verde original de Frankfurt</t>
  </si>
  <si>
    <t>Carlos López</t>
  </si>
  <si>
    <t>Chocolate Schoggi</t>
  </si>
  <si>
    <t>Rolando Mendez</t>
  </si>
  <si>
    <t>Mezcla de Gumbo del Chef Anton</t>
  </si>
  <si>
    <t>Mascarpone Fabioli</t>
  </si>
  <si>
    <t>Franco Cholter</t>
  </si>
  <si>
    <t>Scones de Sir Rodney</t>
  </si>
  <si>
    <t>Gravad laxo</t>
  </si>
  <si>
    <t>Rene Ramirez</t>
  </si>
  <si>
    <t>Tarta de azúcar</t>
  </si>
  <si>
    <t>Outback Lager</t>
  </si>
  <si>
    <t>Bernarda Buestan</t>
  </si>
  <si>
    <t>Steeleye Stout</t>
  </si>
  <si>
    <t>Paula Velez</t>
  </si>
  <si>
    <t>Peras secas orgánicas del tío Bob</t>
  </si>
  <si>
    <t>Gnocchi di nonna Alice</t>
  </si>
  <si>
    <t>Nord-Ost Matjeshering</t>
  </si>
  <si>
    <t>María Lazzo</t>
  </si>
  <si>
    <t>Federico Casas</t>
  </si>
  <si>
    <t>Alice Cordero</t>
  </si>
  <si>
    <t>Felipe Nunes</t>
  </si>
  <si>
    <t>Queso Manchego La Pastora</t>
  </si>
  <si>
    <t>Pedro Franco</t>
  </si>
  <si>
    <t>Carne de cangrejo de Boston</t>
  </si>
  <si>
    <t>Lakkalikööri</t>
  </si>
  <si>
    <t>Manuel Pereira</t>
  </si>
  <si>
    <t>Salchicha asada de Turingia</t>
  </si>
  <si>
    <t>Carlos Jacobo</t>
  </si>
  <si>
    <t>Ago</t>
  </si>
  <si>
    <t>Café Ipoh</t>
  </si>
  <si>
    <t>Alan Bermudez</t>
  </si>
  <si>
    <t>Miguel Loja Hernandez</t>
  </si>
  <si>
    <t>Ikura</t>
  </si>
  <si>
    <t>Paul Henriot</t>
  </si>
  <si>
    <t>Queso crema</t>
  </si>
  <si>
    <t>Geovanny Rojas</t>
  </si>
  <si>
    <t>Miguel Angel Palacios</t>
  </si>
  <si>
    <t>Konbu</t>
  </si>
  <si>
    <t>Alex Ferrero</t>
  </si>
  <si>
    <t>Chucrut Rössle</t>
  </si>
  <si>
    <t>Christian Vicuña</t>
  </si>
  <si>
    <t>Gula Malacca</t>
  </si>
  <si>
    <t>Crema de verduras</t>
  </si>
  <si>
    <t>Caviar rojo</t>
  </si>
  <si>
    <t>Renato Meneses</t>
  </si>
  <si>
    <t>Rhönbräu Klosterbier</t>
  </si>
  <si>
    <t>Alejandra Camino</t>
  </si>
  <si>
    <t>Galletas de chocolate a la hora del té</t>
  </si>
  <si>
    <t>Carlos González</t>
  </si>
  <si>
    <t>Genes Shouyu</t>
  </si>
  <si>
    <t>Lager de leñador riendo</t>
  </si>
  <si>
    <t>Chai</t>
  </si>
  <si>
    <t>Janete Limeira</t>
  </si>
  <si>
    <t>Sasquatch Ale</t>
  </si>
  <si>
    <t>arenque</t>
  </si>
  <si>
    <t>Maurizio Moroni</t>
  </si>
  <si>
    <t>Tourtière</t>
  </si>
  <si>
    <t>Pan largo escocés</t>
  </si>
  <si>
    <t>Victoria Ashworth</t>
  </si>
  <si>
    <t>Jarabe de anís</t>
  </si>
  <si>
    <t>El buen Semmelknödel de Wimmer</t>
  </si>
  <si>
    <t>Pedro Afonso</t>
  </si>
  <si>
    <t>Tigres de Carnarvon</t>
  </si>
  <si>
    <t>Sep</t>
  </si>
  <si>
    <t>Gudbrandsdalsost</t>
  </si>
  <si>
    <t>Patricia McKenna</t>
  </si>
  <si>
    <t>Okra picante de Louisiana</t>
  </si>
  <si>
    <t>Rita Müller</t>
  </si>
  <si>
    <t>José Pedro Freyre</t>
  </si>
  <si>
    <t>Fran Wilson</t>
  </si>
  <si>
    <t>Ana Trujillo</t>
  </si>
  <si>
    <t>Condimento Cajún del Chef Anton</t>
  </si>
  <si>
    <t>Crema de arándanos de la abuela</t>
  </si>
  <si>
    <t>Liz Nixon</t>
  </si>
  <si>
    <t>Janine Labrune</t>
  </si>
  <si>
    <t>Escorts borgoña</t>
  </si>
  <si>
    <t>Helen Bennett</t>
  </si>
  <si>
    <t>Oct</t>
  </si>
  <si>
    <t>Guillermo Fernández</t>
  </si>
  <si>
    <t>Filo Mix</t>
  </si>
  <si>
    <t>Philip Cramer</t>
  </si>
  <si>
    <t>Crema de Turrón de Nueces NuNuCa</t>
  </si>
  <si>
    <t>Jose Pavarotti</t>
  </si>
  <si>
    <t>tofu</t>
  </si>
  <si>
    <t>Martín Sommer</t>
  </si>
  <si>
    <t>Lino Rodriguez</t>
  </si>
  <si>
    <t>Côte de Blaye</t>
  </si>
  <si>
    <t>Gummär Gummibärchen</t>
  </si>
  <si>
    <t>Laurence Lebihan</t>
  </si>
  <si>
    <t>Jean Fresnière</t>
  </si>
  <si>
    <t>Tortas Zaanse</t>
  </si>
  <si>
    <t>Isabel de Castro</t>
  </si>
  <si>
    <t>Pan plano</t>
  </si>
  <si>
    <t>Jytte Petersen</t>
  </si>
  <si>
    <t>Nov</t>
  </si>
  <si>
    <t>Salsa de arándanos Northwoods</t>
  </si>
  <si>
    <t>Aria Cruz</t>
  </si>
  <si>
    <t>Annette Roulet</t>
  </si>
  <si>
    <t>Valkoinen suklaa</t>
  </si>
  <si>
    <t>Georg Pipps</t>
  </si>
  <si>
    <t>Thomas Hardy</t>
  </si>
  <si>
    <t>Hari Kumar</t>
  </si>
  <si>
    <t>Sven Ottlieb</t>
  </si>
  <si>
    <t>Ann Devon</t>
  </si>
  <si>
    <t>Antonio Moreno</t>
  </si>
  <si>
    <t>Eduardo Saavedra</t>
  </si>
  <si>
    <t>Palle Ibsen</t>
  </si>
  <si>
    <t>Dic</t>
  </si>
  <si>
    <t>Lúcia Carvalho</t>
  </si>
  <si>
    <t>Zbyszek Piestrzeniewicz</t>
  </si>
  <si>
    <t>Yoshi Latimer</t>
  </si>
  <si>
    <t>Jonas Bergulfsen</t>
  </si>
  <si>
    <t>Arenque ahumado</t>
  </si>
  <si>
    <t>Elizabeth Lincoln</t>
  </si>
  <si>
    <t>Ene</t>
  </si>
  <si>
    <t>Chocolate</t>
  </si>
  <si>
    <t>Felipe Izquierdo</t>
  </si>
  <si>
    <t>Henriette Pfalzheim</t>
  </si>
  <si>
    <t>Martine Rancé</t>
  </si>
  <si>
    <t>Yvonne Moncada</t>
  </si>
  <si>
    <t>miel de maple</t>
  </si>
  <si>
    <t>Mishi Kobe Niku</t>
  </si>
  <si>
    <t>Paolo Accorti</t>
  </si>
  <si>
    <t>André Fonseca</t>
  </si>
  <si>
    <t>Feb</t>
  </si>
  <si>
    <t>Elizabeth Brown</t>
  </si>
  <si>
    <t>Karin Josephs</t>
  </si>
  <si>
    <t>Sergio Gutiérrez</t>
  </si>
  <si>
    <t>Mar</t>
  </si>
  <si>
    <t>John Steel</t>
  </si>
  <si>
    <t>Abr</t>
  </si>
  <si>
    <t>Yoshi Tannamuri</t>
  </si>
  <si>
    <t>Hanna Moos</t>
  </si>
  <si>
    <t>Simon Crowther</t>
  </si>
  <si>
    <t>Patricio Simpson</t>
  </si>
  <si>
    <t>May</t>
  </si>
  <si>
    <t>Howard Snyder</t>
  </si>
  <si>
    <t>Catherine Dewey</t>
  </si>
  <si>
    <t>Jun</t>
  </si>
  <si>
    <t>Helvetius Nagy</t>
  </si>
  <si>
    <t>Jaime Yorres</t>
  </si>
  <si>
    <t>Liu Wong</t>
  </si>
  <si>
    <t>Maria Anders</t>
  </si>
  <si>
    <t>Carine Schmitt</t>
  </si>
  <si>
    <t>Dominique Perrier</t>
  </si>
  <si>
    <t>Cliente</t>
  </si>
  <si>
    <t>Vendedor</t>
  </si>
  <si>
    <t>Etiquetas de fila</t>
  </si>
  <si>
    <t>Total general</t>
  </si>
  <si>
    <t>Suma de Total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</si>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</sst>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 &quot;$&quot;* #,##0.00_ ;_ &quot;$&quot;* \-#,##0.00_ ;_ &quot;$&quot;* &quot;-&quot;??_ ;_ @_ "/>
    <numFmt numFmtId="164" formatCode="dd/mm/yyyy;@"/>
    <numFmt numFmtId="165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theme="0"/>
      <name val="Calibri"/>
      <family val="2"/>
      <scheme val="minor"/>
    </font>
    <font>
      <b/>
      <sz val="18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4"/>
        <bgColor theme="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29">
    <xf numFmtId="0" fontId="0" fillId="0" borderId="0" xfId="0"/>
    <xf numFmtId="164" fontId="3" fillId="3" borderId="1" xfId="0" applyNumberFormat="1" applyFont="1" applyFill="1" applyBorder="1" applyAlignment="1">
      <alignment horizontal="center"/>
    </xf>
    <xf numFmtId="44" fontId="3" fillId="3" borderId="1" xfId="1" applyFont="1" applyFill="1" applyBorder="1" applyAlignment="1">
      <alignment horizontal="center"/>
    </xf>
    <xf numFmtId="44" fontId="3" fillId="3" borderId="2" xfId="1" applyFont="1" applyFill="1" applyBorder="1" applyAlignment="1">
      <alignment horizontal="center"/>
    </xf>
    <xf numFmtId="1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0" borderId="3" xfId="0" applyFont="1" applyBorder="1"/>
    <xf numFmtId="0" fontId="4" fillId="0" borderId="3" xfId="0" applyFont="1" applyBorder="1"/>
    <xf numFmtId="165" fontId="4" fillId="0" borderId="3" xfId="1" applyNumberFormat="1" applyFont="1" applyBorder="1"/>
    <xf numFmtId="164" fontId="4" fillId="0" borderId="5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5" fillId="0" borderId="5" xfId="0" applyFont="1" applyBorder="1"/>
    <xf numFmtId="0" fontId="4" fillId="0" borderId="5" xfId="0" applyFont="1" applyBorder="1"/>
    <xf numFmtId="165" fontId="4" fillId="0" borderId="5" xfId="1" applyNumberFormat="1" applyFont="1" applyBorder="1"/>
    <xf numFmtId="0" fontId="6" fillId="2" borderId="0" xfId="2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164" fontId="4" fillId="0" borderId="7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5" fillId="0" borderId="7" xfId="0" applyFont="1" applyBorder="1"/>
    <xf numFmtId="0" fontId="4" fillId="0" borderId="7" xfId="0" applyFont="1" applyBorder="1"/>
    <xf numFmtId="165" fontId="4" fillId="0" borderId="7" xfId="1" applyNumberFormat="1" applyFont="1" applyBorder="1"/>
    <xf numFmtId="0" fontId="7" fillId="5" borderId="0" xfId="0" applyFont="1" applyFill="1" applyAlignment="1">
      <alignment horizontal="center" vertical="center"/>
    </xf>
  </cellXfs>
  <cellStyles count="3">
    <cellStyle name="Énfasis2" xfId="2" builtinId="33"/>
    <cellStyle name="Moneda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9F7DAA74-90E6-4E0E-8376-B757453178B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85725</xdr:rowOff>
    </xdr:from>
    <xdr:to>
      <xdr:col>0</xdr:col>
      <xdr:colOff>881062</xdr:colOff>
      <xdr:row>8</xdr:row>
      <xdr:rowOff>82800</xdr:rowOff>
    </xdr:to>
    <xdr:sp macro="[0]!Hoja1.BaseDedatos" textlink="">
      <xdr:nvSpPr>
        <xdr:cNvPr id="11" name="Rectángulo: esquinas superiores redondeadas 10">
          <a:extLst>
            <a:ext uri="{FF2B5EF4-FFF2-40B4-BE49-F238E27FC236}">
              <a16:creationId xmlns:a16="http://schemas.microsoft.com/office/drawing/2014/main" id="{ECD62C86-672F-47C7-A2A9-F16B34F484A9}"/>
            </a:ext>
          </a:extLst>
        </xdr:cNvPr>
        <xdr:cNvSpPr/>
      </xdr:nvSpPr>
      <xdr:spPr>
        <a:xfrm rot="5400000">
          <a:off x="170531" y="839119"/>
          <a:ext cx="540000" cy="881062"/>
        </a:xfrm>
        <a:prstGeom prst="round2Same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900"/>
            <a:t>BASE</a:t>
          </a:r>
          <a:r>
            <a:rPr lang="es-EC" sz="900" baseline="0"/>
            <a:t> DE DATOS</a:t>
          </a:r>
          <a:endParaRPr lang="es-EC" sz="9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0</xdr:col>
      <xdr:colOff>881062</xdr:colOff>
      <xdr:row>11</xdr:row>
      <xdr:rowOff>178051</xdr:rowOff>
    </xdr:to>
    <xdr:sp macro="[0]!Hoja1.TablaDinamica" textlink="">
      <xdr:nvSpPr>
        <xdr:cNvPr id="12" name="Rectángulo: esquinas superiores redondeadas 11">
          <a:extLst>
            <a:ext uri="{FF2B5EF4-FFF2-40B4-BE49-F238E27FC236}">
              <a16:creationId xmlns:a16="http://schemas.microsoft.com/office/drawing/2014/main" id="{339CF7A4-E590-491E-89E2-02504FE72196}"/>
            </a:ext>
          </a:extLst>
        </xdr:cNvPr>
        <xdr:cNvSpPr/>
      </xdr:nvSpPr>
      <xdr:spPr>
        <a:xfrm rot="5400000">
          <a:off x="170531" y="1477295"/>
          <a:ext cx="540000" cy="881062"/>
        </a:xfrm>
        <a:prstGeom prst="round2Same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900"/>
            <a:t>TABLA</a:t>
          </a:r>
          <a:r>
            <a:rPr lang="es-EC" sz="900" baseline="0"/>
            <a:t> DINAMIC</a:t>
          </a:r>
          <a:endParaRPr lang="es-EC" sz="900"/>
        </a:p>
      </xdr:txBody>
    </xdr:sp>
    <xdr:clientData/>
  </xdr:twoCellAnchor>
  <xdr:twoCellAnchor>
    <xdr:from>
      <xdr:col>0</xdr:col>
      <xdr:colOff>0</xdr:colOff>
      <xdr:row>12</xdr:row>
      <xdr:rowOff>90488</xdr:rowOff>
    </xdr:from>
    <xdr:to>
      <xdr:col>0</xdr:col>
      <xdr:colOff>881062</xdr:colOff>
      <xdr:row>15</xdr:row>
      <xdr:rowOff>87563</xdr:rowOff>
    </xdr:to>
    <xdr:sp macro="[0]!Hoja1.TabblaFormato" textlink="">
      <xdr:nvSpPr>
        <xdr:cNvPr id="13" name="Rectángulo: esquinas superiores redondeadas 12">
          <a:extLst>
            <a:ext uri="{FF2B5EF4-FFF2-40B4-BE49-F238E27FC236}">
              <a16:creationId xmlns:a16="http://schemas.microsoft.com/office/drawing/2014/main" id="{90465C47-9A6B-45E2-8D2F-26D7CB19F35C}"/>
            </a:ext>
          </a:extLst>
        </xdr:cNvPr>
        <xdr:cNvSpPr/>
      </xdr:nvSpPr>
      <xdr:spPr>
        <a:xfrm rot="5400000">
          <a:off x="170531" y="2110707"/>
          <a:ext cx="540000" cy="881062"/>
        </a:xfrm>
        <a:prstGeom prst="round2Same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900"/>
            <a:t> FORMATO</a:t>
          </a:r>
        </a:p>
      </xdr:txBody>
    </xdr:sp>
    <xdr:clientData/>
  </xdr:twoCellAnchor>
  <xdr:twoCellAnchor>
    <xdr:from>
      <xdr:col>0</xdr:col>
      <xdr:colOff>0</xdr:colOff>
      <xdr:row>2</xdr:row>
      <xdr:rowOff>4763</xdr:rowOff>
    </xdr:from>
    <xdr:to>
      <xdr:col>1</xdr:col>
      <xdr:colOff>508387</xdr:colOff>
      <xdr:row>5</xdr:row>
      <xdr:rowOff>1838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448117A5-B0EC-5F2E-B6B5-690987862F7F}"/>
            </a:ext>
          </a:extLst>
        </xdr:cNvPr>
        <xdr:cNvGrpSpPr/>
      </xdr:nvGrpSpPr>
      <xdr:grpSpPr>
        <a:xfrm>
          <a:off x="0" y="385763"/>
          <a:ext cx="1925707" cy="568575"/>
          <a:chOff x="0" y="366713"/>
          <a:chExt cx="1984762" cy="540000"/>
        </a:xfrm>
      </xdr:grpSpPr>
      <xdr:sp macro="[0]!ConsultaFiltro" textlink="">
        <xdr:nvSpPr>
          <xdr:cNvPr id="10" name="Rectángulo: esquinas superiores redondeadas 9">
            <a:extLst>
              <a:ext uri="{FF2B5EF4-FFF2-40B4-BE49-F238E27FC236}">
                <a16:creationId xmlns:a16="http://schemas.microsoft.com/office/drawing/2014/main" id="{93446DF5-CAC0-6AA0-EFE2-EAB6A31EB229}"/>
              </a:ext>
            </a:extLst>
          </xdr:cNvPr>
          <xdr:cNvSpPr/>
        </xdr:nvSpPr>
        <xdr:spPr>
          <a:xfrm rot="5400000">
            <a:off x="722381" y="-355668"/>
            <a:ext cx="540000" cy="1984762"/>
          </a:xfrm>
          <a:prstGeom prst="round2Same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s-EC" sz="1400" b="1"/>
              <a:t>CONSULTA</a:t>
            </a:r>
          </a:p>
        </xdr:txBody>
      </xdr:sp>
      <xdr:pic>
        <xdr:nvPicPr>
          <xdr:cNvPr id="15" name="Gráfico 14" descr="Lupa con relleno sólido">
            <a:extLst>
              <a:ext uri="{FF2B5EF4-FFF2-40B4-BE49-F238E27FC236}">
                <a16:creationId xmlns:a16="http://schemas.microsoft.com/office/drawing/2014/main" id="{9D28B1C7-75BB-1616-CBAC-BAB025675A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28951" y="439433"/>
            <a:ext cx="409275" cy="408293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881062</xdr:colOff>
      <xdr:row>4</xdr:row>
      <xdr:rowOff>178050</xdr:rowOff>
    </xdr:to>
    <xdr:sp macro="[0]!Hoja1.Consulta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8F8E65AC-A0C8-4109-90A0-700311DB1C38}"/>
            </a:ext>
          </a:extLst>
        </xdr:cNvPr>
        <xdr:cNvSpPr/>
      </xdr:nvSpPr>
      <xdr:spPr>
        <a:xfrm rot="5400000">
          <a:off x="170531" y="191419"/>
          <a:ext cx="540000" cy="881062"/>
        </a:xfrm>
        <a:prstGeom prst="round2Same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900"/>
            <a:t>CONSULTA</a:t>
          </a:r>
        </a:p>
      </xdr:txBody>
    </xdr:sp>
    <xdr:clientData/>
  </xdr:twoCellAnchor>
  <xdr:twoCellAnchor>
    <xdr:from>
      <xdr:col>0</xdr:col>
      <xdr:colOff>0</xdr:colOff>
      <xdr:row>8</xdr:row>
      <xdr:rowOff>176213</xdr:rowOff>
    </xdr:from>
    <xdr:to>
      <xdr:col>0</xdr:col>
      <xdr:colOff>881062</xdr:colOff>
      <xdr:row>11</xdr:row>
      <xdr:rowOff>173288</xdr:rowOff>
    </xdr:to>
    <xdr:sp macro="[0]!Hoja1.TablaDinamica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BC2EC01D-7E2E-4583-8484-CEC4EA26D991}"/>
            </a:ext>
          </a:extLst>
        </xdr:cNvPr>
        <xdr:cNvSpPr/>
      </xdr:nvSpPr>
      <xdr:spPr>
        <a:xfrm rot="5400000">
          <a:off x="170531" y="1453482"/>
          <a:ext cx="540000" cy="881062"/>
        </a:xfrm>
        <a:prstGeom prst="round2Same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900"/>
            <a:t>TABLA</a:t>
          </a:r>
          <a:r>
            <a:rPr lang="es-EC" sz="900" baseline="0"/>
            <a:t> DINAMIC</a:t>
          </a:r>
          <a:endParaRPr lang="es-EC" sz="900"/>
        </a:p>
      </xdr:txBody>
    </xdr:sp>
    <xdr:clientData/>
  </xdr:twoCellAnchor>
  <xdr:twoCellAnchor>
    <xdr:from>
      <xdr:col>0</xdr:col>
      <xdr:colOff>0</xdr:colOff>
      <xdr:row>12</xdr:row>
      <xdr:rowOff>85725</xdr:rowOff>
    </xdr:from>
    <xdr:to>
      <xdr:col>0</xdr:col>
      <xdr:colOff>881062</xdr:colOff>
      <xdr:row>15</xdr:row>
      <xdr:rowOff>82800</xdr:rowOff>
    </xdr:to>
    <xdr:sp macro="[0]!Hoja1.TabblaFormato" textlink="">
      <xdr:nvSpPr>
        <xdr:cNvPr id="10" name="Rectángulo: esquinas superiores redondeadas 9">
          <a:extLst>
            <a:ext uri="{FF2B5EF4-FFF2-40B4-BE49-F238E27FC236}">
              <a16:creationId xmlns:a16="http://schemas.microsoft.com/office/drawing/2014/main" id="{053E7CA9-46B9-40A1-9A9D-DAC7CA739002}"/>
            </a:ext>
          </a:extLst>
        </xdr:cNvPr>
        <xdr:cNvSpPr/>
      </xdr:nvSpPr>
      <xdr:spPr>
        <a:xfrm rot="5400000">
          <a:off x="170531" y="2086894"/>
          <a:ext cx="540000" cy="881062"/>
        </a:xfrm>
        <a:prstGeom prst="round2Same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900"/>
            <a:t> FORMATO</a:t>
          </a:r>
        </a:p>
      </xdr:txBody>
    </xdr:sp>
    <xdr:clientData/>
  </xdr:twoCellAnchor>
  <xdr:twoCellAnchor>
    <xdr:from>
      <xdr:col>0</xdr:col>
      <xdr:colOff>0</xdr:colOff>
      <xdr:row>5</xdr:row>
      <xdr:rowOff>66673</xdr:rowOff>
    </xdr:from>
    <xdr:to>
      <xdr:col>1</xdr:col>
      <xdr:colOff>566982</xdr:colOff>
      <xdr:row>8</xdr:row>
      <xdr:rowOff>63748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4FCC2505-619F-6DEE-090D-229A4F54791B}"/>
            </a:ext>
          </a:extLst>
        </xdr:cNvPr>
        <xdr:cNvGrpSpPr/>
      </xdr:nvGrpSpPr>
      <xdr:grpSpPr>
        <a:xfrm>
          <a:off x="0" y="1019173"/>
          <a:ext cx="1984302" cy="568575"/>
          <a:chOff x="0" y="981073"/>
          <a:chExt cx="1984302" cy="545715"/>
        </a:xfrm>
      </xdr:grpSpPr>
      <xdr:sp macro="[0]!Hoja1.BaseDedatos" textlink="">
        <xdr:nvSpPr>
          <xdr:cNvPr id="8" name="Rectángulo: esquinas superiores redondeadas 7">
            <a:extLst>
              <a:ext uri="{FF2B5EF4-FFF2-40B4-BE49-F238E27FC236}">
                <a16:creationId xmlns:a16="http://schemas.microsoft.com/office/drawing/2014/main" id="{6568BC2D-19BD-4D5F-BCFB-BCDFCE3F9B62}"/>
              </a:ext>
            </a:extLst>
          </xdr:cNvPr>
          <xdr:cNvSpPr/>
        </xdr:nvSpPr>
        <xdr:spPr>
          <a:xfrm rot="5400000">
            <a:off x="689996" y="291077"/>
            <a:ext cx="545715" cy="1925707"/>
          </a:xfrm>
          <a:prstGeom prst="round2SameRect">
            <a:avLst/>
          </a:prstGeom>
          <a:solidFill>
            <a:srgbClr val="C0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s-EC" sz="1400" b="1" i="0"/>
              <a:t>BASE</a:t>
            </a:r>
            <a:r>
              <a:rPr lang="es-EC" sz="1400" b="1" i="0" baseline="0"/>
              <a:t> DE DATOS</a:t>
            </a:r>
            <a:endParaRPr lang="es-EC" sz="1400" b="1" i="0"/>
          </a:p>
        </xdr:txBody>
      </xdr:sp>
      <xdr:pic macro="[0]!Hoja1.BaseDedatos">
        <xdr:nvPicPr>
          <xdr:cNvPr id="12" name="Gráfico 11" descr="Base de datos con relleno sólido">
            <a:extLst>
              <a:ext uri="{FF2B5EF4-FFF2-40B4-BE49-F238E27FC236}">
                <a16:creationId xmlns:a16="http://schemas.microsoft.com/office/drawing/2014/main" id="{1D5C4C37-14BB-F119-2502-FFF449CAC2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47741" y="990600"/>
            <a:ext cx="636561" cy="525780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881062</xdr:colOff>
      <xdr:row>4</xdr:row>
      <xdr:rowOff>178050</xdr:rowOff>
    </xdr:to>
    <xdr:sp macro="[0]!Hoja1.Consulta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83BB825B-3342-415E-B803-C420155CC3E1}"/>
            </a:ext>
          </a:extLst>
        </xdr:cNvPr>
        <xdr:cNvSpPr/>
      </xdr:nvSpPr>
      <xdr:spPr>
        <a:xfrm rot="5400000">
          <a:off x="170531" y="191419"/>
          <a:ext cx="540000" cy="881062"/>
        </a:xfrm>
        <a:prstGeom prst="round2Same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900"/>
            <a:t>CONSULTA</a:t>
          </a:r>
        </a:p>
      </xdr:txBody>
    </xdr:sp>
    <xdr:clientData/>
  </xdr:twoCellAnchor>
  <xdr:twoCellAnchor>
    <xdr:from>
      <xdr:col>0</xdr:col>
      <xdr:colOff>0</xdr:colOff>
      <xdr:row>5</xdr:row>
      <xdr:rowOff>80962</xdr:rowOff>
    </xdr:from>
    <xdr:to>
      <xdr:col>0</xdr:col>
      <xdr:colOff>881062</xdr:colOff>
      <xdr:row>8</xdr:row>
      <xdr:rowOff>78037</xdr:rowOff>
    </xdr:to>
    <xdr:sp macro="[0]!Hoja1.BaseDedatos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649A167C-5CAB-4567-A3BD-3E59BF7341C5}"/>
            </a:ext>
          </a:extLst>
        </xdr:cNvPr>
        <xdr:cNvSpPr/>
      </xdr:nvSpPr>
      <xdr:spPr>
        <a:xfrm rot="5400000">
          <a:off x="170531" y="815306"/>
          <a:ext cx="540000" cy="881062"/>
        </a:xfrm>
        <a:prstGeom prst="round2Same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900"/>
            <a:t>BASE</a:t>
          </a:r>
          <a:r>
            <a:rPr lang="es-EC" sz="900" baseline="0"/>
            <a:t> DE DATOS</a:t>
          </a:r>
          <a:endParaRPr lang="es-EC" sz="900"/>
        </a:p>
      </xdr:txBody>
    </xdr:sp>
    <xdr:clientData/>
  </xdr:twoCellAnchor>
  <xdr:twoCellAnchor>
    <xdr:from>
      <xdr:col>0</xdr:col>
      <xdr:colOff>0</xdr:colOff>
      <xdr:row>12</xdr:row>
      <xdr:rowOff>85725</xdr:rowOff>
    </xdr:from>
    <xdr:to>
      <xdr:col>0</xdr:col>
      <xdr:colOff>881062</xdr:colOff>
      <xdr:row>15</xdr:row>
      <xdr:rowOff>82800</xdr:rowOff>
    </xdr:to>
    <xdr:sp macro="[0]!Hoja1.TabblaFormato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5D7715F9-7648-40CE-BC28-991954AB500A}"/>
            </a:ext>
          </a:extLst>
        </xdr:cNvPr>
        <xdr:cNvSpPr/>
      </xdr:nvSpPr>
      <xdr:spPr>
        <a:xfrm rot="5400000">
          <a:off x="170531" y="2086894"/>
          <a:ext cx="540000" cy="881062"/>
        </a:xfrm>
        <a:prstGeom prst="round2Same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900"/>
            <a:t> FORMATO</a:t>
          </a:r>
        </a:p>
      </xdr:txBody>
    </xdr:sp>
    <xdr:clientData/>
  </xdr:twoCellAnchor>
  <xdr:twoCellAnchor>
    <xdr:from>
      <xdr:col>0</xdr:col>
      <xdr:colOff>0</xdr:colOff>
      <xdr:row>8</xdr:row>
      <xdr:rowOff>176213</xdr:rowOff>
    </xdr:from>
    <xdr:to>
      <xdr:col>1</xdr:col>
      <xdr:colOff>508387</xdr:colOff>
      <xdr:row>11</xdr:row>
      <xdr:rowOff>173288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24901781-F88C-E9DC-3DDC-3BB667BF06AA}"/>
            </a:ext>
          </a:extLst>
        </xdr:cNvPr>
        <xdr:cNvGrpSpPr/>
      </xdr:nvGrpSpPr>
      <xdr:grpSpPr>
        <a:xfrm>
          <a:off x="0" y="1700213"/>
          <a:ext cx="1925707" cy="568575"/>
          <a:chOff x="0" y="1624013"/>
          <a:chExt cx="1984762" cy="540000"/>
        </a:xfrm>
      </xdr:grpSpPr>
      <xdr:sp macro="[0]!Hoja1.TablaDinamica" textlink="">
        <xdr:nvSpPr>
          <xdr:cNvPr id="8" name="Rectángulo: esquinas superiores redondeadas 7">
            <a:extLst>
              <a:ext uri="{FF2B5EF4-FFF2-40B4-BE49-F238E27FC236}">
                <a16:creationId xmlns:a16="http://schemas.microsoft.com/office/drawing/2014/main" id="{D2F43158-DC76-4171-A9C1-9F0233331B79}"/>
              </a:ext>
            </a:extLst>
          </xdr:cNvPr>
          <xdr:cNvSpPr/>
        </xdr:nvSpPr>
        <xdr:spPr>
          <a:xfrm rot="5400000">
            <a:off x="722381" y="901632"/>
            <a:ext cx="540000" cy="1984762"/>
          </a:xfrm>
          <a:prstGeom prst="round2SameRect">
            <a:avLst/>
          </a:prstGeom>
          <a:solidFill>
            <a:srgbClr val="92D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s-EC" sz="1400" b="1"/>
              <a:t>TABLA</a:t>
            </a:r>
            <a:r>
              <a:rPr lang="es-EC" sz="1400" b="1" baseline="0"/>
              <a:t> DINAMICA</a:t>
            </a:r>
            <a:endParaRPr lang="es-EC" sz="1400" b="1"/>
          </a:p>
        </xdr:txBody>
      </xdr:sp>
      <xdr:pic macro="[0]!Hoja1.TablaDinamica">
        <xdr:nvPicPr>
          <xdr:cNvPr id="11" name="Gráfico 10" descr="Tabla con relleno sólido">
            <a:extLst>
              <a:ext uri="{FF2B5EF4-FFF2-40B4-BE49-F238E27FC236}">
                <a16:creationId xmlns:a16="http://schemas.microsoft.com/office/drawing/2014/main" id="{E45BC932-5206-3B81-A66A-4E225DB344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75152" y="1647824"/>
            <a:ext cx="506040" cy="504826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881062</xdr:colOff>
      <xdr:row>4</xdr:row>
      <xdr:rowOff>178050</xdr:rowOff>
    </xdr:to>
    <xdr:sp macro="[0]!Hoja1.Consulta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2240856B-693D-4272-BE24-A012FA61E4FC}"/>
            </a:ext>
          </a:extLst>
        </xdr:cNvPr>
        <xdr:cNvSpPr/>
      </xdr:nvSpPr>
      <xdr:spPr>
        <a:xfrm rot="5400000">
          <a:off x="170531" y="191419"/>
          <a:ext cx="540000" cy="881062"/>
        </a:xfrm>
        <a:prstGeom prst="round2Same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900"/>
            <a:t>CONSULTA</a:t>
          </a:r>
        </a:p>
      </xdr:txBody>
    </xdr:sp>
    <xdr:clientData/>
  </xdr:twoCellAnchor>
  <xdr:twoCellAnchor>
    <xdr:from>
      <xdr:col>0</xdr:col>
      <xdr:colOff>0</xdr:colOff>
      <xdr:row>5</xdr:row>
      <xdr:rowOff>80962</xdr:rowOff>
    </xdr:from>
    <xdr:to>
      <xdr:col>0</xdr:col>
      <xdr:colOff>881062</xdr:colOff>
      <xdr:row>8</xdr:row>
      <xdr:rowOff>78037</xdr:rowOff>
    </xdr:to>
    <xdr:sp macro="[0]!Hoja1.BaseDedatos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E2B59553-1EE8-41FC-95A2-5CB5B0911C92}"/>
            </a:ext>
          </a:extLst>
        </xdr:cNvPr>
        <xdr:cNvSpPr/>
      </xdr:nvSpPr>
      <xdr:spPr>
        <a:xfrm rot="5400000">
          <a:off x="170531" y="815306"/>
          <a:ext cx="540000" cy="881062"/>
        </a:xfrm>
        <a:prstGeom prst="round2Same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900"/>
            <a:t>BASE</a:t>
          </a:r>
          <a:r>
            <a:rPr lang="es-EC" sz="900" baseline="0"/>
            <a:t> DE DATOS</a:t>
          </a:r>
          <a:endParaRPr lang="es-EC" sz="900"/>
        </a:p>
      </xdr:txBody>
    </xdr:sp>
    <xdr:clientData/>
  </xdr:twoCellAnchor>
  <xdr:twoCellAnchor>
    <xdr:from>
      <xdr:col>0</xdr:col>
      <xdr:colOff>0</xdr:colOff>
      <xdr:row>8</xdr:row>
      <xdr:rowOff>176213</xdr:rowOff>
    </xdr:from>
    <xdr:to>
      <xdr:col>0</xdr:col>
      <xdr:colOff>881062</xdr:colOff>
      <xdr:row>11</xdr:row>
      <xdr:rowOff>173288</xdr:rowOff>
    </xdr:to>
    <xdr:sp macro="[0]!Hoja1.TablaDinamica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23B643D8-6AA2-4A47-8CAD-7A7C9731FD4C}"/>
            </a:ext>
          </a:extLst>
        </xdr:cNvPr>
        <xdr:cNvSpPr/>
      </xdr:nvSpPr>
      <xdr:spPr>
        <a:xfrm rot="5400000">
          <a:off x="170531" y="1453482"/>
          <a:ext cx="540000" cy="881062"/>
        </a:xfrm>
        <a:prstGeom prst="round2Same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C" sz="900"/>
            <a:t>TABLA</a:t>
          </a:r>
          <a:r>
            <a:rPr lang="es-EC" sz="900" baseline="0"/>
            <a:t> DINAMIC</a:t>
          </a:r>
          <a:endParaRPr lang="es-EC" sz="900"/>
        </a:p>
      </xdr:txBody>
    </xdr:sp>
    <xdr:clientData/>
  </xdr:twoCellAnchor>
  <xdr:twoCellAnchor>
    <xdr:from>
      <xdr:col>0</xdr:col>
      <xdr:colOff>0</xdr:colOff>
      <xdr:row>12</xdr:row>
      <xdr:rowOff>90486</xdr:rowOff>
    </xdr:from>
    <xdr:to>
      <xdr:col>1</xdr:col>
      <xdr:colOff>508387</xdr:colOff>
      <xdr:row>15</xdr:row>
      <xdr:rowOff>90487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A07663F4-136D-D0CC-3492-51DF07C30DA1}"/>
            </a:ext>
          </a:extLst>
        </xdr:cNvPr>
        <xdr:cNvGrpSpPr/>
      </xdr:nvGrpSpPr>
      <xdr:grpSpPr>
        <a:xfrm>
          <a:off x="0" y="2376486"/>
          <a:ext cx="1925707" cy="571501"/>
          <a:chOff x="0" y="2262186"/>
          <a:chExt cx="1984762" cy="542926"/>
        </a:xfrm>
      </xdr:grpSpPr>
      <xdr:sp macro="[0]!Hoja1.TabblaFormato" textlink="">
        <xdr:nvSpPr>
          <xdr:cNvPr id="9" name="Rectángulo: esquinas superiores redondeadas 8">
            <a:extLst>
              <a:ext uri="{FF2B5EF4-FFF2-40B4-BE49-F238E27FC236}">
                <a16:creationId xmlns:a16="http://schemas.microsoft.com/office/drawing/2014/main" id="{E1C1CED5-1038-4E32-9DF3-B9A981A9F892}"/>
              </a:ext>
            </a:extLst>
          </xdr:cNvPr>
          <xdr:cNvSpPr/>
        </xdr:nvSpPr>
        <xdr:spPr>
          <a:xfrm rot="5400000">
            <a:off x="722381" y="1539805"/>
            <a:ext cx="540000" cy="1984762"/>
          </a:xfrm>
          <a:prstGeom prst="round2SameRect">
            <a:avLst/>
          </a:prstGeom>
          <a:solidFill>
            <a:schemeClr val="accent2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s-EC" sz="1400" b="1"/>
              <a:t> TABLA FORMATO</a:t>
            </a:r>
          </a:p>
        </xdr:txBody>
      </xdr:sp>
      <xdr:pic>
        <xdr:nvPicPr>
          <xdr:cNvPr id="11" name="Gráfico 10" descr="Gráfico de barras con tendencia alcista con relleno sólido">
            <a:extLst>
              <a:ext uri="{FF2B5EF4-FFF2-40B4-BE49-F238E27FC236}">
                <a16:creationId xmlns:a16="http://schemas.microsoft.com/office/drawing/2014/main" id="{66E953E7-7161-D39A-97F5-D472EB53F2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65605" y="2290762"/>
            <a:ext cx="515587" cy="514350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Teran" refreshedDate="44867.402536226851" createdVersion="8" refreshedVersion="8" minRefreshableVersion="3" recordCount="2421" xr:uid="{5E20D8FB-16E3-43F3-B390-A8D45CB2F791}">
  <cacheSource type="worksheet">
    <worksheetSource ref="C1:N2422" sheet="BaseDeDatos"/>
  </cacheSource>
  <cacheFields count="12">
    <cacheField name="Fecha" numFmtId="164">
      <sharedItems containsSemiMixedTypes="0" containsNonDate="0" containsDate="1" containsString="0" minDate="2019-07-04T00:00:00" maxDate="2022-09-14T00:00:00"/>
    </cacheField>
    <cacheField name="Mes" numFmtId="0">
      <sharedItems/>
    </cacheField>
    <cacheField name="Año" numFmtId="0">
      <sharedItems containsSemiMixedTypes="0" containsString="0" containsNumber="1" containsInteger="1" minValue="2019" maxValue="2022"/>
    </cacheField>
    <cacheField name="Vendedor" numFmtId="0">
      <sharedItems count="88">
        <s v="Matias Contreras"/>
        <s v="Anabela Domingues"/>
        <s v="María Fuentes"/>
        <s v="Mery Saavedra"/>
        <s v="Pascual Cartagena"/>
        <s v="Yolanda Wilches"/>
        <s v="Miguel Loja"/>
        <s v="Paul Paredes"/>
        <s v="Carlos López"/>
        <s v="Rolando Mendez"/>
        <s v="Franco Cholter"/>
        <s v="Rene Ramirez"/>
        <s v="Bernarda Buestan"/>
        <s v="Paula Velez"/>
        <s v="María Lazzo"/>
        <s v="Federico Casas"/>
        <s v="Felipe Nunes"/>
        <s v="Pedro Franco"/>
        <s v="Manuel Pereira"/>
        <s v="Carlos Jacobo"/>
        <s v="Alan Bermudez"/>
        <s v="Miguel Loja Hernandez"/>
        <s v="Paul Henriot"/>
        <s v="Geovanny Rojas"/>
        <s v="Miguel Angel Palacios"/>
        <s v="Alex Ferrero"/>
        <s v="Christian Vicuña"/>
        <s v="Renato Meneses"/>
        <s v="Alejandra Camino"/>
        <s v="Carlos González"/>
        <s v="Janete Limeira"/>
        <s v="Maurizio Moroni"/>
        <s v="Victoria Ashworth"/>
        <s v="Pedro Afonso"/>
        <s v="Patricia McKenna"/>
        <s v="Rita Müller"/>
        <s v="José Pedro Freyre"/>
        <s v="Fran Wilson"/>
        <s v="Ana Trujillo"/>
        <s v="Liz Nixon"/>
        <s v="Janine Labrune"/>
        <s v="Helen Bennett"/>
        <s v="Guillermo Fernández"/>
        <s v="Philip Cramer"/>
        <s v="Jose Pavarotti"/>
        <s v="Martín Sommer"/>
        <s v="Lino Rodriguez"/>
        <s v="Laurence Lebihan"/>
        <s v="Jean Fresnière"/>
        <s v="Isabel de Castro"/>
        <s v="Jytte Petersen"/>
        <s v="Aria Cruz"/>
        <s v="Annette Roulet"/>
        <s v="Georg Pipps"/>
        <s v="Thomas Hardy"/>
        <s v="Hari Kumar"/>
        <s v="Sven Ottlieb"/>
        <s v="Ann Devon"/>
        <s v="Antonio Moreno"/>
        <s v="Eduardo Saavedra"/>
        <s v="Palle Ibsen"/>
        <s v="Lúcia Carvalho"/>
        <s v="Zbyszek Piestrzeniewicz"/>
        <s v="Yoshi Latimer"/>
        <s v="Jonas Bergulfsen"/>
        <s v="Elizabeth Lincoln"/>
        <s v="Felipe Izquierdo"/>
        <s v="Henriette Pfalzheim"/>
        <s v="Martine Rancé"/>
        <s v="Yvonne Moncada"/>
        <s v="Paolo Accorti"/>
        <s v="André Fonseca"/>
        <s v="Elizabeth Brown"/>
        <s v="Karin Josephs"/>
        <s v="Sergio Gutiérrez"/>
        <s v="John Steel"/>
        <s v="Yoshi Tannamuri"/>
        <s v="Hanna Moos"/>
        <s v="Simon Crowther"/>
        <s v="Patricio Simpson"/>
        <s v="Howard Snyder"/>
        <s v="Catherine Dewey"/>
        <s v="Helvetius Nagy"/>
        <s v="Jaime Yorres"/>
        <s v="Liu Wong"/>
        <s v="Maria Anders"/>
        <s v="Carine Schmitt"/>
        <s v="Dominique Perrier"/>
      </sharedItems>
    </cacheField>
    <cacheField name="Categoría" numFmtId="0">
      <sharedItems/>
    </cacheField>
    <cacheField name="Producto" numFmtId="0">
      <sharedItems/>
    </cacheField>
    <cacheField name="Cantidad" numFmtId="0">
      <sharedItems containsSemiMixedTypes="0" containsString="0" containsNumber="1" containsInteger="1" minValue="1" maxValue="100"/>
    </cacheField>
    <cacheField name="Precio Unit" numFmtId="165">
      <sharedItems containsSemiMixedTypes="0" containsString="0" containsNumber="1" containsInteger="1" minValue="10" maxValue="100"/>
    </cacheField>
    <cacheField name="SubTotal" numFmtId="165">
      <sharedItems containsSemiMixedTypes="0" containsString="0" containsNumber="1" containsInteger="1" minValue="10" maxValue="9900"/>
    </cacheField>
    <cacheField name="Descuento" numFmtId="165">
      <sharedItems containsSemiMixedTypes="0" containsString="0" containsNumber="1" minValue="0" maxValue="35"/>
    </cacheField>
    <cacheField name="Impuesto" numFmtId="165">
      <sharedItems containsSemiMixedTypes="0" containsString="0" containsNumber="1" minValue="1.2" maxValue="1188"/>
    </cacheField>
    <cacheField name="Total" numFmtId="165">
      <sharedItems containsSemiMixedTypes="0" containsString="0" containsNumber="1" minValue="11.2" maxValue="110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21">
  <r>
    <d v="2019-07-04T00:00:00"/>
    <s v="Jul"/>
    <n v="2019"/>
    <x v="0"/>
    <s v="Productos Lácteos"/>
    <s v="Queso Cabrales"/>
    <n v="25"/>
    <n v="72"/>
    <n v="1800"/>
    <n v="0"/>
    <n v="216"/>
    <n v="2016"/>
  </r>
  <r>
    <d v="2019-07-04T00:00:00"/>
    <s v="Jul"/>
    <n v="2019"/>
    <x v="0"/>
    <s v="Granos y Cereales"/>
    <s v="Fried Mee de hockey de Singapur"/>
    <n v="33"/>
    <n v="40"/>
    <n v="1320"/>
    <n v="0"/>
    <n v="158.4"/>
    <n v="1478.4"/>
  </r>
  <r>
    <d v="2019-07-04T00:00:00"/>
    <s v="Jul"/>
    <n v="2019"/>
    <x v="0"/>
    <s v="Productos Lácteos"/>
    <s v="Mozzarella di Giovanni"/>
    <n v="3"/>
    <n v="57"/>
    <n v="171"/>
    <n v="0"/>
    <n v="20.52"/>
    <n v="191.52"/>
  </r>
  <r>
    <d v="2019-07-05T00:00:00"/>
    <s v="Jul"/>
    <n v="2019"/>
    <x v="1"/>
    <s v="Productos Alimenticios"/>
    <s v="Tofu"/>
    <n v="98"/>
    <n v="84"/>
    <n v="8232"/>
    <n v="0"/>
    <n v="987.83999999999992"/>
    <n v="9219.84"/>
  </r>
  <r>
    <d v="2019-07-05T00:00:00"/>
    <s v="Jul"/>
    <n v="2019"/>
    <x v="1"/>
    <s v="Productos Alimenticios"/>
    <s v="Manjimup Dry Apples"/>
    <n v="93"/>
    <n v="10"/>
    <n v="930"/>
    <n v="0"/>
    <n v="111.6"/>
    <n v="1041.5999999999999"/>
  </r>
  <r>
    <d v="2019-07-08T00:00:00"/>
    <s v="Jul"/>
    <n v="2019"/>
    <x v="2"/>
    <s v="Mariscos"/>
    <s v="Sopa de almejas de Nueva Inglaterra de Jack"/>
    <n v="88"/>
    <n v="76"/>
    <n v="6688"/>
    <n v="0"/>
    <n v="802.56"/>
    <n v="7490.5599999999995"/>
  </r>
  <r>
    <d v="2019-07-08T00:00:00"/>
    <s v="Jul"/>
    <n v="2019"/>
    <x v="2"/>
    <s v="Productos Alimenticios"/>
    <s v="Manjimup Dry Apples"/>
    <n v="24"/>
    <n v="13"/>
    <n v="312"/>
    <n v="0.15000000596046401"/>
    <n v="37.44"/>
    <n v="349.28999999403953"/>
  </r>
  <r>
    <d v="2019-07-08T00:00:00"/>
    <s v="Jul"/>
    <n v="2019"/>
    <x v="2"/>
    <s v="Condimentos"/>
    <s v="Salsa de pimiento picante de Luisiana"/>
    <n v="34"/>
    <n v="55"/>
    <n v="1870"/>
    <n v="0.15000000596046401"/>
    <n v="224.4"/>
    <n v="2094.2499999940396"/>
  </r>
  <r>
    <d v="2019-07-08T00:00:00"/>
    <s v="Jul"/>
    <n v="2019"/>
    <x v="3"/>
    <s v="Granos y Cereales"/>
    <s v="Pan crujiente de Gustaf"/>
    <n v="37"/>
    <n v="34"/>
    <n v="1258"/>
    <n v="5.0000000745058101E-2"/>
    <n v="150.96"/>
    <n v="1408.909999999255"/>
  </r>
  <r>
    <d v="2019-07-08T00:00:00"/>
    <s v="Jul"/>
    <n v="2019"/>
    <x v="3"/>
    <s v="Granos y Cereales"/>
    <s v="Ravioli Angelo"/>
    <n v="28"/>
    <n v="24"/>
    <n v="672"/>
    <n v="5.0000000745058101E-2"/>
    <n v="80.64"/>
    <n v="752.58999999925493"/>
  </r>
  <r>
    <d v="2019-07-08T00:00:00"/>
    <s v="Jul"/>
    <n v="2019"/>
    <x v="3"/>
    <s v="Condimentos"/>
    <s v="Salsa de pimiento picante de Luisiana"/>
    <n v="34"/>
    <n v="84"/>
    <n v="2856"/>
    <n v="0"/>
    <n v="342.71999999999997"/>
    <n v="3198.72"/>
  </r>
  <r>
    <d v="2019-07-09T00:00:00"/>
    <s v="Jul"/>
    <n v="2019"/>
    <x v="4"/>
    <s v="Dulces"/>
    <s v="Mermelada de Sir Rodney"/>
    <n v="90"/>
    <n v="63"/>
    <n v="5670"/>
    <n v="5.0000000745058101E-2"/>
    <n v="680.4"/>
    <n v="6350.3499999992546"/>
  </r>
  <r>
    <d v="2019-07-09T00:00:00"/>
    <s v="Jul"/>
    <n v="2019"/>
    <x v="4"/>
    <s v="Productos Lácteos"/>
    <s v="Queso de cabra"/>
    <n v="47"/>
    <n v="26"/>
    <n v="1222"/>
    <n v="5.0000000745058101E-2"/>
    <n v="146.63999999999999"/>
    <n v="1368.5899999992548"/>
  </r>
  <r>
    <d v="2019-07-09T00:00:00"/>
    <s v="Jul"/>
    <n v="2019"/>
    <x v="4"/>
    <s v="Productos Lácteos"/>
    <s v="Pierrot camembert"/>
    <n v="57"/>
    <n v="18"/>
    <n v="1026"/>
    <n v="0"/>
    <n v="123.11999999999999"/>
    <n v="1149.1199999999999"/>
  </r>
  <r>
    <d v="2019-07-10T00:00:00"/>
    <s v="Jul"/>
    <n v="2019"/>
    <x v="2"/>
    <s v="Productos Lácteos"/>
    <s v="Gorgonzola Telino"/>
    <n v="42"/>
    <n v="31"/>
    <n v="1302"/>
    <n v="0"/>
    <n v="156.23999999999998"/>
    <n v="1458.24"/>
  </r>
  <r>
    <d v="2019-07-10T00:00:00"/>
    <s v="Jul"/>
    <n v="2019"/>
    <x v="2"/>
    <s v="Bebidas"/>
    <s v="Chartreuse verde"/>
    <n v="3"/>
    <n v="87"/>
    <n v="261"/>
    <n v="0"/>
    <n v="31.32"/>
    <n v="292.32"/>
  </r>
  <r>
    <d v="2019-07-10T00:00:00"/>
    <s v="Jul"/>
    <n v="2019"/>
    <x v="2"/>
    <s v="Dulces"/>
    <s v="Maxilaku"/>
    <n v="42"/>
    <n v="69"/>
    <n v="2898"/>
    <n v="0"/>
    <n v="347.76"/>
    <n v="3245.76"/>
  </r>
  <r>
    <d v="2019-07-11T00:00:00"/>
    <s v="Jul"/>
    <n v="2019"/>
    <x v="5"/>
    <s v="Bebidas"/>
    <s v="Guaraná Fantástica"/>
    <n v="86"/>
    <n v="12"/>
    <n v="1032"/>
    <n v="0.15000000596046401"/>
    <n v="123.83999999999999"/>
    <n v="1155.6899999940395"/>
  </r>
  <r>
    <d v="2019-07-11T00:00:00"/>
    <s v="Jul"/>
    <n v="2019"/>
    <x v="5"/>
    <s v="Carnes y Aves"/>
    <s v="Paté chino"/>
    <n v="9"/>
    <n v="23"/>
    <n v="207"/>
    <n v="0.15000000596046401"/>
    <n v="24.84"/>
    <n v="231.68999999403954"/>
  </r>
  <r>
    <d v="2019-07-11T00:00:00"/>
    <s v="Jul"/>
    <n v="2019"/>
    <x v="5"/>
    <s v="Productos Alimenticios"/>
    <s v="Tofu de larga duración"/>
    <n v="46"/>
    <n v="63"/>
    <n v="2898"/>
    <n v="0"/>
    <n v="347.76"/>
    <n v="3245.76"/>
  </r>
  <r>
    <d v="2019-07-12T00:00:00"/>
    <s v="Jul"/>
    <n v="2019"/>
    <x v="6"/>
    <s v="Bebidas"/>
    <s v="Chang"/>
    <n v="80"/>
    <n v="91"/>
    <n v="7280"/>
    <n v="0"/>
    <n v="873.6"/>
    <n v="8153.6"/>
  </r>
  <r>
    <d v="2019-07-12T00:00:00"/>
    <s v="Jul"/>
    <n v="2019"/>
    <x v="6"/>
    <s v="Dulces"/>
    <s v="Pavlova"/>
    <n v="32"/>
    <n v="48"/>
    <n v="1536"/>
    <n v="0"/>
    <n v="184.32"/>
    <n v="1720.32"/>
  </r>
  <r>
    <d v="2019-07-12T00:00:00"/>
    <s v="Jul"/>
    <n v="2019"/>
    <x v="6"/>
    <s v="Mariscos"/>
    <s v="Arenque en escabeche"/>
    <n v="38"/>
    <n v="54"/>
    <n v="2052"/>
    <n v="0"/>
    <n v="246.23999999999998"/>
    <n v="2298.2399999999998"/>
  </r>
  <r>
    <d v="2019-07-12T00:00:00"/>
    <s v="Jul"/>
    <n v="2019"/>
    <x v="6"/>
    <s v="Productos Lácteos"/>
    <s v="Raclette Courdavault"/>
    <n v="70"/>
    <n v="40"/>
    <n v="2800"/>
    <n v="0"/>
    <n v="336"/>
    <n v="3136"/>
  </r>
  <r>
    <d v="2019-07-15T00:00:00"/>
    <s v="Jul"/>
    <n v="2019"/>
    <x v="7"/>
    <s v="Carnes y Aves"/>
    <s v="Empanadas de Perth"/>
    <n v="32"/>
    <n v="52"/>
    <n v="1664"/>
    <n v="0"/>
    <n v="199.68"/>
    <n v="1863.68"/>
  </r>
  <r>
    <d v="2019-07-15T00:00:00"/>
    <s v="Jul"/>
    <n v="2019"/>
    <x v="7"/>
    <s v="Condimentos"/>
    <s v="Salsa verde original de Frankfurt"/>
    <n v="89"/>
    <n v="76"/>
    <n v="6764"/>
    <n v="0"/>
    <n v="811.68"/>
    <n v="7575.68"/>
  </r>
  <r>
    <d v="2019-07-16T00:00:00"/>
    <s v="Jul"/>
    <n v="2019"/>
    <x v="8"/>
    <s v="Dulces"/>
    <s v="Chocolate Schoggi"/>
    <n v="76"/>
    <n v="16"/>
    <n v="1216"/>
    <n v="0"/>
    <n v="145.91999999999999"/>
    <n v="1361.92"/>
  </r>
  <r>
    <d v="2019-07-16T00:00:00"/>
    <s v="Jul"/>
    <n v="2019"/>
    <x v="8"/>
    <s v="Bebidas"/>
    <s v="Chartreuse verde"/>
    <n v="92"/>
    <n v="33"/>
    <n v="3036"/>
    <n v="0"/>
    <n v="364.32"/>
    <n v="3400.32"/>
  </r>
  <r>
    <d v="2019-07-16T00:00:00"/>
    <s v="Jul"/>
    <n v="2019"/>
    <x v="8"/>
    <s v="Condimentos"/>
    <s v="Salsa verde original de Frankfurt"/>
    <n v="7"/>
    <n v="88"/>
    <n v="616"/>
    <n v="0"/>
    <n v="73.92"/>
    <n v="689.92"/>
  </r>
  <r>
    <d v="2019-07-17T00:00:00"/>
    <s v="Jul"/>
    <n v="2019"/>
    <x v="9"/>
    <s v="Bebidas"/>
    <s v="Chang"/>
    <n v="70"/>
    <n v="73"/>
    <n v="5110"/>
    <n v="0.20000000298023199"/>
    <n v="613.19999999999993"/>
    <n v="5722.9999999970196"/>
  </r>
  <r>
    <d v="2019-07-17T00:00:00"/>
    <s v="Jul"/>
    <n v="2019"/>
    <x v="9"/>
    <s v="Condimentos"/>
    <s v="Mezcla de Gumbo del Chef Anton"/>
    <n v="49"/>
    <n v="36"/>
    <n v="1764"/>
    <n v="0.20000000298023199"/>
    <n v="211.67999999999998"/>
    <n v="1975.4799999970198"/>
  </r>
  <r>
    <d v="2019-07-17T00:00:00"/>
    <s v="Jul"/>
    <n v="2019"/>
    <x v="9"/>
    <s v="Productos Lácteos"/>
    <s v="Mascarpone Fabioli"/>
    <n v="75"/>
    <n v="59"/>
    <n v="4425"/>
    <n v="0.20000000298023199"/>
    <n v="531"/>
    <n v="4955.7999999970198"/>
  </r>
  <r>
    <d v="2019-07-18T00:00:00"/>
    <s v="Jul"/>
    <n v="2019"/>
    <x v="10"/>
    <s v="Dulces"/>
    <s v="Scones de Sir Rodney"/>
    <n v="53"/>
    <n v="68"/>
    <n v="3604"/>
    <n v="0"/>
    <n v="432.47999999999996"/>
    <n v="4036.48"/>
  </r>
  <r>
    <d v="2019-07-18T00:00:00"/>
    <s v="Jul"/>
    <n v="2019"/>
    <x v="10"/>
    <s v="Mariscos"/>
    <s v="Gravad laxo"/>
    <n v="50"/>
    <n v="27"/>
    <n v="1350"/>
    <n v="0"/>
    <n v="162"/>
    <n v="1512"/>
  </r>
  <r>
    <d v="2019-07-19T00:00:00"/>
    <s v="Jul"/>
    <n v="2019"/>
    <x v="11"/>
    <s v="Mariscos"/>
    <s v="Sopa de almejas de Nueva Inglaterra de Jack"/>
    <n v="3"/>
    <n v="77"/>
    <n v="231"/>
    <n v="0.25"/>
    <n v="27.72"/>
    <n v="258.47000000000003"/>
  </r>
  <r>
    <d v="2019-07-19T00:00:00"/>
    <s v="Jul"/>
    <n v="2019"/>
    <x v="11"/>
    <s v="Granos y Cereales"/>
    <s v="Ravioli Angelo"/>
    <n v="54"/>
    <n v="59"/>
    <n v="3186"/>
    <n v="0"/>
    <n v="382.32"/>
    <n v="3568.32"/>
  </r>
  <r>
    <d v="2019-07-19T00:00:00"/>
    <s v="Jul"/>
    <n v="2019"/>
    <x v="11"/>
    <s v="Dulces"/>
    <s v="Tarta de azúcar"/>
    <n v="69"/>
    <n v="89"/>
    <n v="6141"/>
    <n v="0.25"/>
    <n v="736.92"/>
    <n v="6877.67"/>
  </r>
  <r>
    <d v="2019-07-19T00:00:00"/>
    <s v="Jul"/>
    <n v="2019"/>
    <x v="11"/>
    <s v="Bebidas"/>
    <s v="Outback Lager"/>
    <n v="91"/>
    <n v="60"/>
    <n v="5460"/>
    <n v="0.25"/>
    <n v="655.19999999999993"/>
    <n v="6114.95"/>
  </r>
  <r>
    <d v="2019-07-19T00:00:00"/>
    <s v="Jul"/>
    <n v="2019"/>
    <x v="12"/>
    <s v="Dulces"/>
    <s v="Scones de Sir Rodney"/>
    <n v="10"/>
    <n v="77"/>
    <n v="770"/>
    <n v="0"/>
    <n v="92.399999999999991"/>
    <n v="862.4"/>
  </r>
  <r>
    <d v="2019-07-19T00:00:00"/>
    <s v="Jul"/>
    <n v="2019"/>
    <x v="12"/>
    <s v="Bebidas"/>
    <s v="Steeleye Stout"/>
    <n v="39"/>
    <n v="57"/>
    <n v="2223"/>
    <n v="0"/>
    <n v="266.76"/>
    <n v="2489.7600000000002"/>
  </r>
  <r>
    <d v="2019-07-22T00:00:00"/>
    <s v="Jul"/>
    <n v="2019"/>
    <x v="13"/>
    <s v="Condimentos"/>
    <s v="Mezcla de Gumbo del Chef Anton"/>
    <n v="32"/>
    <n v="83"/>
    <n v="2656"/>
    <n v="0.20000000298023199"/>
    <n v="318.71999999999997"/>
    <n v="2974.5199999970196"/>
  </r>
  <r>
    <d v="2019-07-22T00:00:00"/>
    <s v="Jul"/>
    <n v="2019"/>
    <x v="13"/>
    <s v="Productos Alimenticios"/>
    <s v="Peras secas orgánicas del tío Bob"/>
    <n v="18"/>
    <n v="37"/>
    <n v="666"/>
    <n v="0"/>
    <n v="79.92"/>
    <n v="745.92"/>
  </r>
  <r>
    <d v="2019-07-22T00:00:00"/>
    <s v="Jul"/>
    <n v="2019"/>
    <x v="13"/>
    <s v="Granos y Cereales"/>
    <s v="Gnocchi di nonna Alice"/>
    <n v="32"/>
    <n v="57"/>
    <n v="1824"/>
    <n v="0"/>
    <n v="218.88"/>
    <n v="2042.88"/>
  </r>
  <r>
    <d v="2019-07-23T00:00:00"/>
    <s v="Jul"/>
    <n v="2019"/>
    <x v="9"/>
    <s v="Dulces"/>
    <s v="Pavlova"/>
    <n v="72"/>
    <n v="76"/>
    <n v="5472"/>
    <n v="0.25"/>
    <n v="656.64"/>
    <n v="6128.39"/>
  </r>
  <r>
    <d v="2019-07-23T00:00:00"/>
    <s v="Jul"/>
    <n v="2019"/>
    <x v="9"/>
    <s v="Bebidas"/>
    <s v="Guaraná Fantástica"/>
    <n v="34"/>
    <n v="31"/>
    <n v="1054"/>
    <n v="0"/>
    <n v="126.47999999999999"/>
    <n v="1180.48"/>
  </r>
  <r>
    <d v="2019-07-23T00:00:00"/>
    <s v="Jul"/>
    <n v="2019"/>
    <x v="9"/>
    <s v="Mariscos"/>
    <s v="Nord-Ost Matjeshering"/>
    <n v="8"/>
    <n v="96"/>
    <n v="768"/>
    <n v="0.25"/>
    <n v="92.16"/>
    <n v="859.91"/>
  </r>
  <r>
    <d v="2019-07-23T00:00:00"/>
    <s v="Jul"/>
    <n v="2019"/>
    <x v="9"/>
    <s v="Productos Alimenticios"/>
    <s v="Tofu de larga duración"/>
    <n v="90"/>
    <n v="65"/>
    <n v="5850"/>
    <n v="0.25"/>
    <n v="702"/>
    <n v="6551.75"/>
  </r>
  <r>
    <d v="2019-07-24T00:00:00"/>
    <s v="Jul"/>
    <n v="2019"/>
    <x v="14"/>
    <s v="Bebidas"/>
    <s v="Chang"/>
    <n v="8"/>
    <n v="84"/>
    <n v="672"/>
    <n v="0"/>
    <n v="80.64"/>
    <n v="752.64"/>
  </r>
  <r>
    <d v="2019-07-24T00:00:00"/>
    <s v="Jul"/>
    <n v="2019"/>
    <x v="14"/>
    <s v="Mariscos"/>
    <s v="Sopa de almejas de Nueva Inglaterra de Jack"/>
    <n v="11"/>
    <n v="44"/>
    <n v="484"/>
    <n v="0.15000000596046401"/>
    <n v="58.08"/>
    <n v="541.92999999403958"/>
  </r>
  <r>
    <d v="2019-07-25T00:00:00"/>
    <s v="Jul"/>
    <n v="2019"/>
    <x v="15"/>
    <s v="Carnes y Aves"/>
    <s v="Alice Cordero"/>
    <n v="1"/>
    <n v="65"/>
    <n v="65"/>
    <n v="0"/>
    <n v="7.8"/>
    <n v="72.8"/>
  </r>
  <r>
    <d v="2019-07-25T00:00:00"/>
    <s v="Jul"/>
    <n v="2019"/>
    <x v="15"/>
    <s v="Bebidas"/>
    <s v="Outback Lager"/>
    <n v="86"/>
    <n v="90"/>
    <n v="7740"/>
    <n v="0"/>
    <n v="928.8"/>
    <n v="8668.7999999999993"/>
  </r>
  <r>
    <d v="2019-07-26T00:00:00"/>
    <s v="Jul"/>
    <n v="2019"/>
    <x v="16"/>
    <s v="Productos Lácteos"/>
    <s v="Queso Manchego La Pastora"/>
    <n v="97"/>
    <n v="18"/>
    <n v="1746"/>
    <n v="5.0000000745058101E-2"/>
    <n v="209.51999999999998"/>
    <n v="1955.4699999992549"/>
  </r>
  <r>
    <d v="2019-07-29T00:00:00"/>
    <s v="Jul"/>
    <n v="2019"/>
    <x v="17"/>
    <s v="Mariscos"/>
    <s v="Carne de cangrejo de Boston"/>
    <n v="32"/>
    <n v="22"/>
    <n v="704"/>
    <n v="0"/>
    <n v="84.47999999999999"/>
    <n v="788.48"/>
  </r>
  <r>
    <d v="2019-07-29T00:00:00"/>
    <s v="Jul"/>
    <n v="2019"/>
    <x v="17"/>
    <s v="Productos Lácteos"/>
    <s v="Raclette Courdavault"/>
    <n v="87"/>
    <n v="65"/>
    <n v="5655"/>
    <n v="0.15000000596046401"/>
    <n v="678.6"/>
    <n v="6333.4499999940399"/>
  </r>
  <r>
    <d v="2019-07-29T00:00:00"/>
    <s v="Jul"/>
    <n v="2019"/>
    <x v="17"/>
    <s v="Bebidas"/>
    <s v="Lakkalikööri"/>
    <n v="74"/>
    <n v="65"/>
    <n v="4810"/>
    <n v="0.15000000596046401"/>
    <n v="577.19999999999993"/>
    <n v="5387.0499999940394"/>
  </r>
  <r>
    <d v="2019-07-30T00:00:00"/>
    <s v="Jul"/>
    <n v="2019"/>
    <x v="18"/>
    <s v="Carnes y Aves"/>
    <s v="Salchicha asada de Turingia"/>
    <n v="27"/>
    <n v="25"/>
    <n v="675"/>
    <n v="0"/>
    <n v="81"/>
    <n v="756"/>
  </r>
  <r>
    <d v="2019-07-30T00:00:00"/>
    <s v="Jul"/>
    <n v="2019"/>
    <x v="18"/>
    <s v="Productos Lácteos"/>
    <s v="Mozzarella di Giovanni"/>
    <n v="72"/>
    <n v="81"/>
    <n v="5832"/>
    <n v="0"/>
    <n v="699.83999999999992"/>
    <n v="6531.84"/>
  </r>
  <r>
    <d v="2019-07-31T00:00:00"/>
    <s v="Jul"/>
    <n v="2019"/>
    <x v="19"/>
    <s v="Productos Lácteos"/>
    <s v="Queso de cabra"/>
    <n v="36"/>
    <n v="19"/>
    <n v="684"/>
    <n v="5.0000000745058101E-2"/>
    <n v="82.08"/>
    <n v="766.02999999925498"/>
  </r>
  <r>
    <d v="2019-07-31T00:00:00"/>
    <s v="Jul"/>
    <n v="2019"/>
    <x v="19"/>
    <s v="Productos Lácteos"/>
    <s v="Mozzarella di Giovanni"/>
    <n v="88"/>
    <n v="19"/>
    <n v="1672"/>
    <n v="5.0000000745058101E-2"/>
    <n v="200.64"/>
    <n v="1872.5899999992548"/>
  </r>
  <r>
    <d v="2019-08-01T00:00:00"/>
    <s v="Ago"/>
    <n v="2019"/>
    <x v="16"/>
    <s v="Mariscos"/>
    <s v="Arenque en escabeche"/>
    <n v="88"/>
    <n v="42"/>
    <n v="3696"/>
    <n v="0"/>
    <n v="443.52"/>
    <n v="4139.5200000000004"/>
  </r>
  <r>
    <d v="2019-08-01T00:00:00"/>
    <s v="Ago"/>
    <n v="2019"/>
    <x v="16"/>
    <s v="Bebidas"/>
    <s v="Café Ipoh"/>
    <n v="96"/>
    <n v="28"/>
    <n v="2688"/>
    <n v="0"/>
    <n v="322.56"/>
    <n v="3010.56"/>
  </r>
  <r>
    <d v="2019-08-01T00:00:00"/>
    <s v="Ago"/>
    <n v="2019"/>
    <x v="20"/>
    <s v="Productos Lácteos"/>
    <s v="Queso de cabra"/>
    <n v="41"/>
    <n v="50"/>
    <n v="2050"/>
    <n v="0"/>
    <n v="246"/>
    <n v="2296"/>
  </r>
  <r>
    <d v="2019-08-02T00:00:00"/>
    <s v="Ago"/>
    <n v="2019"/>
    <x v="13"/>
    <s v="Dulces"/>
    <s v="Mermelada de Sir Rodney"/>
    <n v="53"/>
    <n v="75"/>
    <n v="3975"/>
    <n v="0"/>
    <n v="477"/>
    <n v="4452"/>
  </r>
  <r>
    <d v="2019-08-02T00:00:00"/>
    <s v="Ago"/>
    <n v="2019"/>
    <x v="13"/>
    <s v="Productos Lácteos"/>
    <s v="Gorgonzola Telino"/>
    <n v="71"/>
    <n v="61"/>
    <n v="4331"/>
    <n v="0"/>
    <n v="519.72"/>
    <n v="4850.72"/>
  </r>
  <r>
    <d v="2019-08-02T00:00:00"/>
    <s v="Ago"/>
    <n v="2019"/>
    <x v="13"/>
    <s v="Productos Lácteos"/>
    <s v="Mozzarella di Giovanni"/>
    <n v="90"/>
    <n v="22"/>
    <n v="1980"/>
    <n v="0"/>
    <n v="237.6"/>
    <n v="2217.6"/>
  </r>
  <r>
    <d v="2019-08-05T00:00:00"/>
    <s v="Ago"/>
    <n v="2019"/>
    <x v="21"/>
    <s v="Mariscos"/>
    <s v="Ikura"/>
    <n v="12"/>
    <n v="18"/>
    <n v="216"/>
    <n v="5.0000000745058101E-2"/>
    <n v="25.919999999999998"/>
    <n v="241.86999999925493"/>
  </r>
  <r>
    <d v="2019-08-05T00:00:00"/>
    <s v="Ago"/>
    <n v="2019"/>
    <x v="21"/>
    <s v="Productos Lácteos"/>
    <s v="Gorgonzola Telino"/>
    <n v="95"/>
    <n v="16"/>
    <n v="1520"/>
    <n v="5.0000000745058101E-2"/>
    <n v="182.4"/>
    <n v="1702.349999999255"/>
  </r>
  <r>
    <d v="2019-08-05T00:00:00"/>
    <s v="Ago"/>
    <n v="2019"/>
    <x v="21"/>
    <s v="Productos Lácteos"/>
    <s v="Queso de cabra"/>
    <n v="63"/>
    <n v="57"/>
    <n v="3591"/>
    <n v="0"/>
    <n v="430.91999999999996"/>
    <n v="4021.92"/>
  </r>
  <r>
    <d v="2019-08-05T00:00:00"/>
    <s v="Ago"/>
    <n v="2019"/>
    <x v="21"/>
    <s v="Mariscos"/>
    <s v="Carne de cangrejo de Boston"/>
    <n v="68"/>
    <n v="51"/>
    <n v="3468"/>
    <n v="5.0000000745058101E-2"/>
    <n v="416.15999999999997"/>
    <n v="3884.1099999992548"/>
  </r>
  <r>
    <d v="2019-08-05T00:00:00"/>
    <s v="Ago"/>
    <n v="2019"/>
    <x v="21"/>
    <s v="Bebidas"/>
    <s v="Lakkalikööri"/>
    <n v="23"/>
    <n v="94"/>
    <n v="2162"/>
    <n v="5.0000000745058101E-2"/>
    <n v="259.44"/>
    <n v="2421.389999999255"/>
  </r>
  <r>
    <d v="2019-08-06T00:00:00"/>
    <s v="Ago"/>
    <n v="2019"/>
    <x v="22"/>
    <s v="Productos Lácteos"/>
    <s v="Queso crema"/>
    <n v="12"/>
    <n v="79"/>
    <n v="948"/>
    <n v="0"/>
    <n v="113.75999999999999"/>
    <n v="1061.76"/>
  </r>
  <r>
    <d v="2019-08-06T00:00:00"/>
    <s v="Ago"/>
    <n v="2019"/>
    <x v="22"/>
    <s v="Productos Lácteos"/>
    <s v="Mozzarella di Giovanni"/>
    <n v="7"/>
    <n v="17"/>
    <n v="119"/>
    <n v="0"/>
    <n v="14.28"/>
    <n v="133.28"/>
  </r>
  <r>
    <d v="2019-08-07T00:00:00"/>
    <s v="Ago"/>
    <n v="2019"/>
    <x v="23"/>
    <s v="Bebidas"/>
    <s v="Guaraná Fantástica"/>
    <n v="43"/>
    <n v="64"/>
    <n v="2752"/>
    <n v="5.0000000745058101E-2"/>
    <n v="330.24"/>
    <n v="3082.1899999992547"/>
  </r>
  <r>
    <d v="2019-08-07T00:00:00"/>
    <s v="Ago"/>
    <n v="2019"/>
    <x v="23"/>
    <s v="Productos Lácteos"/>
    <s v="Raclette Courdavault"/>
    <n v="19"/>
    <n v="10"/>
    <n v="190"/>
    <n v="5.0000000745058101E-2"/>
    <n v="22.8"/>
    <n v="212.74999999925495"/>
  </r>
  <r>
    <d v="2019-08-08T00:00:00"/>
    <s v="Ago"/>
    <n v="2019"/>
    <x v="24"/>
    <s v="Mariscos"/>
    <s v="Ikura"/>
    <n v="64"/>
    <n v="21"/>
    <n v="1344"/>
    <n v="0"/>
    <n v="161.28"/>
    <n v="1505.28"/>
  </r>
  <r>
    <d v="2019-08-08T00:00:00"/>
    <s v="Ago"/>
    <n v="2019"/>
    <x v="24"/>
    <s v="Mariscos"/>
    <s v="Konbu"/>
    <n v="49"/>
    <n v="87"/>
    <n v="4263"/>
    <n v="0"/>
    <n v="511.56"/>
    <n v="4774.5600000000004"/>
  </r>
  <r>
    <d v="2019-08-09T00:00:00"/>
    <s v="Ago"/>
    <n v="2019"/>
    <x v="25"/>
    <s v="Productos Alimenticios"/>
    <s v="Chucrut Rössle"/>
    <n v="20"/>
    <n v="87"/>
    <n v="1740"/>
    <n v="0"/>
    <n v="208.79999999999998"/>
    <n v="1948.8"/>
  </r>
  <r>
    <d v="2019-08-09T00:00:00"/>
    <s v="Ago"/>
    <n v="2019"/>
    <x v="25"/>
    <s v="Dulces"/>
    <s v="Tarta de azúcar"/>
    <n v="6"/>
    <n v="24"/>
    <n v="144"/>
    <n v="0"/>
    <n v="17.28"/>
    <n v="161.28"/>
  </r>
  <r>
    <d v="2019-08-12T00:00:00"/>
    <s v="Ago"/>
    <n v="2019"/>
    <x v="26"/>
    <s v="Condimentos"/>
    <s v="Gula Malacca"/>
    <n v="5"/>
    <n v="88"/>
    <n v="440"/>
    <n v="0"/>
    <n v="52.8"/>
    <n v="492.8"/>
  </r>
  <r>
    <d v="2019-08-12T00:00:00"/>
    <s v="Ago"/>
    <n v="2019"/>
    <x v="26"/>
    <s v="Productos Lácteos"/>
    <s v="Raclette Courdavault"/>
    <n v="38"/>
    <n v="63"/>
    <n v="2394"/>
    <n v="0"/>
    <n v="287.27999999999997"/>
    <n v="2681.2799999999997"/>
  </r>
  <r>
    <d v="2019-08-12T00:00:00"/>
    <s v="Ago"/>
    <n v="2019"/>
    <x v="26"/>
    <s v="Condimentos"/>
    <s v="Crema de verduras"/>
    <n v="3"/>
    <n v="87"/>
    <n v="261"/>
    <n v="0"/>
    <n v="31.32"/>
    <n v="292.32"/>
  </r>
  <r>
    <d v="2019-08-12T00:00:00"/>
    <s v="Ago"/>
    <n v="2019"/>
    <x v="26"/>
    <s v="Mariscos"/>
    <s v="Caviar rojo"/>
    <n v="26"/>
    <n v="89"/>
    <n v="2314"/>
    <n v="0"/>
    <n v="277.68"/>
    <n v="2591.6799999999998"/>
  </r>
  <r>
    <d v="2019-08-13T00:00:00"/>
    <s v="Ago"/>
    <n v="2019"/>
    <x v="27"/>
    <s v="Carnes y Aves"/>
    <s v="Alice Cordero"/>
    <n v="95"/>
    <n v="23"/>
    <n v="2185"/>
    <n v="0.25"/>
    <n v="262.2"/>
    <n v="2446.9499999999998"/>
  </r>
  <r>
    <d v="2019-08-14T00:00:00"/>
    <s v="Ago"/>
    <n v="2019"/>
    <x v="26"/>
    <s v="Bebidas"/>
    <s v="Guaraná Fantástica"/>
    <n v="57"/>
    <n v="76"/>
    <n v="4332"/>
    <n v="0"/>
    <n v="519.84"/>
    <n v="4851.84"/>
  </r>
  <r>
    <d v="2019-08-14T00:00:00"/>
    <s v="Ago"/>
    <n v="2019"/>
    <x v="26"/>
    <s v="Carnes y Aves"/>
    <s v="Paté chino"/>
    <n v="92"/>
    <n v="43"/>
    <n v="3956"/>
    <n v="0"/>
    <n v="474.71999999999997"/>
    <n v="4430.72"/>
  </r>
  <r>
    <d v="2019-08-14T00:00:00"/>
    <s v="Ago"/>
    <n v="2019"/>
    <x v="26"/>
    <s v="Bebidas"/>
    <s v="Rhönbräu Klosterbier"/>
    <n v="46"/>
    <n v="44"/>
    <n v="2024"/>
    <n v="0"/>
    <n v="242.88"/>
    <n v="2266.88"/>
  </r>
  <r>
    <d v="2019-08-14T00:00:00"/>
    <s v="Ago"/>
    <n v="2019"/>
    <x v="28"/>
    <s v="Dulces"/>
    <s v="Galletas de chocolate a la hora del té"/>
    <n v="84"/>
    <n v="30"/>
    <n v="2520"/>
    <n v="0"/>
    <n v="302.39999999999998"/>
    <n v="2822.4"/>
  </r>
  <r>
    <d v="2019-08-14T00:00:00"/>
    <s v="Ago"/>
    <n v="2019"/>
    <x v="28"/>
    <s v="Bebidas"/>
    <s v="Guaraná Fantástica"/>
    <n v="87"/>
    <n v="68"/>
    <n v="5916"/>
    <n v="0"/>
    <n v="709.92"/>
    <n v="6625.92"/>
  </r>
  <r>
    <d v="2019-08-14T00:00:00"/>
    <s v="Ago"/>
    <n v="2019"/>
    <x v="28"/>
    <s v="Bebidas"/>
    <s v="Steeleye Stout"/>
    <n v="9"/>
    <n v="20"/>
    <n v="180"/>
    <n v="0"/>
    <n v="21.599999999999998"/>
    <n v="201.6"/>
  </r>
  <r>
    <d v="2019-08-15T00:00:00"/>
    <s v="Ago"/>
    <n v="2019"/>
    <x v="28"/>
    <s v="Mariscos"/>
    <s v="Nord-Ost Matjeshering"/>
    <n v="96"/>
    <n v="79"/>
    <n v="7584"/>
    <n v="0"/>
    <n v="910.07999999999993"/>
    <n v="8494.08"/>
  </r>
  <r>
    <d v="2019-08-15T00:00:00"/>
    <s v="Ago"/>
    <n v="2019"/>
    <x v="28"/>
    <s v="Granos y Cereales"/>
    <s v="Ravioli Angelo"/>
    <n v="11"/>
    <n v="96"/>
    <n v="1056"/>
    <n v="0"/>
    <n v="126.72"/>
    <n v="1182.72"/>
  </r>
  <r>
    <d v="2019-08-16T00:00:00"/>
    <s v="Ago"/>
    <n v="2019"/>
    <x v="29"/>
    <s v="Condimentos"/>
    <s v="Genes Shouyu"/>
    <n v="12"/>
    <n v="61"/>
    <n v="732"/>
    <n v="0"/>
    <n v="87.84"/>
    <n v="819.84"/>
  </r>
  <r>
    <d v="2019-08-16T00:00:00"/>
    <s v="Ago"/>
    <n v="2019"/>
    <x v="29"/>
    <s v="Dulces"/>
    <s v="Galletas de chocolate a la hora del té"/>
    <n v="61"/>
    <n v="88"/>
    <n v="5368"/>
    <n v="0"/>
    <n v="644.16"/>
    <n v="6012.16"/>
  </r>
  <r>
    <d v="2019-08-16T00:00:00"/>
    <s v="Ago"/>
    <n v="2019"/>
    <x v="29"/>
    <s v="Productos Lácteos"/>
    <s v="Pierrot camembert"/>
    <n v="49"/>
    <n v="71"/>
    <n v="3479"/>
    <n v="0"/>
    <n v="417.47999999999996"/>
    <n v="3896.48"/>
  </r>
  <r>
    <d v="2019-08-16T00:00:00"/>
    <s v="Ago"/>
    <n v="2019"/>
    <x v="29"/>
    <s v="Productos Lácteos"/>
    <s v="Mozzarella di Giovanni"/>
    <n v="1"/>
    <n v="66"/>
    <n v="66"/>
    <n v="0"/>
    <n v="7.92"/>
    <n v="73.92"/>
  </r>
  <r>
    <d v="2019-08-19T00:00:00"/>
    <s v="Ago"/>
    <n v="2019"/>
    <x v="27"/>
    <s v="Dulces"/>
    <s v="Chocolate Schoggi"/>
    <n v="85"/>
    <n v="94"/>
    <n v="7990"/>
    <n v="0.25"/>
    <n v="958.8"/>
    <n v="8948.5499999999993"/>
  </r>
  <r>
    <d v="2019-08-19T00:00:00"/>
    <s v="Ago"/>
    <n v="2019"/>
    <x v="27"/>
    <s v="Condimentos"/>
    <s v="Gula Malacca"/>
    <n v="81"/>
    <n v="25"/>
    <n v="2025"/>
    <n v="0"/>
    <n v="243"/>
    <n v="2268"/>
  </r>
  <r>
    <d v="2019-08-19T00:00:00"/>
    <s v="Ago"/>
    <n v="2019"/>
    <x v="27"/>
    <s v="Productos Lácteos"/>
    <s v="Pierrot camembert"/>
    <n v="45"/>
    <n v="93"/>
    <n v="4185"/>
    <n v="0.25"/>
    <n v="502.2"/>
    <n v="4686.95"/>
  </r>
  <r>
    <d v="2019-08-19T00:00:00"/>
    <s v="Ago"/>
    <n v="2019"/>
    <x v="27"/>
    <s v="Bebidas"/>
    <s v="Lager de leñador riendo"/>
    <n v="61"/>
    <n v="85"/>
    <n v="5185"/>
    <n v="0.25"/>
    <n v="622.19999999999993"/>
    <n v="5806.95"/>
  </r>
  <r>
    <d v="2019-08-20T00:00:00"/>
    <s v="Ago"/>
    <n v="2019"/>
    <x v="21"/>
    <s v="Bebidas"/>
    <s v="Chai"/>
    <n v="11"/>
    <n v="12"/>
    <n v="132"/>
    <n v="0.20000000298023199"/>
    <n v="15.84"/>
    <n v="147.63999999701977"/>
  </r>
  <r>
    <d v="2019-08-20T00:00:00"/>
    <s v="Ago"/>
    <n v="2019"/>
    <x v="21"/>
    <s v="Mariscos"/>
    <s v="Carne de cangrejo de Boston"/>
    <n v="4"/>
    <n v="13"/>
    <n v="52"/>
    <n v="0.20000000298023199"/>
    <n v="6.24"/>
    <n v="58.03999999701977"/>
  </r>
  <r>
    <d v="2019-08-20T00:00:00"/>
    <s v="Ago"/>
    <n v="2019"/>
    <x v="21"/>
    <s v="Carnes y Aves"/>
    <s v="Empanadas de Perth"/>
    <n v="34"/>
    <n v="14"/>
    <n v="476"/>
    <n v="0.20000000298023199"/>
    <n v="57.12"/>
    <n v="532.91999999701977"/>
  </r>
  <r>
    <d v="2019-08-21T00:00:00"/>
    <s v="Ago"/>
    <n v="2019"/>
    <x v="21"/>
    <s v="Bebidas"/>
    <s v="Steeleye Stout"/>
    <n v="87"/>
    <n v="28"/>
    <n v="2436"/>
    <n v="0"/>
    <n v="292.32"/>
    <n v="2728.32"/>
  </r>
  <r>
    <d v="2019-08-21T00:00:00"/>
    <s v="Ago"/>
    <n v="2019"/>
    <x v="21"/>
    <s v="Dulces"/>
    <s v="Tarta de azúcar"/>
    <n v="26"/>
    <n v="53"/>
    <n v="1378"/>
    <n v="0"/>
    <n v="165.35999999999999"/>
    <n v="1543.36"/>
  </r>
  <r>
    <d v="2019-08-22T00:00:00"/>
    <s v="Ago"/>
    <n v="2019"/>
    <x v="30"/>
    <s v="Dulces"/>
    <s v="Pavlova"/>
    <n v="68"/>
    <n v="88"/>
    <n v="5984"/>
    <n v="0.15000000596046401"/>
    <n v="718.07999999999993"/>
    <n v="6701.9299999940395"/>
  </r>
  <r>
    <d v="2019-08-22T00:00:00"/>
    <s v="Ago"/>
    <n v="2019"/>
    <x v="30"/>
    <s v="Bebidas"/>
    <s v="Sasquatch Ale"/>
    <n v="27"/>
    <n v="41"/>
    <n v="1107"/>
    <n v="0"/>
    <n v="132.84"/>
    <n v="1239.8399999999999"/>
  </r>
  <r>
    <d v="2019-08-22T00:00:00"/>
    <s v="Ago"/>
    <n v="2019"/>
    <x v="30"/>
    <s v="Mariscos"/>
    <s v="arenque"/>
    <n v="76"/>
    <n v="94"/>
    <n v="7144"/>
    <n v="0.15000000596046401"/>
    <n v="857.28"/>
    <n v="8001.1299999940393"/>
  </r>
  <r>
    <d v="2019-08-23T00:00:00"/>
    <s v="Ago"/>
    <n v="2019"/>
    <x v="31"/>
    <s v="Carnes y Aves"/>
    <s v="Tourtière"/>
    <n v="4"/>
    <n v="27"/>
    <n v="108"/>
    <n v="0.10000000149011599"/>
    <n v="12.959999999999999"/>
    <n v="120.85999999850988"/>
  </r>
  <r>
    <d v="2019-08-23T00:00:00"/>
    <s v="Ago"/>
    <n v="2019"/>
    <x v="31"/>
    <s v="Dulces"/>
    <s v="Pan largo escocés"/>
    <n v="34"/>
    <n v="71"/>
    <n v="2414"/>
    <n v="0.10000000149011599"/>
    <n v="289.68"/>
    <n v="2703.5799999985097"/>
  </r>
  <r>
    <d v="2019-08-26T00:00:00"/>
    <s v="Ago"/>
    <n v="2019"/>
    <x v="32"/>
    <s v="Condimentos"/>
    <s v="Jarabe de anís"/>
    <n v="94"/>
    <n v="26"/>
    <n v="2444"/>
    <n v="0"/>
    <n v="293.27999999999997"/>
    <n v="2737.2799999999997"/>
  </r>
  <r>
    <d v="2019-08-26T00:00:00"/>
    <s v="Ago"/>
    <n v="2019"/>
    <x v="32"/>
    <s v="Granos y Cereales"/>
    <s v="El buen Semmelknödel de Wimmer"/>
    <n v="34"/>
    <n v="58"/>
    <n v="1972"/>
    <n v="0"/>
    <n v="236.64"/>
    <n v="2208.64"/>
  </r>
  <r>
    <d v="2019-08-27T00:00:00"/>
    <s v="Ago"/>
    <n v="2019"/>
    <x v="33"/>
    <s v="Condimentos"/>
    <s v="Mezcla de Gumbo del Chef Anton"/>
    <n v="30"/>
    <n v="11"/>
    <n v="330"/>
    <n v="0"/>
    <n v="39.6"/>
    <n v="369.6"/>
  </r>
  <r>
    <d v="2019-08-27T00:00:00"/>
    <s v="Ago"/>
    <n v="2019"/>
    <x v="33"/>
    <s v="Carnes y Aves"/>
    <s v="Salchicha asada de Turingia"/>
    <n v="10"/>
    <n v="25"/>
    <n v="250"/>
    <n v="0"/>
    <n v="30"/>
    <n v="280"/>
  </r>
  <r>
    <d v="2019-08-27T00:00:00"/>
    <s v="Ago"/>
    <n v="2019"/>
    <x v="33"/>
    <s v="Dulces"/>
    <s v="Maxilaku"/>
    <n v="14"/>
    <n v="34"/>
    <n v="476"/>
    <n v="0"/>
    <n v="57.12"/>
    <n v="533.12"/>
  </r>
  <r>
    <d v="2019-08-27T00:00:00"/>
    <s v="Ago"/>
    <n v="2019"/>
    <x v="33"/>
    <s v="Condimentos"/>
    <s v="Salsa verde original de Frankfurt"/>
    <n v="27"/>
    <n v="65"/>
    <n v="1755"/>
    <n v="0"/>
    <n v="210.6"/>
    <n v="1965.6"/>
  </r>
  <r>
    <d v="2019-08-27T00:00:00"/>
    <s v="Ago"/>
    <n v="2019"/>
    <x v="12"/>
    <s v="Mariscos"/>
    <s v="Konbu"/>
    <n v="24"/>
    <n v="46"/>
    <n v="1104"/>
    <n v="0.10000000149011599"/>
    <n v="132.47999999999999"/>
    <n v="1236.3799999985099"/>
  </r>
  <r>
    <d v="2019-08-27T00:00:00"/>
    <s v="Ago"/>
    <n v="2019"/>
    <x v="12"/>
    <s v="Condimentos"/>
    <s v="Gula Malacca"/>
    <n v="9"/>
    <n v="96"/>
    <n v="864"/>
    <n v="0.10000000149011599"/>
    <n v="103.67999999999999"/>
    <n v="967.57999999850983"/>
  </r>
  <r>
    <d v="2019-08-27T00:00:00"/>
    <s v="Ago"/>
    <n v="2019"/>
    <x v="12"/>
    <s v="Productos Alimenticios"/>
    <s v="Manjimup Dry Apples"/>
    <n v="49"/>
    <n v="88"/>
    <n v="4312"/>
    <n v="0.10000000149011599"/>
    <n v="517.43999999999994"/>
    <n v="4829.3399999985095"/>
  </r>
  <r>
    <d v="2019-08-28T00:00:00"/>
    <s v="Ago"/>
    <n v="2019"/>
    <x v="1"/>
    <s v="Dulces"/>
    <s v="Mermelada de Sir Rodney"/>
    <n v="82"/>
    <n v="49"/>
    <n v="4018"/>
    <n v="0"/>
    <n v="482.15999999999997"/>
    <n v="4500.16"/>
  </r>
  <r>
    <d v="2019-08-29T00:00:00"/>
    <s v="Ago"/>
    <n v="2019"/>
    <x v="24"/>
    <s v="Mariscos"/>
    <s v="Tigres de Carnarvon"/>
    <n v="99"/>
    <n v="92"/>
    <n v="9108"/>
    <n v="0"/>
    <n v="1092.96"/>
    <n v="10200.959999999999"/>
  </r>
  <r>
    <d v="2019-08-29T00:00:00"/>
    <s v="Ago"/>
    <n v="2019"/>
    <x v="24"/>
    <s v="Bebidas"/>
    <s v="Guaraná Fantástica"/>
    <n v="18"/>
    <n v="99"/>
    <n v="1782"/>
    <n v="0"/>
    <n v="213.84"/>
    <n v="1995.84"/>
  </r>
  <r>
    <d v="2019-08-29T00:00:00"/>
    <s v="Ago"/>
    <n v="2019"/>
    <x v="24"/>
    <s v="Condimentos"/>
    <s v="Crema de verduras"/>
    <n v="89"/>
    <n v="41"/>
    <n v="3649"/>
    <n v="0"/>
    <n v="437.88"/>
    <n v="4086.88"/>
  </r>
  <r>
    <d v="2019-08-29T00:00:00"/>
    <s v="Ago"/>
    <n v="2019"/>
    <x v="24"/>
    <s v="Bebidas"/>
    <s v="Rhönbräu Klosterbier"/>
    <n v="3"/>
    <n v="59"/>
    <n v="177"/>
    <n v="0"/>
    <n v="21.24"/>
    <n v="198.24"/>
  </r>
  <r>
    <d v="2019-08-30T00:00:00"/>
    <s v="Ago"/>
    <n v="2019"/>
    <x v="13"/>
    <s v="Bebidas"/>
    <s v="Chai"/>
    <n v="85"/>
    <n v="38"/>
    <n v="3230"/>
    <n v="0"/>
    <n v="387.59999999999997"/>
    <n v="3617.6"/>
  </r>
  <r>
    <d v="2019-08-30T00:00:00"/>
    <s v="Ago"/>
    <n v="2019"/>
    <x v="13"/>
    <s v="Carnes y Aves"/>
    <s v="Alice Cordero"/>
    <n v="84"/>
    <n v="65"/>
    <n v="5460"/>
    <n v="0"/>
    <n v="655.19999999999993"/>
    <n v="6115.2"/>
  </r>
  <r>
    <d v="2019-08-30T00:00:00"/>
    <s v="Ago"/>
    <n v="2019"/>
    <x v="13"/>
    <s v="Bebidas"/>
    <s v="Café Ipoh"/>
    <n v="61"/>
    <n v="49"/>
    <n v="2989"/>
    <n v="0"/>
    <n v="358.68"/>
    <n v="3347.68"/>
  </r>
  <r>
    <d v="2019-08-30T00:00:00"/>
    <s v="Ago"/>
    <n v="2019"/>
    <x v="13"/>
    <s v="Productos Lácteos"/>
    <s v="Pierrot camembert"/>
    <n v="87"/>
    <n v="42"/>
    <n v="3654"/>
    <n v="0"/>
    <n v="438.47999999999996"/>
    <n v="4092.48"/>
  </r>
  <r>
    <d v="2019-08-30T00:00:00"/>
    <s v="Ago"/>
    <n v="2019"/>
    <x v="13"/>
    <s v="Bebidas"/>
    <s v="Rhönbräu Klosterbier"/>
    <n v="36"/>
    <n v="61"/>
    <n v="2196"/>
    <n v="0"/>
    <n v="263.52"/>
    <n v="2459.52"/>
  </r>
  <r>
    <d v="2019-09-02T00:00:00"/>
    <s v="Sep"/>
    <n v="2019"/>
    <x v="22"/>
    <s v="Granos y Cereales"/>
    <s v="Gnocchi di nonna Alice"/>
    <n v="67"/>
    <n v="90"/>
    <n v="6030"/>
    <n v="0"/>
    <n v="723.6"/>
    <n v="6753.6"/>
  </r>
  <r>
    <d v="2019-09-03T00:00:00"/>
    <s v="Sep"/>
    <n v="2019"/>
    <x v="29"/>
    <s v="Productos Lácteos"/>
    <s v="Queso Cabrales"/>
    <n v="42"/>
    <n v="50"/>
    <n v="2100"/>
    <n v="0"/>
    <n v="252"/>
    <n v="2352"/>
  </r>
  <r>
    <d v="2019-09-03T00:00:00"/>
    <s v="Sep"/>
    <n v="2019"/>
    <x v="29"/>
    <s v="Dulces"/>
    <s v="Pavlova"/>
    <n v="63"/>
    <n v="12"/>
    <n v="756"/>
    <n v="0"/>
    <n v="90.72"/>
    <n v="846.72"/>
  </r>
  <r>
    <d v="2019-09-03T00:00:00"/>
    <s v="Sep"/>
    <n v="2019"/>
    <x v="29"/>
    <s v="Productos Lácteos"/>
    <s v="Gudbrandsdalsost"/>
    <n v="83"/>
    <n v="81"/>
    <n v="6723"/>
    <n v="0"/>
    <n v="806.76"/>
    <n v="7529.76"/>
  </r>
  <r>
    <d v="2019-09-04T00:00:00"/>
    <s v="Sep"/>
    <n v="2019"/>
    <x v="15"/>
    <s v="Bebidas"/>
    <s v="Chartreuse verde"/>
    <n v="73"/>
    <n v="76"/>
    <n v="5548"/>
    <n v="0"/>
    <n v="665.76"/>
    <n v="6213.76"/>
  </r>
  <r>
    <d v="2019-09-04T00:00:00"/>
    <s v="Sep"/>
    <n v="2019"/>
    <x v="15"/>
    <s v="Productos Lácteos"/>
    <s v="Mozzarella di Giovanni"/>
    <n v="3"/>
    <n v="68"/>
    <n v="204"/>
    <n v="0"/>
    <n v="24.48"/>
    <n v="228.48"/>
  </r>
  <r>
    <d v="2019-09-05T00:00:00"/>
    <s v="Sep"/>
    <n v="2019"/>
    <x v="34"/>
    <s v="Bebidas"/>
    <s v="Chang"/>
    <n v="6"/>
    <n v="40"/>
    <n v="240"/>
    <n v="0"/>
    <n v="28.799999999999997"/>
    <n v="268.8"/>
  </r>
  <r>
    <d v="2019-09-05T00:00:00"/>
    <s v="Sep"/>
    <n v="2019"/>
    <x v="34"/>
    <s v="Mariscos"/>
    <s v="Arenque en escabeche"/>
    <n v="79"/>
    <n v="90"/>
    <n v="7110"/>
    <n v="0.25"/>
    <n v="853.19999999999993"/>
    <n v="7962.95"/>
  </r>
  <r>
    <d v="2019-09-05T00:00:00"/>
    <s v="Sep"/>
    <n v="2019"/>
    <x v="34"/>
    <s v="Productos Lácteos"/>
    <s v="Raclette Courdavault"/>
    <n v="79"/>
    <n v="42"/>
    <n v="3318"/>
    <n v="0.25"/>
    <n v="398.15999999999997"/>
    <n v="3715.91"/>
  </r>
  <r>
    <d v="2019-09-05T00:00:00"/>
    <s v="Sep"/>
    <n v="2019"/>
    <x v="34"/>
    <s v="Dulces"/>
    <s v="Tarta de azúcar"/>
    <n v="32"/>
    <n v="10"/>
    <n v="320"/>
    <n v="0"/>
    <n v="38.4"/>
    <n v="358.4"/>
  </r>
  <r>
    <d v="2019-09-06T00:00:00"/>
    <s v="Sep"/>
    <n v="2019"/>
    <x v="30"/>
    <s v="Dulces"/>
    <s v="Galletas de chocolate a la hora del té"/>
    <n v="57"/>
    <n v="13"/>
    <n v="741"/>
    <n v="0"/>
    <n v="88.92"/>
    <n v="829.92"/>
  </r>
  <r>
    <d v="2019-09-06T00:00:00"/>
    <s v="Sep"/>
    <n v="2019"/>
    <x v="30"/>
    <s v="Bebidas"/>
    <s v="Outback Lager"/>
    <n v="41"/>
    <n v="28"/>
    <n v="1148"/>
    <n v="0"/>
    <n v="137.76"/>
    <n v="1285.76"/>
  </r>
  <r>
    <d v="2019-09-09T00:00:00"/>
    <s v="Sep"/>
    <n v="2019"/>
    <x v="23"/>
    <s v="Condimentos"/>
    <s v="Okra picante de Louisiana"/>
    <n v="15"/>
    <n v="53"/>
    <n v="795"/>
    <n v="0"/>
    <n v="95.399999999999991"/>
    <n v="890.4"/>
  </r>
  <r>
    <d v="2019-09-09T00:00:00"/>
    <s v="Sep"/>
    <n v="2019"/>
    <x v="23"/>
    <s v="Dulces"/>
    <s v="Pan largo escocés"/>
    <n v="38"/>
    <n v="95"/>
    <n v="3610"/>
    <n v="0"/>
    <n v="433.2"/>
    <n v="4043.2"/>
  </r>
  <r>
    <d v="2019-09-09T00:00:00"/>
    <s v="Sep"/>
    <n v="2019"/>
    <x v="35"/>
    <s v="Mariscos"/>
    <s v="Carne de cangrejo de Boston"/>
    <n v="33"/>
    <n v="95"/>
    <n v="3135"/>
    <n v="0"/>
    <n v="376.2"/>
    <n v="3511.2"/>
  </r>
  <r>
    <d v="2019-09-09T00:00:00"/>
    <s v="Sep"/>
    <n v="2019"/>
    <x v="35"/>
    <s v="Granos y Cereales"/>
    <s v="Gnocchi di nonna Alice"/>
    <n v="69"/>
    <n v="93"/>
    <n v="6417"/>
    <n v="0"/>
    <n v="770.04"/>
    <n v="7187.04"/>
  </r>
  <r>
    <d v="2019-09-10T00:00:00"/>
    <s v="Sep"/>
    <n v="2019"/>
    <x v="4"/>
    <s v="Carnes y Aves"/>
    <s v="Alice Cordero"/>
    <n v="51"/>
    <n v="10"/>
    <n v="510"/>
    <n v="0"/>
    <n v="61.199999999999996"/>
    <n v="571.20000000000005"/>
  </r>
  <r>
    <d v="2019-09-10T00:00:00"/>
    <s v="Sep"/>
    <n v="2019"/>
    <x v="4"/>
    <s v="Productos Alimenticios"/>
    <s v="Chucrut Rössle"/>
    <n v="30"/>
    <n v="49"/>
    <n v="1470"/>
    <n v="0"/>
    <n v="176.4"/>
    <n v="1646.4"/>
  </r>
  <r>
    <d v="2019-09-10T00:00:00"/>
    <s v="Sep"/>
    <n v="2019"/>
    <x v="4"/>
    <s v="Bebidas"/>
    <s v="Café Ipoh"/>
    <n v="17"/>
    <n v="94"/>
    <n v="1598"/>
    <n v="0"/>
    <n v="191.76"/>
    <n v="1789.76"/>
  </r>
  <r>
    <d v="2019-09-11T00:00:00"/>
    <s v="Sep"/>
    <n v="2019"/>
    <x v="36"/>
    <s v="Mariscos"/>
    <s v="Carne de cangrejo de Boston"/>
    <n v="55"/>
    <n v="49"/>
    <n v="2695"/>
    <n v="0.10000000149011599"/>
    <n v="323.39999999999998"/>
    <n v="3018.29999999851"/>
  </r>
  <r>
    <d v="2019-09-11T00:00:00"/>
    <s v="Sep"/>
    <n v="2019"/>
    <x v="36"/>
    <s v="Condimentos"/>
    <s v="Salsa de pimiento picante de Luisiana"/>
    <n v="22"/>
    <n v="15"/>
    <n v="330"/>
    <n v="0.10000000149011599"/>
    <n v="39.6"/>
    <n v="369.49999999850991"/>
  </r>
  <r>
    <d v="2019-09-11T00:00:00"/>
    <s v="Sep"/>
    <n v="2019"/>
    <x v="36"/>
    <s v="Dulces"/>
    <s v="Pan largo escocés"/>
    <n v="74"/>
    <n v="53"/>
    <n v="3922"/>
    <n v="0.10000000149011599"/>
    <n v="470.64"/>
    <n v="4392.5399999985102"/>
  </r>
  <r>
    <d v="2019-09-12T00:00:00"/>
    <s v="Sep"/>
    <n v="2019"/>
    <x v="24"/>
    <s v="Dulces"/>
    <s v="Maxilaku"/>
    <n v="73"/>
    <n v="67"/>
    <n v="4891"/>
    <n v="0"/>
    <n v="586.91999999999996"/>
    <n v="5477.92"/>
  </r>
  <r>
    <d v="2019-09-12T00:00:00"/>
    <s v="Sep"/>
    <n v="2019"/>
    <x v="24"/>
    <s v="Productos Lácteos"/>
    <s v="Raclette Courdavault"/>
    <n v="68"/>
    <n v="73"/>
    <n v="4964"/>
    <n v="0"/>
    <n v="595.67999999999995"/>
    <n v="5559.68"/>
  </r>
  <r>
    <d v="2019-09-12T00:00:00"/>
    <s v="Sep"/>
    <n v="2019"/>
    <x v="24"/>
    <s v="Productos Lácteos"/>
    <s v="Queso crema"/>
    <n v="52"/>
    <n v="72"/>
    <n v="3744"/>
    <n v="0"/>
    <n v="449.28"/>
    <n v="4193.28"/>
  </r>
  <r>
    <d v="2019-09-13T00:00:00"/>
    <s v="Sep"/>
    <n v="2019"/>
    <x v="11"/>
    <s v="Mariscos"/>
    <s v="Tigres de Carnarvon"/>
    <n v="13"/>
    <n v="11"/>
    <n v="143"/>
    <n v="0.10000000149011599"/>
    <n v="17.16"/>
    <n v="160.05999999850988"/>
  </r>
  <r>
    <d v="2019-09-13T00:00:00"/>
    <s v="Sep"/>
    <n v="2019"/>
    <x v="11"/>
    <s v="Carnes y Aves"/>
    <s v="Salchicha asada de Turingia"/>
    <n v="68"/>
    <n v="30"/>
    <n v="2040"/>
    <n v="0.10000000149011599"/>
    <n v="244.79999999999998"/>
    <n v="2284.6999999985101"/>
  </r>
  <r>
    <d v="2019-09-13T00:00:00"/>
    <s v="Sep"/>
    <n v="2019"/>
    <x v="11"/>
    <s v="Bebidas"/>
    <s v="Chartreuse verde"/>
    <n v="95"/>
    <n v="52"/>
    <n v="4940"/>
    <n v="0.10000000149011599"/>
    <n v="592.79999999999995"/>
    <n v="5532.6999999985101"/>
  </r>
  <r>
    <d v="2019-09-16T00:00:00"/>
    <s v="Sep"/>
    <n v="2019"/>
    <x v="28"/>
    <s v="Mariscos"/>
    <s v="Nord-Ost Matjeshering"/>
    <n v="98"/>
    <n v="37"/>
    <n v="3626"/>
    <n v="0"/>
    <n v="435.12"/>
    <n v="4061.12"/>
  </r>
  <r>
    <d v="2019-09-16T00:00:00"/>
    <s v="Sep"/>
    <n v="2019"/>
    <x v="28"/>
    <s v="Carnes y Aves"/>
    <s v="Empanadas de Perth"/>
    <n v="58"/>
    <n v="46"/>
    <n v="2668"/>
    <n v="0"/>
    <n v="320.15999999999997"/>
    <n v="2988.16"/>
  </r>
  <r>
    <d v="2019-09-16T00:00:00"/>
    <s v="Sep"/>
    <n v="2019"/>
    <x v="28"/>
    <s v="Carnes y Aves"/>
    <s v="Tourtière"/>
    <n v="21"/>
    <n v="54"/>
    <n v="1134"/>
    <n v="0"/>
    <n v="136.07999999999998"/>
    <n v="1270.08"/>
  </r>
  <r>
    <d v="2019-09-17T00:00:00"/>
    <s v="Sep"/>
    <n v="2019"/>
    <x v="37"/>
    <s v="Dulces"/>
    <s v="Tarta de azúcar"/>
    <n v="6"/>
    <n v="84"/>
    <n v="504"/>
    <n v="0"/>
    <n v="60.48"/>
    <n v="564.48"/>
  </r>
  <r>
    <d v="2019-09-17T00:00:00"/>
    <s v="Sep"/>
    <n v="2019"/>
    <x v="37"/>
    <s v="Dulces"/>
    <s v="Pan largo escocés"/>
    <n v="33"/>
    <n v="65"/>
    <n v="2145"/>
    <n v="0"/>
    <n v="257.39999999999998"/>
    <n v="2402.4"/>
  </r>
  <r>
    <d v="2019-09-18T00:00:00"/>
    <s v="Sep"/>
    <n v="2019"/>
    <x v="38"/>
    <s v="Productos Lácteos"/>
    <s v="Gudbrandsdalsost"/>
    <n v="90"/>
    <n v="10"/>
    <n v="900"/>
    <n v="0"/>
    <n v="108"/>
    <n v="1008"/>
  </r>
  <r>
    <d v="2019-09-18T00:00:00"/>
    <s v="Sep"/>
    <n v="2019"/>
    <x v="38"/>
    <s v="Bebidas"/>
    <s v="Outback Lager"/>
    <n v="46"/>
    <n v="19"/>
    <n v="874"/>
    <n v="0"/>
    <n v="104.88"/>
    <n v="978.88"/>
  </r>
  <r>
    <d v="2019-09-19T00:00:00"/>
    <s v="Sep"/>
    <n v="2019"/>
    <x v="34"/>
    <s v="Condimentos"/>
    <s v="Condimento Cajún del Chef Anton"/>
    <n v="98"/>
    <n v="78"/>
    <n v="7644"/>
    <n v="0"/>
    <n v="917.28"/>
    <n v="8561.2800000000007"/>
  </r>
  <r>
    <d v="2019-09-19T00:00:00"/>
    <s v="Sep"/>
    <n v="2019"/>
    <x v="34"/>
    <s v="Condimentos"/>
    <s v="Crema de arándanos de la abuela"/>
    <n v="96"/>
    <n v="65"/>
    <n v="6240"/>
    <n v="0"/>
    <n v="748.8"/>
    <n v="6988.8"/>
  </r>
  <r>
    <d v="2019-09-19T00:00:00"/>
    <s v="Sep"/>
    <n v="2019"/>
    <x v="34"/>
    <s v="Granos y Cereales"/>
    <s v="Fried Mee de hockey de Singapur"/>
    <n v="28"/>
    <n v="54"/>
    <n v="1512"/>
    <n v="0"/>
    <n v="181.44"/>
    <n v="1693.44"/>
  </r>
  <r>
    <d v="2019-09-19T00:00:00"/>
    <s v="Sep"/>
    <n v="2019"/>
    <x v="34"/>
    <s v="Bebidas"/>
    <s v="Café Ipoh"/>
    <n v="83"/>
    <n v="35"/>
    <n v="2905"/>
    <n v="0"/>
    <n v="348.59999999999997"/>
    <n v="3253.6"/>
  </r>
  <r>
    <d v="2019-09-19T00:00:00"/>
    <s v="Sep"/>
    <n v="2019"/>
    <x v="34"/>
    <s v="Productos Lácteos"/>
    <s v="Queso crema"/>
    <n v="10"/>
    <n v="10"/>
    <n v="100"/>
    <n v="0"/>
    <n v="12"/>
    <n v="112"/>
  </r>
  <r>
    <d v="2019-09-20T00:00:00"/>
    <s v="Sep"/>
    <n v="2019"/>
    <x v="39"/>
    <s v="Dulces"/>
    <s v="Pavlova"/>
    <n v="34"/>
    <n v="25"/>
    <n v="850"/>
    <n v="0"/>
    <n v="102"/>
    <n v="952"/>
  </r>
  <r>
    <d v="2019-09-20T00:00:00"/>
    <s v="Sep"/>
    <n v="2019"/>
    <x v="39"/>
    <s v="Dulces"/>
    <s v="Tarta de azúcar"/>
    <n v="78"/>
    <n v="13"/>
    <n v="1014"/>
    <n v="0"/>
    <n v="121.67999999999999"/>
    <n v="1135.68"/>
  </r>
  <r>
    <d v="2019-09-20T00:00:00"/>
    <s v="Sep"/>
    <n v="2019"/>
    <x v="40"/>
    <s v="Granos y Cereales"/>
    <s v="Fried Mee de hockey de Singapur"/>
    <n v="40"/>
    <n v="80"/>
    <n v="3200"/>
    <n v="0"/>
    <n v="384"/>
    <n v="3584"/>
  </r>
  <r>
    <d v="2019-09-20T00:00:00"/>
    <s v="Sep"/>
    <n v="2019"/>
    <x v="40"/>
    <s v="Productos Lácteos"/>
    <s v="Gudbrandsdalsost"/>
    <n v="79"/>
    <n v="65"/>
    <n v="5135"/>
    <n v="0"/>
    <n v="616.19999999999993"/>
    <n v="5751.2"/>
  </r>
  <r>
    <d v="2019-09-23T00:00:00"/>
    <s v="Sep"/>
    <n v="2019"/>
    <x v="35"/>
    <s v="Productos Alimenticios"/>
    <s v="Chucrut Rössle"/>
    <n v="75"/>
    <n v="39"/>
    <n v="2925"/>
    <n v="0"/>
    <n v="351"/>
    <n v="3276"/>
  </r>
  <r>
    <d v="2019-09-23T00:00:00"/>
    <s v="Sep"/>
    <n v="2019"/>
    <x v="35"/>
    <s v="Bebidas"/>
    <s v="Café Ipoh"/>
    <n v="61"/>
    <n v="50"/>
    <n v="3050"/>
    <n v="0"/>
    <n v="366"/>
    <n v="3416"/>
  </r>
  <r>
    <d v="2019-09-23T00:00:00"/>
    <s v="Sep"/>
    <n v="2019"/>
    <x v="35"/>
    <s v="Carnes y Aves"/>
    <s v="Empanadas de Perth"/>
    <n v="81"/>
    <n v="41"/>
    <n v="3321"/>
    <n v="0"/>
    <n v="398.52"/>
    <n v="3719.52"/>
  </r>
  <r>
    <d v="2019-09-23T00:00:00"/>
    <s v="Sep"/>
    <n v="2019"/>
    <x v="35"/>
    <s v="Bebidas"/>
    <s v="Rhönbräu Klosterbier"/>
    <n v="95"/>
    <n v="95"/>
    <n v="9025"/>
    <n v="0"/>
    <n v="1083"/>
    <n v="10108"/>
  </r>
  <r>
    <d v="2019-09-24T00:00:00"/>
    <s v="Sep"/>
    <n v="2019"/>
    <x v="21"/>
    <s v="Mariscos"/>
    <s v="Arenque en escabeche"/>
    <n v="95"/>
    <n v="50"/>
    <n v="4750"/>
    <n v="0"/>
    <n v="570"/>
    <n v="5320"/>
  </r>
  <r>
    <d v="2019-09-25T00:00:00"/>
    <s v="Sep"/>
    <n v="2019"/>
    <x v="13"/>
    <s v="Productos Lácteos"/>
    <s v="Mascarpone Fabioli"/>
    <n v="73"/>
    <n v="92"/>
    <n v="6716"/>
    <n v="0.10000000149011599"/>
    <n v="805.92"/>
    <n v="7521.81999999851"/>
  </r>
  <r>
    <d v="2019-09-25T00:00:00"/>
    <s v="Sep"/>
    <n v="2019"/>
    <x v="13"/>
    <s v="Mariscos"/>
    <s v="Escorts borgoña"/>
    <n v="41"/>
    <n v="59"/>
    <n v="2419"/>
    <n v="0.10000000149011599"/>
    <n v="290.27999999999997"/>
    <n v="2709.1799999985096"/>
  </r>
  <r>
    <d v="2019-09-25T00:00:00"/>
    <s v="Sep"/>
    <n v="2019"/>
    <x v="13"/>
    <s v="Dulces"/>
    <s v="Tarta de azúcar"/>
    <n v="73"/>
    <n v="82"/>
    <n v="5986"/>
    <n v="0.10000000149011599"/>
    <n v="718.31999999999994"/>
    <n v="6704.2199999985096"/>
  </r>
  <r>
    <d v="2019-09-26T00:00:00"/>
    <s v="Sep"/>
    <n v="2019"/>
    <x v="41"/>
    <s v="Bebidas"/>
    <s v="Sasquatch Ale"/>
    <n v="85"/>
    <n v="99"/>
    <n v="8415"/>
    <n v="0"/>
    <n v="1009.8"/>
    <n v="9424.7999999999993"/>
  </r>
  <r>
    <d v="2019-09-26T00:00:00"/>
    <s v="Sep"/>
    <n v="2019"/>
    <x v="41"/>
    <s v="Bebidas"/>
    <s v="Outback Lager"/>
    <n v="28"/>
    <n v="56"/>
    <n v="1568"/>
    <n v="0"/>
    <n v="188.16"/>
    <n v="1756.16"/>
  </r>
  <r>
    <d v="2019-09-27T00:00:00"/>
    <s v="Sep"/>
    <n v="2019"/>
    <x v="13"/>
    <s v="Mariscos"/>
    <s v="Sopa de almejas de Nueva Inglaterra de Jack"/>
    <n v="26"/>
    <n v="84"/>
    <n v="2184"/>
    <n v="0"/>
    <n v="262.08"/>
    <n v="2446.08"/>
  </r>
  <r>
    <d v="2019-09-27T00:00:00"/>
    <s v="Sep"/>
    <n v="2019"/>
    <x v="13"/>
    <s v="Dulces"/>
    <s v="Tarta de azúcar"/>
    <n v="65"/>
    <n v="10"/>
    <n v="650"/>
    <n v="0"/>
    <n v="78"/>
    <n v="728"/>
  </r>
  <r>
    <d v="2019-09-30T00:00:00"/>
    <s v="Sep"/>
    <n v="2019"/>
    <x v="37"/>
    <s v="Bebidas"/>
    <s v="Chai"/>
    <n v="18"/>
    <n v="65"/>
    <n v="1170"/>
    <n v="0"/>
    <n v="140.4"/>
    <n v="1310.4000000000001"/>
  </r>
  <r>
    <d v="2019-10-01T00:00:00"/>
    <s v="Oct"/>
    <n v="2019"/>
    <x v="41"/>
    <s v="Mariscos"/>
    <s v="Sopa de almejas de Nueva Inglaterra de Jack"/>
    <n v="78"/>
    <n v="58"/>
    <n v="4524"/>
    <n v="0"/>
    <n v="542.88"/>
    <n v="5066.88"/>
  </r>
  <r>
    <d v="2019-10-01T00:00:00"/>
    <s v="Oct"/>
    <n v="2019"/>
    <x v="41"/>
    <s v="Bebidas"/>
    <s v="Lakkalikööri"/>
    <n v="14"/>
    <n v="34"/>
    <n v="476"/>
    <n v="0"/>
    <n v="57.12"/>
    <n v="533.12"/>
  </r>
  <r>
    <d v="2019-10-02T00:00:00"/>
    <s v="Oct"/>
    <n v="2019"/>
    <x v="24"/>
    <s v="Carnes y Aves"/>
    <s v="Alice Cordero"/>
    <n v="42"/>
    <n v="84"/>
    <n v="3528"/>
    <n v="0"/>
    <n v="423.35999999999996"/>
    <n v="3951.36"/>
  </r>
  <r>
    <d v="2019-10-02T00:00:00"/>
    <s v="Oct"/>
    <n v="2019"/>
    <x v="24"/>
    <s v="Productos Alimenticios"/>
    <s v="Chucrut Rössle"/>
    <n v="33"/>
    <n v="66"/>
    <n v="2178"/>
    <n v="0"/>
    <n v="261.36"/>
    <n v="2439.36"/>
  </r>
  <r>
    <d v="2019-10-02T00:00:00"/>
    <s v="Oct"/>
    <n v="2019"/>
    <x v="24"/>
    <s v="Bebidas"/>
    <s v="Lakkalikööri"/>
    <n v="82"/>
    <n v="57"/>
    <n v="4674"/>
    <n v="0"/>
    <n v="560.88"/>
    <n v="5234.88"/>
  </r>
  <r>
    <d v="2019-10-03T00:00:00"/>
    <s v="Oct"/>
    <n v="2019"/>
    <x v="16"/>
    <s v="Productos Lácteos"/>
    <s v="Queso crema"/>
    <n v="36"/>
    <n v="46"/>
    <n v="1656"/>
    <n v="0"/>
    <n v="198.72"/>
    <n v="1854.72"/>
  </r>
  <r>
    <d v="2019-10-03T00:00:00"/>
    <s v="Oct"/>
    <n v="2019"/>
    <x v="41"/>
    <s v="Bebidas"/>
    <s v="Steeleye Stout"/>
    <n v="44"/>
    <n v="84"/>
    <n v="3696"/>
    <n v="0"/>
    <n v="443.52"/>
    <n v="4139.5200000000004"/>
  </r>
  <r>
    <d v="2019-10-04T00:00:00"/>
    <s v="Oct"/>
    <n v="2019"/>
    <x v="42"/>
    <s v="Granos y Cereales"/>
    <s v="Filo Mix"/>
    <n v="46"/>
    <n v="77"/>
    <n v="3542"/>
    <n v="0"/>
    <n v="425.03999999999996"/>
    <n v="3967.04"/>
  </r>
  <r>
    <d v="2019-10-07T00:00:00"/>
    <s v="Oct"/>
    <n v="2019"/>
    <x v="43"/>
    <s v="Condimentos"/>
    <s v="Genes Shouyu"/>
    <n v="27"/>
    <n v="85"/>
    <n v="2295"/>
    <n v="0"/>
    <n v="275.39999999999998"/>
    <n v="2570.4"/>
  </r>
  <r>
    <d v="2019-10-07T00:00:00"/>
    <s v="Oct"/>
    <n v="2019"/>
    <x v="43"/>
    <s v="Dulces"/>
    <s v="Crema de Turrón de Nueces NuNuCa"/>
    <n v="65"/>
    <n v="28"/>
    <n v="1820"/>
    <n v="0"/>
    <n v="218.4"/>
    <n v="2038.4"/>
  </r>
  <r>
    <d v="2019-10-07T00:00:00"/>
    <s v="Oct"/>
    <n v="2019"/>
    <x v="43"/>
    <s v="Bebidas"/>
    <s v="Chartreuse verde"/>
    <n v="29"/>
    <n v="79"/>
    <n v="2291"/>
    <n v="0"/>
    <n v="274.92"/>
    <n v="2565.92"/>
  </r>
  <r>
    <d v="2019-10-08T00:00:00"/>
    <s v="Oct"/>
    <n v="2019"/>
    <x v="44"/>
    <s v="Dulces"/>
    <s v="Pavlova"/>
    <n v="52"/>
    <n v="30"/>
    <n v="1560"/>
    <n v="0.15000000596046401"/>
    <n v="187.2"/>
    <n v="1747.0499999940396"/>
  </r>
  <r>
    <d v="2019-10-08T00:00:00"/>
    <s v="Oct"/>
    <n v="2019"/>
    <x v="44"/>
    <s v="Bebidas"/>
    <s v="Steeleye Stout"/>
    <n v="12"/>
    <n v="68"/>
    <n v="816"/>
    <n v="0.15000000596046401"/>
    <n v="97.92"/>
    <n v="913.76999999403949"/>
  </r>
  <r>
    <d v="2019-10-08T00:00:00"/>
    <s v="Oct"/>
    <n v="2019"/>
    <x v="44"/>
    <s v="Mariscos"/>
    <s v="arenque"/>
    <n v="25"/>
    <n v="28"/>
    <n v="700"/>
    <n v="0"/>
    <n v="84"/>
    <n v="784"/>
  </r>
  <r>
    <d v="2019-10-08T00:00:00"/>
    <s v="Oct"/>
    <n v="2019"/>
    <x v="44"/>
    <s v="Productos Lácteos"/>
    <s v="Raclette Courdavault"/>
    <n v="74"/>
    <n v="100"/>
    <n v="7400"/>
    <n v="0.15000000596046401"/>
    <n v="888"/>
    <n v="8287.8499999940395"/>
  </r>
  <r>
    <d v="2019-10-08T00:00:00"/>
    <s v="Oct"/>
    <n v="2019"/>
    <x v="44"/>
    <s v="Condimentos"/>
    <s v="Crema de verduras"/>
    <n v="81"/>
    <n v="10"/>
    <n v="810"/>
    <n v="0.15000000596046401"/>
    <n v="97.2"/>
    <n v="907.04999999403958"/>
  </r>
  <r>
    <d v="2019-10-09T00:00:00"/>
    <s v="Oct"/>
    <n v="2019"/>
    <x v="43"/>
    <s v="Condimentos"/>
    <s v="Crema de arándanos de la abuela"/>
    <n v="61"/>
    <n v="75"/>
    <n v="4575"/>
    <n v="0"/>
    <n v="549"/>
    <n v="5124"/>
  </r>
  <r>
    <d v="2019-10-09T00:00:00"/>
    <s v="Oct"/>
    <n v="2019"/>
    <x v="43"/>
    <s v="Mariscos"/>
    <s v="Konbu"/>
    <n v="30"/>
    <n v="28"/>
    <n v="840"/>
    <n v="0"/>
    <n v="100.8"/>
    <n v="940.8"/>
  </r>
  <r>
    <d v="2019-10-09T00:00:00"/>
    <s v="Oct"/>
    <n v="2019"/>
    <x v="43"/>
    <s v="Productos Alimenticios"/>
    <s v="tofu"/>
    <n v="4"/>
    <n v="68"/>
    <n v="272"/>
    <n v="0"/>
    <n v="32.64"/>
    <n v="304.64"/>
  </r>
  <r>
    <d v="2019-10-09T00:00:00"/>
    <s v="Oct"/>
    <n v="2019"/>
    <x v="43"/>
    <s v="Productos Lácteos"/>
    <s v="Gorgonzola Telino"/>
    <n v="53"/>
    <n v="12"/>
    <n v="636"/>
    <n v="0"/>
    <n v="76.319999999999993"/>
    <n v="712.31999999999994"/>
  </r>
  <r>
    <d v="2019-10-09T00:00:00"/>
    <s v="Oct"/>
    <n v="2019"/>
    <x v="43"/>
    <s v="Productos Lácteos"/>
    <s v="Mozzarella di Giovanni"/>
    <n v="64"/>
    <n v="85"/>
    <n v="5440"/>
    <n v="0"/>
    <n v="652.79999999999995"/>
    <n v="6092.8"/>
  </r>
  <r>
    <d v="2019-10-10T00:00:00"/>
    <s v="Oct"/>
    <n v="2019"/>
    <x v="45"/>
    <s v="Condimentos"/>
    <s v="Condimento Cajún del Chef Anton"/>
    <n v="73"/>
    <n v="63"/>
    <n v="4599"/>
    <n v="0"/>
    <n v="551.88"/>
    <n v="5150.88"/>
  </r>
  <r>
    <d v="2019-10-10T00:00:00"/>
    <s v="Oct"/>
    <n v="2019"/>
    <x v="45"/>
    <s v="Granos y Cereales"/>
    <s v="Ravioli Angelo"/>
    <n v="20"/>
    <n v="69"/>
    <n v="1380"/>
    <n v="0"/>
    <n v="165.6"/>
    <n v="1545.6"/>
  </r>
  <r>
    <d v="2019-10-10T00:00:00"/>
    <s v="Oct"/>
    <n v="2019"/>
    <x v="45"/>
    <s v="Bebidas"/>
    <s v="Rhönbräu Klosterbier"/>
    <n v="86"/>
    <n v="31"/>
    <n v="2666"/>
    <n v="0"/>
    <n v="319.92"/>
    <n v="2985.92"/>
  </r>
  <r>
    <d v="2019-10-11T00:00:00"/>
    <s v="Oct"/>
    <n v="2019"/>
    <x v="14"/>
    <s v="Bebidas"/>
    <s v="Chang"/>
    <n v="21"/>
    <n v="83"/>
    <n v="1743"/>
    <n v="0.20000000298023199"/>
    <n v="209.16"/>
    <n v="1951.9599999970198"/>
  </r>
  <r>
    <d v="2019-10-11T00:00:00"/>
    <s v="Oct"/>
    <n v="2019"/>
    <x v="14"/>
    <s v="Productos Lácteos"/>
    <s v="Queso Cabrales"/>
    <n v="63"/>
    <n v="68"/>
    <n v="4284"/>
    <n v="0.20000000298023199"/>
    <n v="514.07999999999993"/>
    <n v="4797.8799999970197"/>
  </r>
  <r>
    <d v="2019-10-11T00:00:00"/>
    <s v="Oct"/>
    <n v="2019"/>
    <x v="14"/>
    <s v="Mariscos"/>
    <s v="Nord-Ost Matjeshering"/>
    <n v="7"/>
    <n v="16"/>
    <n v="112"/>
    <n v="0.20000000298023199"/>
    <n v="13.44"/>
    <n v="125.23999999701977"/>
  </r>
  <r>
    <d v="2019-10-11T00:00:00"/>
    <s v="Oct"/>
    <n v="2019"/>
    <x v="14"/>
    <s v="Mariscos"/>
    <s v="Escorts borgoña"/>
    <n v="28"/>
    <n v="87"/>
    <n v="2436"/>
    <n v="0.20000000298023199"/>
    <n v="292.32"/>
    <n v="2728.1199999970199"/>
  </r>
  <r>
    <d v="2019-10-14T00:00:00"/>
    <s v="Oct"/>
    <n v="2019"/>
    <x v="46"/>
    <s v="Productos Lácteos"/>
    <s v="Raclette Courdavault"/>
    <n v="7"/>
    <n v="36"/>
    <n v="252"/>
    <n v="0"/>
    <n v="30.24"/>
    <n v="282.24"/>
  </r>
  <r>
    <d v="2019-10-14T00:00:00"/>
    <s v="Oct"/>
    <n v="2019"/>
    <x v="46"/>
    <s v="Condimentos"/>
    <s v="Salsa de pimiento picante de Luisiana"/>
    <n v="1"/>
    <n v="54"/>
    <n v="54"/>
    <n v="0"/>
    <n v="6.4799999999999995"/>
    <n v="60.48"/>
  </r>
  <r>
    <d v="2019-10-14T00:00:00"/>
    <s v="Oct"/>
    <n v="2019"/>
    <x v="46"/>
    <s v="Dulces"/>
    <s v="Pan largo escocés"/>
    <n v="54"/>
    <n v="67"/>
    <n v="3618"/>
    <n v="0"/>
    <n v="434.15999999999997"/>
    <n v="4052.16"/>
  </r>
  <r>
    <d v="2019-10-15T00:00:00"/>
    <s v="Oct"/>
    <n v="2019"/>
    <x v="20"/>
    <s v="Dulces"/>
    <s v="Galletas de chocolate a la hora del té"/>
    <n v="65"/>
    <n v="91"/>
    <n v="5915"/>
    <n v="5.0000000745058101E-2"/>
    <n v="709.8"/>
    <n v="6624.7499999992551"/>
  </r>
  <r>
    <d v="2019-10-15T00:00:00"/>
    <s v="Oct"/>
    <n v="2019"/>
    <x v="20"/>
    <s v="Mariscos"/>
    <s v="Nord-Ost Matjeshering"/>
    <n v="32"/>
    <n v="31"/>
    <n v="992"/>
    <n v="5.0000000745058101E-2"/>
    <n v="119.03999999999999"/>
    <n v="1110.9899999992549"/>
  </r>
  <r>
    <d v="2019-10-15T00:00:00"/>
    <s v="Oct"/>
    <n v="2019"/>
    <x v="20"/>
    <s v="Bebidas"/>
    <s v="Côte de Blaye"/>
    <n v="32"/>
    <n v="96"/>
    <n v="3072"/>
    <n v="5.0000000745058101E-2"/>
    <n v="368.64"/>
    <n v="3440.5899999992548"/>
  </r>
  <r>
    <d v="2019-10-15T00:00:00"/>
    <s v="Oct"/>
    <n v="2019"/>
    <x v="20"/>
    <s v="Granos y Cereales"/>
    <s v="Gnocchi di nonna Alice"/>
    <n v="68"/>
    <n v="46"/>
    <n v="3128"/>
    <n v="5.0000000745058101E-2"/>
    <n v="375.36"/>
    <n v="3503.3099999992551"/>
  </r>
  <r>
    <d v="2019-10-16T00:00:00"/>
    <s v="Oct"/>
    <n v="2019"/>
    <x v="29"/>
    <s v="Dulces"/>
    <s v="Gummär Gummibärchen"/>
    <n v="40"/>
    <n v="61"/>
    <n v="2440"/>
    <n v="0.15000000596046401"/>
    <n v="292.8"/>
    <n v="2732.6499999940397"/>
  </r>
  <r>
    <d v="2019-10-16T00:00:00"/>
    <s v="Oct"/>
    <n v="2019"/>
    <x v="29"/>
    <s v="Productos Lácteos"/>
    <s v="Mozzarella di Giovanni"/>
    <n v="54"/>
    <n v="37"/>
    <n v="1998"/>
    <n v="0.15000000596046401"/>
    <n v="239.76"/>
    <n v="2237.6099999940398"/>
  </r>
  <r>
    <d v="2019-10-16T00:00:00"/>
    <s v="Oct"/>
    <n v="2019"/>
    <x v="47"/>
    <s v="Carnes y Aves"/>
    <s v="Tourtière"/>
    <n v="90"/>
    <n v="34"/>
    <n v="3060"/>
    <n v="0"/>
    <n v="367.2"/>
    <n v="3427.2"/>
  </r>
  <r>
    <d v="2019-10-17T00:00:00"/>
    <s v="Oct"/>
    <n v="2019"/>
    <x v="48"/>
    <s v="Mariscos"/>
    <s v="Tigres de Carnarvon"/>
    <n v="74"/>
    <n v="33"/>
    <n v="2442"/>
    <n v="0.20000000298023199"/>
    <n v="293.03999999999996"/>
    <n v="2734.8399999970197"/>
  </r>
  <r>
    <d v="2019-10-17T00:00:00"/>
    <s v="Oct"/>
    <n v="2019"/>
    <x v="48"/>
    <s v="Granos y Cereales"/>
    <s v="Fried Mee de hockey de Singapur"/>
    <n v="52"/>
    <n v="98"/>
    <n v="5096"/>
    <n v="0.20000000298023199"/>
    <n v="611.52"/>
    <n v="5707.3199999970202"/>
  </r>
  <r>
    <d v="2019-10-17T00:00:00"/>
    <s v="Oct"/>
    <n v="2019"/>
    <x v="48"/>
    <s v="Dulces"/>
    <s v="Tortas Zaanse"/>
    <n v="49"/>
    <n v="82"/>
    <n v="4018"/>
    <n v="0.20000000298023199"/>
    <n v="482.15999999999997"/>
    <n v="4499.9599999970196"/>
  </r>
  <r>
    <d v="2019-10-18T00:00:00"/>
    <s v="Oct"/>
    <n v="2019"/>
    <x v="16"/>
    <s v="Productos Alimenticios"/>
    <s v="tofu"/>
    <n v="15"/>
    <n v="46"/>
    <n v="690"/>
    <n v="0"/>
    <n v="82.8"/>
    <n v="772.8"/>
  </r>
  <r>
    <d v="2019-10-18T00:00:00"/>
    <s v="Oct"/>
    <n v="2019"/>
    <x v="16"/>
    <s v="Dulces"/>
    <s v="Scones de Sir Rodney"/>
    <n v="15"/>
    <n v="17"/>
    <n v="255"/>
    <n v="0.10000000149011599"/>
    <n v="30.599999999999998"/>
    <n v="285.49999999850991"/>
  </r>
  <r>
    <d v="2019-10-18T00:00:00"/>
    <s v="Oct"/>
    <n v="2019"/>
    <x v="16"/>
    <s v="Productos Lácteos"/>
    <s v="Queso crema"/>
    <n v="17"/>
    <n v="50"/>
    <n v="850"/>
    <n v="0.10000000149011599"/>
    <n v="102"/>
    <n v="951.89999999850988"/>
  </r>
  <r>
    <d v="2019-10-21T00:00:00"/>
    <s v="Oct"/>
    <n v="2019"/>
    <x v="3"/>
    <s v="Granos y Cereales"/>
    <s v="Filo Mix"/>
    <n v="19"/>
    <n v="91"/>
    <n v="1729"/>
    <n v="0"/>
    <n v="207.48"/>
    <n v="1936.48"/>
  </r>
  <r>
    <d v="2019-10-21T00:00:00"/>
    <s v="Oct"/>
    <n v="2019"/>
    <x v="3"/>
    <s v="Dulces"/>
    <s v="Pan largo escocés"/>
    <n v="77"/>
    <n v="37"/>
    <n v="2849"/>
    <n v="0"/>
    <n v="341.88"/>
    <n v="3190.88"/>
  </r>
  <r>
    <d v="2019-10-22T00:00:00"/>
    <s v="Oct"/>
    <n v="2019"/>
    <x v="34"/>
    <s v="Bebidas"/>
    <s v="Chang"/>
    <n v="99"/>
    <n v="83"/>
    <n v="8217"/>
    <n v="0.20000000298023199"/>
    <n v="986.04"/>
    <n v="9202.8399999970206"/>
  </r>
  <r>
    <d v="2019-10-22T00:00:00"/>
    <s v="Oct"/>
    <n v="2019"/>
    <x v="34"/>
    <s v="Productos Lácteos"/>
    <s v="Gorgonzola Telino"/>
    <n v="80"/>
    <n v="84"/>
    <n v="6720"/>
    <n v="0.20000000298023199"/>
    <n v="806.4"/>
    <n v="7526.1999999970194"/>
  </r>
  <r>
    <d v="2019-10-22T00:00:00"/>
    <s v="Oct"/>
    <n v="2019"/>
    <x v="34"/>
    <s v="Productos Lácteos"/>
    <s v="Mascarpone Fabioli"/>
    <n v="11"/>
    <n v="90"/>
    <n v="990"/>
    <n v="0.20000000298023199"/>
    <n v="118.8"/>
    <n v="1108.5999999970197"/>
  </r>
  <r>
    <d v="2019-10-22T00:00:00"/>
    <s v="Oct"/>
    <n v="2019"/>
    <x v="34"/>
    <s v="Productos Alimenticios"/>
    <s v="Manjimup Dry Apples"/>
    <n v="23"/>
    <n v="10"/>
    <n v="230"/>
    <n v="0.20000000298023199"/>
    <n v="27.599999999999998"/>
    <n v="257.39999999701979"/>
  </r>
  <r>
    <d v="2019-10-23T00:00:00"/>
    <s v="Oct"/>
    <n v="2019"/>
    <x v="49"/>
    <s v="Condimentos"/>
    <s v="Condimento Cajún del Chef Anton"/>
    <n v="90"/>
    <n v="77"/>
    <n v="6930"/>
    <n v="0.10000000149011599"/>
    <n v="831.6"/>
    <n v="7761.4999999985102"/>
  </r>
  <r>
    <d v="2019-10-24T00:00:00"/>
    <s v="Oct"/>
    <n v="2019"/>
    <x v="17"/>
    <s v="Granos y Cereales"/>
    <s v="Pan plano"/>
    <n v="51"/>
    <n v="57"/>
    <n v="2907"/>
    <n v="0"/>
    <n v="348.84"/>
    <n v="3255.84"/>
  </r>
  <r>
    <d v="2019-10-24T00:00:00"/>
    <s v="Oct"/>
    <n v="2019"/>
    <x v="17"/>
    <s v="Dulces"/>
    <s v="Gummär Gummibärchen"/>
    <n v="94"/>
    <n v="27"/>
    <n v="2538"/>
    <n v="0"/>
    <n v="304.56"/>
    <n v="2842.56"/>
  </r>
  <r>
    <d v="2019-10-24T00:00:00"/>
    <s v="Oct"/>
    <n v="2019"/>
    <x v="17"/>
    <s v="Mariscos"/>
    <s v="Arenque en escabeche"/>
    <n v="88"/>
    <n v="40"/>
    <n v="3520"/>
    <n v="0"/>
    <n v="422.4"/>
    <n v="3942.4"/>
  </r>
  <r>
    <d v="2019-10-24T00:00:00"/>
    <s v="Oct"/>
    <n v="2019"/>
    <x v="17"/>
    <s v="Mariscos"/>
    <s v="Gravad laxo"/>
    <n v="29"/>
    <n v="28"/>
    <n v="812"/>
    <n v="0"/>
    <n v="97.44"/>
    <n v="909.44"/>
  </r>
  <r>
    <d v="2019-10-24T00:00:00"/>
    <s v="Oct"/>
    <n v="2019"/>
    <x v="17"/>
    <s v="Productos Lácteos"/>
    <s v="Mozzarella di Giovanni"/>
    <n v="55"/>
    <n v="13"/>
    <n v="715"/>
    <n v="0"/>
    <n v="85.8"/>
    <n v="800.8"/>
  </r>
  <r>
    <d v="2019-10-25T00:00:00"/>
    <s v="Oct"/>
    <n v="2019"/>
    <x v="11"/>
    <s v="Carnes y Aves"/>
    <s v="Alice Cordero"/>
    <n v="45"/>
    <n v="40"/>
    <n v="1800"/>
    <n v="0"/>
    <n v="216"/>
    <n v="2016"/>
  </r>
  <r>
    <d v="2019-10-25T00:00:00"/>
    <s v="Oct"/>
    <n v="2019"/>
    <x v="11"/>
    <s v="Mariscos"/>
    <s v="Nord-Ost Matjeshering"/>
    <n v="57"/>
    <n v="97"/>
    <n v="5529"/>
    <n v="0"/>
    <n v="663.48"/>
    <n v="6192.48"/>
  </r>
  <r>
    <d v="2019-10-28T00:00:00"/>
    <s v="Oct"/>
    <n v="2019"/>
    <x v="48"/>
    <s v="Condimentos"/>
    <s v="Condimento Cajún del Chef Anton"/>
    <n v="2"/>
    <n v="32"/>
    <n v="64"/>
    <n v="0"/>
    <n v="7.68"/>
    <n v="71.680000000000007"/>
  </r>
  <r>
    <d v="2019-10-28T00:00:00"/>
    <s v="Oct"/>
    <n v="2019"/>
    <x v="48"/>
    <s v="Carnes y Aves"/>
    <s v="Alice Cordero"/>
    <n v="15"/>
    <n v="30"/>
    <n v="450"/>
    <n v="5.0000000745058101E-2"/>
    <n v="54"/>
    <n v="503.94999999925494"/>
  </r>
  <r>
    <d v="2019-10-28T00:00:00"/>
    <s v="Oct"/>
    <n v="2019"/>
    <x v="48"/>
    <s v="Dulces"/>
    <s v="Tarta de azúcar"/>
    <n v="53"/>
    <n v="89"/>
    <n v="4717"/>
    <n v="0"/>
    <n v="566.04"/>
    <n v="5283.04"/>
  </r>
  <r>
    <d v="2019-10-29T00:00:00"/>
    <s v="Oct"/>
    <n v="2019"/>
    <x v="47"/>
    <s v="Mariscos"/>
    <s v="Tigres de Carnarvon"/>
    <n v="89"/>
    <n v="86"/>
    <n v="7654"/>
    <n v="5.0000000745058101E-2"/>
    <n v="918.48"/>
    <n v="8572.4299999992545"/>
  </r>
  <r>
    <d v="2019-10-29T00:00:00"/>
    <s v="Oct"/>
    <n v="2019"/>
    <x v="47"/>
    <s v="Mariscos"/>
    <s v="Sopa de almejas de Nueva Inglaterra de Jack"/>
    <n v="99"/>
    <n v="75"/>
    <n v="7425"/>
    <n v="5.0000000745058101E-2"/>
    <n v="891"/>
    <n v="8315.9499999992549"/>
  </r>
  <r>
    <d v="2019-10-29T00:00:00"/>
    <s v="Oct"/>
    <n v="2019"/>
    <x v="47"/>
    <s v="Bebidas"/>
    <s v="Café Ipoh"/>
    <n v="76"/>
    <n v="14"/>
    <n v="1064"/>
    <n v="5.0000000745058101E-2"/>
    <n v="127.67999999999999"/>
    <n v="1191.629999999255"/>
  </r>
  <r>
    <d v="2019-10-29T00:00:00"/>
    <s v="Oct"/>
    <n v="2019"/>
    <x v="50"/>
    <s v="Productos Lácteos"/>
    <s v="Queso de cabra"/>
    <n v="21"/>
    <n v="13"/>
    <n v="273"/>
    <n v="0"/>
    <n v="32.76"/>
    <n v="305.76"/>
  </r>
  <r>
    <d v="2019-10-29T00:00:00"/>
    <s v="Oct"/>
    <n v="2019"/>
    <x v="50"/>
    <s v="Productos Lácteos"/>
    <s v="Raclette Courdavault"/>
    <n v="30"/>
    <n v="97"/>
    <n v="2910"/>
    <n v="0.15000000596046401"/>
    <n v="349.2"/>
    <n v="3259.0499999940394"/>
  </r>
  <r>
    <d v="2019-10-30T00:00:00"/>
    <s v="Oct"/>
    <n v="2019"/>
    <x v="17"/>
    <s v="Bebidas"/>
    <s v="Chang"/>
    <n v="59"/>
    <n v="77"/>
    <n v="4543"/>
    <n v="0.20000000298023199"/>
    <n v="545.16"/>
    <n v="5087.9599999970196"/>
  </r>
  <r>
    <d v="2019-10-30T00:00:00"/>
    <s v="Oct"/>
    <n v="2019"/>
    <x v="17"/>
    <s v="Productos Lácteos"/>
    <s v="Gorgonzola Telino"/>
    <n v="41"/>
    <n v="81"/>
    <n v="3321"/>
    <n v="0.20000000298023199"/>
    <n v="398.52"/>
    <n v="3719.3199999970197"/>
  </r>
  <r>
    <d v="2019-10-30T00:00:00"/>
    <s v="Oct"/>
    <n v="2019"/>
    <x v="17"/>
    <s v="Mariscos"/>
    <s v="Arenque en escabeche"/>
    <n v="34"/>
    <n v="15"/>
    <n v="510"/>
    <n v="0.20000000298023199"/>
    <n v="61.199999999999996"/>
    <n v="570.99999999701981"/>
  </r>
  <r>
    <d v="2019-10-30T00:00:00"/>
    <s v="Oct"/>
    <n v="2019"/>
    <x v="17"/>
    <s v="Carnes y Aves"/>
    <s v="Paté chino"/>
    <n v="67"/>
    <n v="65"/>
    <n v="4355"/>
    <n v="0.20000000298023199"/>
    <n v="522.6"/>
    <n v="4877.3999999970201"/>
  </r>
  <r>
    <d v="2019-10-31T00:00:00"/>
    <s v="Oct"/>
    <n v="2019"/>
    <x v="27"/>
    <s v="Granos y Cereales"/>
    <s v="El buen Semmelknödel de Wimmer"/>
    <n v="93"/>
    <n v="29"/>
    <n v="2697"/>
    <n v="0"/>
    <n v="323.64"/>
    <n v="3020.64"/>
  </r>
  <r>
    <d v="2019-10-31T00:00:00"/>
    <s v="Oct"/>
    <n v="2019"/>
    <x v="27"/>
    <s v="Dulces"/>
    <s v="Pan largo escocés"/>
    <n v="99"/>
    <n v="67"/>
    <n v="6633"/>
    <n v="5.0000000745058101E-2"/>
    <n v="795.95999999999992"/>
    <n v="7428.909999999255"/>
  </r>
  <r>
    <d v="2019-10-31T00:00:00"/>
    <s v="Oct"/>
    <n v="2019"/>
    <x v="27"/>
    <s v="Bebidas"/>
    <s v="Lakkalikööri"/>
    <n v="30"/>
    <n v="12"/>
    <n v="360"/>
    <n v="0"/>
    <n v="43.199999999999996"/>
    <n v="403.2"/>
  </r>
  <r>
    <d v="2019-11-01T00:00:00"/>
    <s v="Nov"/>
    <n v="2019"/>
    <x v="19"/>
    <s v="Condimentos"/>
    <s v="Condimento Cajún del Chef Anton"/>
    <n v="100"/>
    <n v="95"/>
    <n v="9500"/>
    <n v="0"/>
    <n v="1140"/>
    <n v="10640"/>
  </r>
  <r>
    <d v="2019-11-01T00:00:00"/>
    <s v="Nov"/>
    <n v="2019"/>
    <x v="19"/>
    <s v="Condimentos"/>
    <s v="Salsa de arándanos Northwoods"/>
    <n v="85"/>
    <n v="57"/>
    <n v="4845"/>
    <n v="0.25"/>
    <n v="581.4"/>
    <n v="5426.15"/>
  </r>
  <r>
    <d v="2019-11-04T00:00:00"/>
    <s v="Nov"/>
    <n v="2019"/>
    <x v="21"/>
    <s v="Condimentos"/>
    <s v="Salsa de arándanos Northwoods"/>
    <n v="89"/>
    <n v="55"/>
    <n v="4895"/>
    <n v="0"/>
    <n v="587.4"/>
    <n v="5482.4"/>
  </r>
  <r>
    <d v="2019-11-04T00:00:00"/>
    <s v="Nov"/>
    <n v="2019"/>
    <x v="21"/>
    <s v="Dulces"/>
    <s v="Galletas de chocolate a la hora del té"/>
    <n v="8"/>
    <n v="24"/>
    <n v="192"/>
    <n v="0"/>
    <n v="23.04"/>
    <n v="215.04"/>
  </r>
  <r>
    <d v="2019-11-04T00:00:00"/>
    <s v="Nov"/>
    <n v="2019"/>
    <x v="21"/>
    <s v="Granos y Cereales"/>
    <s v="Fried Mee de hockey de Singapur"/>
    <n v="2"/>
    <n v="64"/>
    <n v="128"/>
    <n v="0"/>
    <n v="15.36"/>
    <n v="143.36000000000001"/>
  </r>
  <r>
    <d v="2019-11-05T00:00:00"/>
    <s v="Nov"/>
    <n v="2019"/>
    <x v="13"/>
    <s v="Carnes y Aves"/>
    <s v="Alice Cordero"/>
    <n v="26"/>
    <n v="32"/>
    <n v="832"/>
    <n v="0.10000000149011599"/>
    <n v="99.84"/>
    <n v="931.73999999850992"/>
  </r>
  <r>
    <d v="2019-11-05T00:00:00"/>
    <s v="Nov"/>
    <n v="2019"/>
    <x v="13"/>
    <s v="Granos y Cereales"/>
    <s v="Gnocchi di nonna Alice"/>
    <n v="41"/>
    <n v="67"/>
    <n v="2747"/>
    <n v="0"/>
    <n v="329.64"/>
    <n v="3076.64"/>
  </r>
  <r>
    <d v="2019-11-06T00:00:00"/>
    <s v="Nov"/>
    <n v="2019"/>
    <x v="51"/>
    <s v="Dulces"/>
    <s v="Crema de Turrón de Nueces NuNuCa"/>
    <n v="32"/>
    <n v="34"/>
    <n v="1088"/>
    <n v="0"/>
    <n v="130.56"/>
    <n v="1218.56"/>
  </r>
  <r>
    <d v="2019-11-06T00:00:00"/>
    <s v="Nov"/>
    <n v="2019"/>
    <x v="51"/>
    <s v="Bebidas"/>
    <s v="Chartreuse verde"/>
    <n v="72"/>
    <n v="13"/>
    <n v="936"/>
    <n v="0.15000000596046401"/>
    <n v="112.32"/>
    <n v="1048.1699999940395"/>
  </r>
  <r>
    <d v="2019-11-06T00:00:00"/>
    <s v="Nov"/>
    <n v="2019"/>
    <x v="51"/>
    <s v="Mariscos"/>
    <s v="Carne de cangrejo de Boston"/>
    <n v="99"/>
    <n v="17"/>
    <n v="1683"/>
    <n v="0"/>
    <n v="201.95999999999998"/>
    <n v="1884.96"/>
  </r>
  <r>
    <d v="2019-11-06T00:00:00"/>
    <s v="Nov"/>
    <n v="2019"/>
    <x v="51"/>
    <s v="Bebidas"/>
    <s v="Rhönbräu Klosterbier"/>
    <n v="39"/>
    <n v="88"/>
    <n v="3432"/>
    <n v="0.15000000596046401"/>
    <n v="411.84"/>
    <n v="3843.6899999940397"/>
  </r>
  <r>
    <d v="2019-11-07T00:00:00"/>
    <s v="Nov"/>
    <n v="2019"/>
    <x v="35"/>
    <s v="Bebidas"/>
    <s v="Chai"/>
    <n v="96"/>
    <n v="97"/>
    <n v="9312"/>
    <n v="0.15000000596046401"/>
    <n v="1117.44"/>
    <n v="10429.28999999404"/>
  </r>
  <r>
    <d v="2019-11-07T00:00:00"/>
    <s v="Nov"/>
    <n v="2019"/>
    <x v="35"/>
    <s v="Granos y Cereales"/>
    <s v="Pan plano"/>
    <n v="61"/>
    <n v="38"/>
    <n v="2318"/>
    <n v="0"/>
    <n v="278.15999999999997"/>
    <n v="2596.16"/>
  </r>
  <r>
    <d v="2019-11-08T00:00:00"/>
    <s v="Nov"/>
    <n v="2019"/>
    <x v="20"/>
    <s v="Carnes y Aves"/>
    <s v="Tourtière"/>
    <n v="57"/>
    <n v="53"/>
    <n v="3021"/>
    <n v="0"/>
    <n v="362.52"/>
    <n v="3383.52"/>
  </r>
  <r>
    <d v="2019-11-11T00:00:00"/>
    <s v="Nov"/>
    <n v="2019"/>
    <x v="52"/>
    <s v="Dulces"/>
    <s v="Valkoinen suklaa"/>
    <n v="77"/>
    <n v="59"/>
    <n v="4543"/>
    <n v="0.10000000149011599"/>
    <n v="545.16"/>
    <n v="5088.0599999985097"/>
  </r>
  <r>
    <d v="2019-11-11T00:00:00"/>
    <s v="Nov"/>
    <n v="2019"/>
    <x v="52"/>
    <s v="Productos Lácteos"/>
    <s v="Gudbrandsdalsost"/>
    <n v="39"/>
    <n v="60"/>
    <n v="2340"/>
    <n v="0.10000000149011599"/>
    <n v="280.8"/>
    <n v="2620.6999999985101"/>
  </r>
  <r>
    <d v="2019-11-11T00:00:00"/>
    <s v="Nov"/>
    <n v="2019"/>
    <x v="9"/>
    <s v="Bebidas"/>
    <s v="Côte de Blaye"/>
    <n v="73"/>
    <n v="64"/>
    <n v="4672"/>
    <n v="5.0000000745058101E-2"/>
    <n v="560.64"/>
    <n v="5232.5899999992553"/>
  </r>
  <r>
    <d v="2019-11-11T00:00:00"/>
    <s v="Nov"/>
    <n v="2019"/>
    <x v="9"/>
    <s v="Mariscos"/>
    <s v="Sopa de almejas de Nueva Inglaterra de Jack"/>
    <n v="43"/>
    <n v="94"/>
    <n v="4042"/>
    <n v="0"/>
    <n v="485.03999999999996"/>
    <n v="4527.04"/>
  </r>
  <r>
    <d v="2019-11-11T00:00:00"/>
    <s v="Nov"/>
    <n v="2019"/>
    <x v="9"/>
    <s v="Condimentos"/>
    <s v="Gula Malacca"/>
    <n v="84"/>
    <n v="55"/>
    <n v="4620"/>
    <n v="5.0000000745058101E-2"/>
    <n v="554.4"/>
    <n v="5174.3499999992546"/>
  </r>
  <r>
    <d v="2019-11-11T00:00:00"/>
    <s v="Nov"/>
    <n v="2019"/>
    <x v="9"/>
    <s v="Condimentos"/>
    <s v="Salsa de pimiento picante de Luisiana"/>
    <n v="17"/>
    <n v="36"/>
    <n v="612"/>
    <n v="5.0000000745058101E-2"/>
    <n v="73.44"/>
    <n v="685.389999999255"/>
  </r>
  <r>
    <d v="2019-11-12T00:00:00"/>
    <s v="Nov"/>
    <n v="2019"/>
    <x v="46"/>
    <s v="Bebidas"/>
    <s v="Guaraná Fantástica"/>
    <n v="68"/>
    <n v="91"/>
    <n v="6188"/>
    <n v="0"/>
    <n v="742.56"/>
    <n v="6930.5599999999995"/>
  </r>
  <r>
    <d v="2019-11-12T00:00:00"/>
    <s v="Nov"/>
    <n v="2019"/>
    <x v="46"/>
    <s v="Carnes y Aves"/>
    <s v="Tourtière"/>
    <n v="93"/>
    <n v="48"/>
    <n v="4464"/>
    <n v="0.15000000596046401"/>
    <n v="535.67999999999995"/>
    <n v="4999.5299999940398"/>
  </r>
  <r>
    <d v="2019-11-13T00:00:00"/>
    <s v="Nov"/>
    <n v="2019"/>
    <x v="53"/>
    <s v="Productos Lácteos"/>
    <s v="Queso Cabrales"/>
    <n v="17"/>
    <n v="35"/>
    <n v="595"/>
    <n v="0.20000000298023199"/>
    <n v="71.399999999999991"/>
    <n v="666.19999999701975"/>
  </r>
  <r>
    <d v="2019-11-13T00:00:00"/>
    <s v="Nov"/>
    <n v="2019"/>
    <x v="53"/>
    <s v="Bebidas"/>
    <s v="Côte de Blaye"/>
    <n v="85"/>
    <n v="31"/>
    <n v="2635"/>
    <n v="0.20000000298023199"/>
    <n v="316.2"/>
    <n v="2950.9999999970196"/>
  </r>
  <r>
    <d v="2019-11-14T00:00:00"/>
    <s v="Nov"/>
    <n v="2019"/>
    <x v="42"/>
    <s v="Bebidas"/>
    <s v="Chai"/>
    <n v="28"/>
    <n v="79"/>
    <n v="2212"/>
    <n v="0"/>
    <n v="265.44"/>
    <n v="2477.44"/>
  </r>
  <r>
    <d v="2019-11-14T00:00:00"/>
    <s v="Nov"/>
    <n v="2019"/>
    <x v="42"/>
    <s v="Carnes y Aves"/>
    <s v="Salchicha asada de Turingia"/>
    <n v="11"/>
    <n v="83"/>
    <n v="913"/>
    <n v="0"/>
    <n v="109.56"/>
    <n v="1022.56"/>
  </r>
  <r>
    <d v="2019-11-15T00:00:00"/>
    <s v="Nov"/>
    <n v="2019"/>
    <x v="54"/>
    <s v="Bebidas"/>
    <s v="Guaraná Fantástica"/>
    <n v="100"/>
    <n v="22"/>
    <n v="2200"/>
    <n v="0"/>
    <n v="264"/>
    <n v="2464"/>
  </r>
  <r>
    <d v="2019-11-15T00:00:00"/>
    <s v="Nov"/>
    <n v="2019"/>
    <x v="54"/>
    <s v="Granos y Cereales"/>
    <s v="Ravioli Angelo"/>
    <n v="72"/>
    <n v="22"/>
    <n v="1584"/>
    <n v="0"/>
    <n v="190.07999999999998"/>
    <n v="1774.08"/>
  </r>
  <r>
    <d v="2019-11-18T00:00:00"/>
    <s v="Nov"/>
    <n v="2019"/>
    <x v="35"/>
    <s v="Productos Lácteos"/>
    <s v="Gorgonzola Telino"/>
    <n v="9"/>
    <n v="43"/>
    <n v="387"/>
    <n v="0"/>
    <n v="46.44"/>
    <n v="433.44"/>
  </r>
  <r>
    <d v="2019-11-18T00:00:00"/>
    <s v="Nov"/>
    <n v="2019"/>
    <x v="35"/>
    <s v="Carnes y Aves"/>
    <s v="Paté chino"/>
    <n v="91"/>
    <n v="96"/>
    <n v="8736"/>
    <n v="0"/>
    <n v="1048.32"/>
    <n v="9784.32"/>
  </r>
  <r>
    <d v="2019-11-18T00:00:00"/>
    <s v="Nov"/>
    <n v="2019"/>
    <x v="35"/>
    <s v="Productos Lácteos"/>
    <s v="Gudbrandsdalsost"/>
    <n v="44"/>
    <n v="53"/>
    <n v="2332"/>
    <n v="0"/>
    <n v="279.83999999999997"/>
    <n v="2611.84"/>
  </r>
  <r>
    <d v="2019-11-19T00:00:00"/>
    <s v="Nov"/>
    <n v="2019"/>
    <x v="29"/>
    <s v="Mariscos"/>
    <s v="Ikura"/>
    <n v="36"/>
    <n v="13"/>
    <n v="468"/>
    <n v="0.20000000298023199"/>
    <n v="56.16"/>
    <n v="523.95999999701974"/>
  </r>
  <r>
    <d v="2019-11-19T00:00:00"/>
    <s v="Nov"/>
    <n v="2019"/>
    <x v="29"/>
    <s v="Dulces"/>
    <s v="Gummär Gummibärchen"/>
    <n v="65"/>
    <n v="21"/>
    <n v="1365"/>
    <n v="0"/>
    <n v="163.79999999999998"/>
    <n v="1528.8"/>
  </r>
  <r>
    <d v="2019-11-19T00:00:00"/>
    <s v="Nov"/>
    <n v="2019"/>
    <x v="29"/>
    <s v="Productos Lácteos"/>
    <s v="Pierrot camembert"/>
    <n v="38"/>
    <n v="78"/>
    <n v="2964"/>
    <n v="0.20000000298023199"/>
    <n v="355.68"/>
    <n v="3319.4799999970196"/>
  </r>
  <r>
    <d v="2019-11-20T00:00:00"/>
    <s v="Nov"/>
    <n v="2019"/>
    <x v="52"/>
    <s v="Bebidas"/>
    <s v="Guaraná Fantástica"/>
    <n v="33"/>
    <n v="99"/>
    <n v="3267"/>
    <n v="5.0000000745058101E-2"/>
    <n v="392.03999999999996"/>
    <n v="3658.9899999992549"/>
  </r>
  <r>
    <d v="2019-11-20T00:00:00"/>
    <s v="Nov"/>
    <n v="2019"/>
    <x v="52"/>
    <s v="Bebidas"/>
    <s v="Sasquatch Ale"/>
    <n v="31"/>
    <n v="72"/>
    <n v="2232"/>
    <n v="5.0000000745058101E-2"/>
    <n v="267.83999999999997"/>
    <n v="2499.7899999992551"/>
  </r>
  <r>
    <d v="2019-11-20T00:00:00"/>
    <s v="Nov"/>
    <n v="2019"/>
    <x v="52"/>
    <s v="Mariscos"/>
    <s v="Arenque en escabeche"/>
    <n v="22"/>
    <n v="28"/>
    <n v="616"/>
    <n v="5.0000000745058101E-2"/>
    <n v="73.92"/>
    <n v="689.8699999992549"/>
  </r>
  <r>
    <d v="2019-11-21T00:00:00"/>
    <s v="Nov"/>
    <n v="2019"/>
    <x v="55"/>
    <s v="Dulces"/>
    <s v="Pavlova"/>
    <n v="38"/>
    <n v="30"/>
    <n v="1140"/>
    <n v="5.0000000745058101E-2"/>
    <n v="136.79999999999998"/>
    <n v="1276.7499999992549"/>
  </r>
  <r>
    <d v="2019-11-21T00:00:00"/>
    <s v="Nov"/>
    <n v="2019"/>
    <x v="55"/>
    <s v="Productos Lácteos"/>
    <s v="Gorgonzola Telino"/>
    <n v="51"/>
    <n v="42"/>
    <n v="2142"/>
    <n v="5.0000000745058101E-2"/>
    <n v="257.03999999999996"/>
    <n v="2398.9899999992549"/>
  </r>
  <r>
    <d v="2019-11-21T00:00:00"/>
    <s v="Nov"/>
    <n v="2019"/>
    <x v="55"/>
    <s v="Productos Lácteos"/>
    <s v="Pierrot camembert"/>
    <n v="75"/>
    <n v="68"/>
    <n v="5100"/>
    <n v="5.0000000745058101E-2"/>
    <n v="612"/>
    <n v="5711.9499999992549"/>
  </r>
  <r>
    <d v="2019-11-22T00:00:00"/>
    <s v="Nov"/>
    <n v="2019"/>
    <x v="15"/>
    <s v="Productos Alimenticios"/>
    <s v="Chucrut Rössle"/>
    <n v="43"/>
    <n v="38"/>
    <n v="1634"/>
    <n v="0"/>
    <n v="196.07999999999998"/>
    <n v="1830.08"/>
  </r>
  <r>
    <d v="2019-11-22T00:00:00"/>
    <s v="Nov"/>
    <n v="2019"/>
    <x v="15"/>
    <s v="Carnes y Aves"/>
    <s v="Salchicha asada de Turingia"/>
    <n v="34"/>
    <n v="45"/>
    <n v="1530"/>
    <n v="0"/>
    <n v="183.6"/>
    <n v="1713.6"/>
  </r>
  <r>
    <d v="2019-11-22T00:00:00"/>
    <s v="Nov"/>
    <n v="2019"/>
    <x v="15"/>
    <s v="Bebidas"/>
    <s v="Côte de Blaye"/>
    <n v="52"/>
    <n v="96"/>
    <n v="4992"/>
    <n v="0"/>
    <n v="599.04"/>
    <n v="5591.04"/>
  </r>
  <r>
    <d v="2019-11-22T00:00:00"/>
    <s v="Nov"/>
    <n v="2019"/>
    <x v="15"/>
    <s v="Dulces"/>
    <s v="Maxilaku"/>
    <n v="96"/>
    <n v="89"/>
    <n v="8544"/>
    <n v="0"/>
    <n v="1025.28"/>
    <n v="9569.2800000000007"/>
  </r>
  <r>
    <d v="2019-11-22T00:00:00"/>
    <s v="Nov"/>
    <n v="2019"/>
    <x v="15"/>
    <s v="Carnes y Aves"/>
    <s v="Tourtière"/>
    <n v="75"/>
    <n v="69"/>
    <n v="5175"/>
    <n v="0"/>
    <n v="621"/>
    <n v="5796"/>
  </r>
  <r>
    <d v="2019-11-22T00:00:00"/>
    <s v="Nov"/>
    <n v="2019"/>
    <x v="21"/>
    <s v="Bebidas"/>
    <s v="Chartreuse verde"/>
    <n v="6"/>
    <n v="36"/>
    <n v="216"/>
    <n v="0.10000000149011599"/>
    <n v="25.919999999999998"/>
    <n v="241.81999999850987"/>
  </r>
  <r>
    <d v="2019-11-22T00:00:00"/>
    <s v="Nov"/>
    <n v="2019"/>
    <x v="21"/>
    <s v="Productos Lácteos"/>
    <s v="Pierrot camembert"/>
    <n v="1"/>
    <n v="75"/>
    <n v="75"/>
    <n v="0.10000000149011599"/>
    <n v="9"/>
    <n v="83.899999998509884"/>
  </r>
  <r>
    <d v="2019-11-25T00:00:00"/>
    <s v="Nov"/>
    <n v="2019"/>
    <x v="47"/>
    <s v="Dulces"/>
    <s v="Crema de Turrón de Nueces NuNuCa"/>
    <n v="67"/>
    <n v="81"/>
    <n v="5427"/>
    <n v="0"/>
    <n v="651.24"/>
    <n v="6078.24"/>
  </r>
  <r>
    <d v="2019-11-25T00:00:00"/>
    <s v="Nov"/>
    <n v="2019"/>
    <x v="47"/>
    <s v="Productos Alimenticios"/>
    <s v="Manjimup Dry Apples"/>
    <n v="5"/>
    <n v="56"/>
    <n v="280"/>
    <n v="0"/>
    <n v="33.6"/>
    <n v="313.60000000000002"/>
  </r>
  <r>
    <d v="2019-11-25T00:00:00"/>
    <s v="Nov"/>
    <n v="2019"/>
    <x v="47"/>
    <s v="Carnes y Aves"/>
    <s v="Tourtière"/>
    <n v="69"/>
    <n v="84"/>
    <n v="5796"/>
    <n v="0"/>
    <n v="695.52"/>
    <n v="6491.52"/>
  </r>
  <r>
    <d v="2019-11-26T00:00:00"/>
    <s v="Nov"/>
    <n v="2019"/>
    <x v="56"/>
    <s v="Productos Lácteos"/>
    <s v="Gorgonzola Telino"/>
    <n v="57"/>
    <n v="57"/>
    <n v="3249"/>
    <n v="0"/>
    <n v="389.88"/>
    <n v="3638.88"/>
  </r>
  <r>
    <d v="2019-11-26T00:00:00"/>
    <s v="Nov"/>
    <n v="2019"/>
    <x v="56"/>
    <s v="Bebidas"/>
    <s v="Rhönbräu Klosterbier"/>
    <n v="81"/>
    <n v="31"/>
    <n v="2511"/>
    <n v="0"/>
    <n v="301.32"/>
    <n v="2812.32"/>
  </r>
  <r>
    <d v="2019-11-26T00:00:00"/>
    <s v="Nov"/>
    <n v="2019"/>
    <x v="56"/>
    <s v="Bebidas"/>
    <s v="Lakkalikööri"/>
    <n v="87"/>
    <n v="56"/>
    <n v="4872"/>
    <n v="0"/>
    <n v="584.64"/>
    <n v="5456.64"/>
  </r>
  <r>
    <d v="2019-11-26T00:00:00"/>
    <s v="Nov"/>
    <n v="2019"/>
    <x v="57"/>
    <s v="Productos Lácteos"/>
    <s v="Gudbrandsdalsost"/>
    <n v="40"/>
    <n v="64"/>
    <n v="2560"/>
    <n v="0"/>
    <n v="307.2"/>
    <n v="2867.2"/>
  </r>
  <r>
    <d v="2019-11-26T00:00:00"/>
    <s v="Nov"/>
    <n v="2019"/>
    <x v="57"/>
    <s v="Productos Lácteos"/>
    <s v="Queso crema"/>
    <n v="71"/>
    <n v="47"/>
    <n v="3337"/>
    <n v="0"/>
    <n v="400.44"/>
    <n v="3737.44"/>
  </r>
  <r>
    <d v="2019-11-27T00:00:00"/>
    <s v="Nov"/>
    <n v="2019"/>
    <x v="58"/>
    <s v="Productos Lácteos"/>
    <s v="Queso Cabrales"/>
    <n v="68"/>
    <n v="31"/>
    <n v="2108"/>
    <n v="0"/>
    <n v="252.95999999999998"/>
    <n v="2360.96"/>
  </r>
  <r>
    <d v="2019-11-28T00:00:00"/>
    <s v="Nov"/>
    <n v="2019"/>
    <x v="59"/>
    <s v="Condimentos"/>
    <s v="Salsa de pimiento picante de Luisiana"/>
    <n v="40"/>
    <n v="93"/>
    <n v="3720"/>
    <n v="0"/>
    <n v="446.4"/>
    <n v="4166.3999999999996"/>
  </r>
  <r>
    <d v="2019-11-28T00:00:00"/>
    <s v="Nov"/>
    <n v="2019"/>
    <x v="59"/>
    <s v="Condimentos"/>
    <s v="Salsa verde original de Frankfurt"/>
    <n v="21"/>
    <n v="35"/>
    <n v="735"/>
    <n v="0"/>
    <n v="88.2"/>
    <n v="823.2"/>
  </r>
  <r>
    <d v="2019-11-28T00:00:00"/>
    <s v="Nov"/>
    <n v="2019"/>
    <x v="60"/>
    <s v="Bebidas"/>
    <s v="Sasquatch Ale"/>
    <n v="43"/>
    <n v="50"/>
    <n v="2150"/>
    <n v="0"/>
    <n v="258"/>
    <n v="2408"/>
  </r>
  <r>
    <d v="2019-11-28T00:00:00"/>
    <s v="Nov"/>
    <n v="2019"/>
    <x v="60"/>
    <s v="Carnes y Aves"/>
    <s v="Tourtière"/>
    <n v="62"/>
    <n v="96"/>
    <n v="5952"/>
    <n v="0"/>
    <n v="714.24"/>
    <n v="6666.24"/>
  </r>
  <r>
    <d v="2019-11-28T00:00:00"/>
    <s v="Nov"/>
    <n v="2019"/>
    <x v="60"/>
    <s v="Condimentos"/>
    <s v="Salsa de pimiento picante de Luisiana"/>
    <n v="3"/>
    <n v="55"/>
    <n v="165"/>
    <n v="0"/>
    <n v="19.8"/>
    <n v="184.8"/>
  </r>
  <r>
    <d v="2019-11-28T00:00:00"/>
    <s v="Nov"/>
    <n v="2019"/>
    <x v="60"/>
    <s v="Condimentos"/>
    <s v="Salsa verde original de Frankfurt"/>
    <n v="59"/>
    <n v="71"/>
    <n v="4189"/>
    <n v="0"/>
    <n v="502.68"/>
    <n v="4691.68"/>
  </r>
  <r>
    <d v="2019-11-29T00:00:00"/>
    <s v="Nov"/>
    <n v="2019"/>
    <x v="9"/>
    <s v="Dulces"/>
    <s v="Scones de Sir Rodney"/>
    <n v="16"/>
    <n v="81"/>
    <n v="1296"/>
    <n v="0.10000000149011599"/>
    <n v="155.51999999999998"/>
    <n v="1451.4199999985099"/>
  </r>
  <r>
    <d v="2019-11-29T00:00:00"/>
    <s v="Nov"/>
    <n v="2019"/>
    <x v="9"/>
    <s v="Productos Alimenticios"/>
    <s v="Chucrut Rössle"/>
    <n v="93"/>
    <n v="41"/>
    <n v="3813"/>
    <n v="0.10000000149011599"/>
    <n v="457.56"/>
    <n v="4270.4599999985103"/>
  </r>
  <r>
    <d v="2019-11-29T00:00:00"/>
    <s v="Nov"/>
    <n v="2019"/>
    <x v="9"/>
    <s v="Granos y Cereales"/>
    <s v="Ravioli Angelo"/>
    <n v="84"/>
    <n v="60"/>
    <n v="5040"/>
    <n v="0"/>
    <n v="604.79999999999995"/>
    <n v="5644.8"/>
  </r>
  <r>
    <d v="2019-11-29T00:00:00"/>
    <s v="Nov"/>
    <n v="2019"/>
    <x v="9"/>
    <s v="Granos y Cereales"/>
    <s v="El buen Semmelknödel de Wimmer"/>
    <n v="7"/>
    <n v="48"/>
    <n v="336"/>
    <n v="0.10000000149011599"/>
    <n v="40.32"/>
    <n v="376.21999999850988"/>
  </r>
  <r>
    <d v="2019-12-02T00:00:00"/>
    <s v="Dic"/>
    <n v="2019"/>
    <x v="20"/>
    <s v="Carnes y Aves"/>
    <s v="Salchicha asada de Turingia"/>
    <n v="55"/>
    <n v="58"/>
    <n v="3190"/>
    <n v="0"/>
    <n v="382.8"/>
    <n v="3572.8"/>
  </r>
  <r>
    <d v="2019-12-02T00:00:00"/>
    <s v="Dic"/>
    <n v="2019"/>
    <x v="20"/>
    <s v="Granos y Cereales"/>
    <s v="Gnocchi di nonna Alice"/>
    <n v="18"/>
    <n v="64"/>
    <n v="1152"/>
    <n v="0.25"/>
    <n v="138.24"/>
    <n v="1289.99"/>
  </r>
  <r>
    <d v="2019-12-03T00:00:00"/>
    <s v="Dic"/>
    <n v="2019"/>
    <x v="5"/>
    <s v="Bebidas"/>
    <s v="Chai"/>
    <n v="6"/>
    <n v="40"/>
    <n v="240"/>
    <n v="0.15000000596046401"/>
    <n v="28.799999999999997"/>
    <n v="268.64999999403955"/>
  </r>
  <r>
    <d v="2019-12-03T00:00:00"/>
    <s v="Dic"/>
    <n v="2019"/>
    <x v="5"/>
    <s v="Granos y Cereales"/>
    <s v="El buen Semmelknödel de Wimmer"/>
    <n v="71"/>
    <n v="58"/>
    <n v="4118"/>
    <n v="0"/>
    <n v="494.15999999999997"/>
    <n v="4612.16"/>
  </r>
  <r>
    <d v="2019-12-03T00:00:00"/>
    <s v="Dic"/>
    <n v="2019"/>
    <x v="5"/>
    <s v="Productos Alimenticios"/>
    <s v="Tofu de larga duración"/>
    <n v="36"/>
    <n v="25"/>
    <n v="900"/>
    <n v="0.15000000596046401"/>
    <n v="108"/>
    <n v="1007.8499999940395"/>
  </r>
  <r>
    <d v="2019-12-03T00:00:00"/>
    <s v="Dic"/>
    <n v="2019"/>
    <x v="52"/>
    <s v="Mariscos"/>
    <s v="Arenque en escabeche"/>
    <n v="57"/>
    <n v="23"/>
    <n v="1311"/>
    <n v="0.20000000298023199"/>
    <n v="157.32"/>
    <n v="1468.1199999970197"/>
  </r>
  <r>
    <d v="2019-12-04T00:00:00"/>
    <s v="Dic"/>
    <n v="2019"/>
    <x v="61"/>
    <s v="Dulces"/>
    <s v="Mermelada de Sir Rodney"/>
    <n v="5"/>
    <n v="50"/>
    <n v="250"/>
    <n v="0.25"/>
    <n v="30"/>
    <n v="279.75"/>
  </r>
  <r>
    <d v="2019-12-04T00:00:00"/>
    <s v="Dic"/>
    <n v="2019"/>
    <x v="61"/>
    <s v="Bebidas"/>
    <s v="Côte de Blaye"/>
    <n v="93"/>
    <n v="31"/>
    <n v="2883"/>
    <n v="0.25"/>
    <n v="345.96"/>
    <n v="3228.71"/>
  </r>
  <r>
    <d v="2019-12-04T00:00:00"/>
    <s v="Dic"/>
    <n v="2019"/>
    <x v="61"/>
    <s v="Productos Lácteos"/>
    <s v="Pierrot camembert"/>
    <n v="12"/>
    <n v="15"/>
    <n v="180"/>
    <n v="0.25"/>
    <n v="21.599999999999998"/>
    <n v="201.35"/>
  </r>
  <r>
    <d v="2019-12-04T00:00:00"/>
    <s v="Dic"/>
    <n v="2019"/>
    <x v="61"/>
    <s v="Productos Lácteos"/>
    <s v="Mozzarella di Giovanni"/>
    <n v="17"/>
    <n v="86"/>
    <n v="1462"/>
    <n v="0.25"/>
    <n v="175.44"/>
    <n v="1637.19"/>
  </r>
  <r>
    <d v="2019-12-05T00:00:00"/>
    <s v="Dic"/>
    <n v="2019"/>
    <x v="34"/>
    <s v="Mariscos"/>
    <s v="Escorts borgoña"/>
    <n v="50"/>
    <n v="43"/>
    <n v="2150"/>
    <n v="0.20000000298023199"/>
    <n v="258"/>
    <n v="2407.7999999970198"/>
  </r>
  <r>
    <d v="2019-12-05T00:00:00"/>
    <s v="Dic"/>
    <n v="2019"/>
    <x v="34"/>
    <s v="Productos Lácteos"/>
    <s v="Queso crema"/>
    <n v="71"/>
    <n v="88"/>
    <n v="6248"/>
    <n v="0.20000000298023199"/>
    <n v="749.76"/>
    <n v="6997.55999999702"/>
  </r>
  <r>
    <d v="2019-12-05T00:00:00"/>
    <s v="Dic"/>
    <n v="2019"/>
    <x v="62"/>
    <s v="Productos Lácteos"/>
    <s v="Gorgonzola Telino"/>
    <n v="61"/>
    <n v="54"/>
    <n v="3294"/>
    <n v="0"/>
    <n v="395.28"/>
    <n v="3689.2799999999997"/>
  </r>
  <r>
    <d v="2019-12-05T00:00:00"/>
    <s v="Dic"/>
    <n v="2019"/>
    <x v="62"/>
    <s v="Mariscos"/>
    <s v="Escorts borgoña"/>
    <n v="35"/>
    <n v="29"/>
    <n v="1015"/>
    <n v="0"/>
    <n v="121.8"/>
    <n v="1136.8"/>
  </r>
  <r>
    <d v="2019-12-06T00:00:00"/>
    <s v="Dic"/>
    <n v="2019"/>
    <x v="63"/>
    <s v="Productos Alimenticios"/>
    <s v="tofu"/>
    <n v="77"/>
    <n v="83"/>
    <n v="6391"/>
    <n v="0"/>
    <n v="766.92"/>
    <n v="7157.92"/>
  </r>
  <r>
    <d v="2019-12-06T00:00:00"/>
    <s v="Dic"/>
    <n v="2019"/>
    <x v="63"/>
    <s v="Carnes y Aves"/>
    <s v="Tourtière"/>
    <n v="70"/>
    <n v="77"/>
    <n v="5390"/>
    <n v="0"/>
    <n v="646.79999999999995"/>
    <n v="6036.8"/>
  </r>
  <r>
    <d v="2019-12-09T00:00:00"/>
    <s v="Dic"/>
    <n v="2019"/>
    <x v="48"/>
    <s v="Productos Lácteos"/>
    <s v="Gorgonzola Telino"/>
    <n v="92"/>
    <n v="56"/>
    <n v="5152"/>
    <n v="5.0000000745058101E-2"/>
    <n v="618.24"/>
    <n v="5770.1899999992547"/>
  </r>
  <r>
    <d v="2019-12-09T00:00:00"/>
    <s v="Dic"/>
    <n v="2019"/>
    <x v="55"/>
    <s v="Productos Alimenticios"/>
    <s v="Chucrut Rössle"/>
    <n v="59"/>
    <n v="87"/>
    <n v="5133"/>
    <n v="0.15000000596046401"/>
    <n v="615.95999999999992"/>
    <n v="5748.8099999940396"/>
  </r>
  <r>
    <d v="2019-12-09T00:00:00"/>
    <s v="Dic"/>
    <n v="2019"/>
    <x v="55"/>
    <s v="Bebidas"/>
    <s v="Chartreuse verde"/>
    <n v="78"/>
    <n v="49"/>
    <n v="3822"/>
    <n v="0.15000000596046401"/>
    <n v="458.64"/>
    <n v="4280.4899999940399"/>
  </r>
  <r>
    <d v="2019-12-10T00:00:00"/>
    <s v="Dic"/>
    <n v="2019"/>
    <x v="14"/>
    <s v="Productos Lácteos"/>
    <s v="Queso crema"/>
    <n v="67"/>
    <n v="92"/>
    <n v="6164"/>
    <n v="0"/>
    <n v="739.68"/>
    <n v="6903.68"/>
  </r>
  <r>
    <d v="2019-12-11T00:00:00"/>
    <s v="Dic"/>
    <n v="2019"/>
    <x v="12"/>
    <s v="Mariscos"/>
    <s v="Sopa de almejas de Nueva Inglaterra de Jack"/>
    <n v="37"/>
    <n v="88"/>
    <n v="3256"/>
    <n v="0.10000000149011599"/>
    <n v="390.71999999999997"/>
    <n v="3646.6199999985097"/>
  </r>
  <r>
    <d v="2019-12-11T00:00:00"/>
    <s v="Dic"/>
    <n v="2019"/>
    <x v="12"/>
    <s v="Condimentos"/>
    <s v="Crema de verduras"/>
    <n v="18"/>
    <n v="71"/>
    <n v="1278"/>
    <n v="0.10000000149011599"/>
    <n v="153.35999999999999"/>
    <n v="1431.2599999985098"/>
  </r>
  <r>
    <d v="2019-12-11T00:00:00"/>
    <s v="Dic"/>
    <n v="2019"/>
    <x v="12"/>
    <s v="Condimentos"/>
    <s v="Salsa de pimiento picante de Luisiana"/>
    <n v="24"/>
    <n v="12"/>
    <n v="288"/>
    <n v="0.10000000149011599"/>
    <n v="34.56"/>
    <n v="322.45999999850989"/>
  </r>
  <r>
    <d v="2019-12-12T00:00:00"/>
    <s v="Dic"/>
    <n v="2019"/>
    <x v="34"/>
    <s v="Mariscos"/>
    <s v="Nord-Ost Matjeshering"/>
    <n v="8"/>
    <n v="100"/>
    <n v="800"/>
    <n v="0.10000000149011599"/>
    <n v="96"/>
    <n v="895.89999999850988"/>
  </r>
  <r>
    <d v="2019-12-12T00:00:00"/>
    <s v="Dic"/>
    <n v="2019"/>
    <x v="34"/>
    <s v="Carnes y Aves"/>
    <s v="Empanadas de Perth"/>
    <n v="4"/>
    <n v="32"/>
    <n v="128"/>
    <n v="0.10000000149011599"/>
    <n v="15.36"/>
    <n v="143.2599999985099"/>
  </r>
  <r>
    <d v="2019-12-12T00:00:00"/>
    <s v="Dic"/>
    <n v="2019"/>
    <x v="34"/>
    <s v="Productos Lácteos"/>
    <s v="Pierrot camembert"/>
    <n v="9"/>
    <n v="69"/>
    <n v="621"/>
    <n v="0.10000000149011599"/>
    <n v="74.52"/>
    <n v="695.41999999850987"/>
  </r>
  <r>
    <d v="2019-12-12T00:00:00"/>
    <s v="Dic"/>
    <n v="2019"/>
    <x v="34"/>
    <s v="Bebidas"/>
    <s v="Outback Lager"/>
    <n v="11"/>
    <n v="17"/>
    <n v="187"/>
    <n v="0"/>
    <n v="22.439999999999998"/>
    <n v="209.44"/>
  </r>
  <r>
    <d v="2019-12-12T00:00:00"/>
    <s v="Dic"/>
    <n v="2019"/>
    <x v="29"/>
    <s v="Productos Alimenticios"/>
    <s v="Tofu de larga duración"/>
    <n v="86"/>
    <n v="38"/>
    <n v="3268"/>
    <n v="0"/>
    <n v="392.15999999999997"/>
    <n v="3660.16"/>
  </r>
  <r>
    <d v="2019-12-13T00:00:00"/>
    <s v="Dic"/>
    <n v="2019"/>
    <x v="9"/>
    <s v="Condimentos"/>
    <s v="Mezcla de Gumbo del Chef Anton"/>
    <n v="40"/>
    <n v="31"/>
    <n v="1240"/>
    <n v="0"/>
    <n v="148.79999999999998"/>
    <n v="1388.8"/>
  </r>
  <r>
    <d v="2019-12-13T00:00:00"/>
    <s v="Dic"/>
    <n v="2019"/>
    <x v="9"/>
    <s v="Mariscos"/>
    <s v="Tigres de Carnarvon"/>
    <n v="29"/>
    <n v="79"/>
    <n v="2291"/>
    <n v="0"/>
    <n v="274.92"/>
    <n v="2565.92"/>
  </r>
  <r>
    <d v="2019-12-13T00:00:00"/>
    <s v="Dic"/>
    <n v="2019"/>
    <x v="9"/>
    <s v="Carnes y Aves"/>
    <s v="Salchicha asada de Turingia"/>
    <n v="79"/>
    <n v="26"/>
    <n v="2054"/>
    <n v="0"/>
    <n v="246.48"/>
    <n v="2300.48"/>
  </r>
  <r>
    <d v="2019-12-13T00:00:00"/>
    <s v="Dic"/>
    <n v="2019"/>
    <x v="9"/>
    <s v="Productos Lácteos"/>
    <s v="Queso de cabra"/>
    <n v="92"/>
    <n v="17"/>
    <n v="1564"/>
    <n v="0"/>
    <n v="187.68"/>
    <n v="1751.68"/>
  </r>
  <r>
    <d v="2019-12-13T00:00:00"/>
    <s v="Dic"/>
    <n v="2019"/>
    <x v="9"/>
    <s v="Productos Alimenticios"/>
    <s v="Tofu de larga duración"/>
    <n v="33"/>
    <n v="41"/>
    <n v="1353"/>
    <n v="0"/>
    <n v="162.35999999999999"/>
    <n v="1515.36"/>
  </r>
  <r>
    <d v="2019-12-16T00:00:00"/>
    <s v="Dic"/>
    <n v="2019"/>
    <x v="54"/>
    <s v="Mariscos"/>
    <s v="Konbu"/>
    <n v="4"/>
    <n v="26"/>
    <n v="104"/>
    <n v="0"/>
    <n v="12.48"/>
    <n v="116.48"/>
  </r>
  <r>
    <d v="2019-12-16T00:00:00"/>
    <s v="Dic"/>
    <n v="2019"/>
    <x v="54"/>
    <s v="Dulces"/>
    <s v="Valkoinen suklaa"/>
    <n v="10"/>
    <n v="79"/>
    <n v="790"/>
    <n v="0"/>
    <n v="94.8"/>
    <n v="884.8"/>
  </r>
  <r>
    <d v="2019-12-16T00:00:00"/>
    <s v="Dic"/>
    <n v="2019"/>
    <x v="54"/>
    <s v="Granos y Cereales"/>
    <s v="Gnocchi di nonna Alice"/>
    <n v="65"/>
    <n v="10"/>
    <n v="650"/>
    <n v="0"/>
    <n v="78"/>
    <n v="728"/>
  </r>
  <r>
    <d v="2019-12-16T00:00:00"/>
    <s v="Dic"/>
    <n v="2019"/>
    <x v="26"/>
    <s v="Dulces"/>
    <s v="Mermelada de Sir Rodney"/>
    <n v="29"/>
    <n v="37"/>
    <n v="1073"/>
    <n v="0"/>
    <n v="128.76"/>
    <n v="1201.76"/>
  </r>
  <r>
    <d v="2019-12-16T00:00:00"/>
    <s v="Dic"/>
    <n v="2019"/>
    <x v="26"/>
    <s v="Productos Lácteos"/>
    <s v="Pierrot camembert"/>
    <n v="73"/>
    <n v="96"/>
    <n v="7008"/>
    <n v="0"/>
    <n v="840.95999999999992"/>
    <n v="7848.96"/>
  </r>
  <r>
    <d v="2019-12-17T00:00:00"/>
    <s v="Dic"/>
    <n v="2019"/>
    <x v="20"/>
    <s v="Productos Alimenticios"/>
    <s v="Peras secas orgánicas del tío Bob"/>
    <n v="5"/>
    <n v="18"/>
    <n v="90"/>
    <n v="0.20000000298023199"/>
    <n v="10.799999999999999"/>
    <n v="100.59999999701976"/>
  </r>
  <r>
    <d v="2019-12-17T00:00:00"/>
    <s v="Dic"/>
    <n v="2019"/>
    <x v="20"/>
    <s v="Productos Lácteos"/>
    <s v="Pierrot camembert"/>
    <n v="54"/>
    <n v="83"/>
    <n v="4482"/>
    <n v="0.20000000298023199"/>
    <n v="537.84"/>
    <n v="5019.6399999970199"/>
  </r>
  <r>
    <d v="2019-12-17T00:00:00"/>
    <s v="Dic"/>
    <n v="2019"/>
    <x v="20"/>
    <s v="Dulces"/>
    <s v="Pan largo escocés"/>
    <n v="26"/>
    <n v="33"/>
    <n v="858"/>
    <n v="0.20000000298023199"/>
    <n v="102.96"/>
    <n v="960.7599999970198"/>
  </r>
  <r>
    <d v="2019-12-18T00:00:00"/>
    <s v="Dic"/>
    <n v="2019"/>
    <x v="51"/>
    <s v="Bebidas"/>
    <s v="Guaraná Fantástica"/>
    <n v="46"/>
    <n v="28"/>
    <n v="1288"/>
    <n v="0"/>
    <n v="154.56"/>
    <n v="1442.56"/>
  </r>
  <r>
    <d v="2019-12-18T00:00:00"/>
    <s v="Dic"/>
    <n v="2019"/>
    <x v="51"/>
    <s v="Bebidas"/>
    <s v="Sasquatch Ale"/>
    <n v="87"/>
    <n v="20"/>
    <n v="1740"/>
    <n v="0"/>
    <n v="208.79999999999998"/>
    <n v="1948.8"/>
  </r>
  <r>
    <d v="2019-12-18T00:00:00"/>
    <s v="Dic"/>
    <n v="2019"/>
    <x v="64"/>
    <s v="Bebidas"/>
    <s v="Guaraná Fantástica"/>
    <n v="58"/>
    <n v="32"/>
    <n v="1856"/>
    <n v="0"/>
    <n v="222.72"/>
    <n v="2078.7199999999998"/>
  </r>
  <r>
    <d v="2019-12-18T00:00:00"/>
    <s v="Dic"/>
    <n v="2019"/>
    <x v="64"/>
    <s v="Productos Alimenticios"/>
    <s v="Chucrut Rössle"/>
    <n v="4"/>
    <n v="74"/>
    <n v="296"/>
    <n v="0"/>
    <n v="35.519999999999996"/>
    <n v="331.52"/>
  </r>
  <r>
    <d v="2019-12-18T00:00:00"/>
    <s v="Dic"/>
    <n v="2019"/>
    <x v="64"/>
    <s v="Productos Lácteos"/>
    <s v="Raclette Courdavault"/>
    <n v="47"/>
    <n v="90"/>
    <n v="4230"/>
    <n v="0"/>
    <n v="507.59999999999997"/>
    <n v="4737.6000000000004"/>
  </r>
  <r>
    <d v="2019-12-18T00:00:00"/>
    <s v="Dic"/>
    <n v="2019"/>
    <x v="64"/>
    <s v="Productos Lácteos"/>
    <s v="Queso crema"/>
    <n v="56"/>
    <n v="73"/>
    <n v="4088"/>
    <n v="0"/>
    <n v="490.56"/>
    <n v="4578.5600000000004"/>
  </r>
  <r>
    <d v="2019-12-19T00:00:00"/>
    <s v="Dic"/>
    <n v="2019"/>
    <x v="55"/>
    <s v="Mariscos"/>
    <s v="Arenque ahumado"/>
    <n v="87"/>
    <n v="43"/>
    <n v="3741"/>
    <n v="0.20000000298023199"/>
    <n v="448.91999999999996"/>
    <n v="4189.7199999970198"/>
  </r>
  <r>
    <d v="2019-12-19T00:00:00"/>
    <s v="Dic"/>
    <n v="2019"/>
    <x v="55"/>
    <s v="Granos y Cereales"/>
    <s v="Filo Mix"/>
    <n v="93"/>
    <n v="71"/>
    <n v="6603"/>
    <n v="0.20000000298023199"/>
    <n v="792.36"/>
    <n v="7395.1599999970194"/>
  </r>
  <r>
    <d v="2019-12-19T00:00:00"/>
    <s v="Dic"/>
    <n v="2019"/>
    <x v="55"/>
    <s v="Carnes y Aves"/>
    <s v="Empanadas de Perth"/>
    <n v="91"/>
    <n v="46"/>
    <n v="4186"/>
    <n v="0"/>
    <n v="502.32"/>
    <n v="4688.32"/>
  </r>
  <r>
    <d v="2019-12-20T00:00:00"/>
    <s v="Dic"/>
    <n v="2019"/>
    <x v="65"/>
    <s v="Mariscos"/>
    <s v="Ikura"/>
    <n v="33"/>
    <n v="64"/>
    <n v="2112"/>
    <n v="0"/>
    <n v="253.44"/>
    <n v="2365.44"/>
  </r>
  <r>
    <d v="2019-12-20T00:00:00"/>
    <s v="Dic"/>
    <n v="2019"/>
    <x v="65"/>
    <s v="Carnes y Aves"/>
    <s v="Paté chino"/>
    <n v="10"/>
    <n v="72"/>
    <n v="720"/>
    <n v="0"/>
    <n v="86.399999999999991"/>
    <n v="806.4"/>
  </r>
  <r>
    <d v="2019-12-20T00:00:00"/>
    <s v="Dic"/>
    <n v="2019"/>
    <x v="65"/>
    <s v="Dulces"/>
    <s v="Tarta de azúcar"/>
    <n v="55"/>
    <n v="92"/>
    <n v="5060"/>
    <n v="0"/>
    <n v="607.19999999999993"/>
    <n v="5667.2"/>
  </r>
  <r>
    <d v="2019-12-20T00:00:00"/>
    <s v="Dic"/>
    <n v="2019"/>
    <x v="65"/>
    <s v="Bebidas"/>
    <s v="Outback Lager"/>
    <n v="48"/>
    <n v="51"/>
    <n v="2448"/>
    <n v="0"/>
    <n v="293.76"/>
    <n v="2741.76"/>
  </r>
  <r>
    <d v="2019-12-23T00:00:00"/>
    <s v="Dic"/>
    <n v="2019"/>
    <x v="9"/>
    <s v="Productos Lácteos"/>
    <s v="Gorgonzola Telino"/>
    <n v="65"/>
    <n v="38"/>
    <n v="2470"/>
    <n v="0.10000000149011599"/>
    <n v="296.39999999999998"/>
    <n v="2766.29999999851"/>
  </r>
  <r>
    <d v="2019-12-23T00:00:00"/>
    <s v="Dic"/>
    <n v="2019"/>
    <x v="9"/>
    <s v="Bebidas"/>
    <s v="Steeleye Stout"/>
    <n v="53"/>
    <n v="67"/>
    <n v="3551"/>
    <n v="0.10000000149011599"/>
    <n v="426.12"/>
    <n v="3977.0199999985098"/>
  </r>
  <r>
    <d v="2019-12-23T00:00:00"/>
    <s v="Dic"/>
    <n v="2019"/>
    <x v="9"/>
    <s v="Mariscos"/>
    <s v="arenque"/>
    <n v="95"/>
    <n v="94"/>
    <n v="8930"/>
    <n v="0"/>
    <n v="1071.5999999999999"/>
    <n v="10001.6"/>
  </r>
  <r>
    <d v="2019-12-23T00:00:00"/>
    <s v="Dic"/>
    <n v="2019"/>
    <x v="9"/>
    <s v="Productos Lácteos"/>
    <s v="Mozzarella di Giovanni"/>
    <n v="42"/>
    <n v="81"/>
    <n v="3402"/>
    <n v="0.10000000149011599"/>
    <n v="408.24"/>
    <n v="3810.1399999985097"/>
  </r>
  <r>
    <d v="2019-12-23T00:00:00"/>
    <s v="Dic"/>
    <n v="2019"/>
    <x v="56"/>
    <s v="Mariscos"/>
    <s v="Konbu"/>
    <n v="30"/>
    <n v="39"/>
    <n v="1170"/>
    <n v="0"/>
    <n v="140.4"/>
    <n v="1310.4000000000001"/>
  </r>
  <r>
    <d v="2019-12-24T00:00:00"/>
    <s v="Dic"/>
    <n v="2019"/>
    <x v="53"/>
    <s v="Productos Lácteos"/>
    <s v="Gudbrandsdalsost"/>
    <n v="31"/>
    <n v="90"/>
    <n v="2790"/>
    <n v="0"/>
    <n v="334.8"/>
    <n v="3124.8"/>
  </r>
  <r>
    <d v="2019-12-25T00:00:00"/>
    <s v="Dic"/>
    <n v="2019"/>
    <x v="44"/>
    <s v="Bebidas"/>
    <s v="Chang"/>
    <n v="88"/>
    <n v="100"/>
    <n v="8800"/>
    <n v="0.25"/>
    <n v="1056"/>
    <n v="9855.75"/>
  </r>
  <r>
    <d v="2019-12-25T00:00:00"/>
    <s v="Dic"/>
    <n v="2019"/>
    <x v="44"/>
    <s v="Productos Alimenticios"/>
    <s v="tofu"/>
    <n v="69"/>
    <n v="38"/>
    <n v="2622"/>
    <n v="0.25"/>
    <n v="314.64"/>
    <n v="2936.39"/>
  </r>
  <r>
    <d v="2019-12-25T00:00:00"/>
    <s v="Dic"/>
    <n v="2019"/>
    <x v="44"/>
    <s v="Dulces"/>
    <s v="Crema de Turrón de Nueces NuNuCa"/>
    <n v="74"/>
    <n v="93"/>
    <n v="6882"/>
    <n v="0.25"/>
    <n v="825.83999999999992"/>
    <n v="7707.59"/>
  </r>
  <r>
    <d v="2019-12-25T00:00:00"/>
    <s v="Dic"/>
    <n v="2019"/>
    <x v="44"/>
    <s v="Dulces"/>
    <s v="Gummär Gummibärchen"/>
    <n v="40"/>
    <n v="79"/>
    <n v="3160"/>
    <n v="0.25"/>
    <n v="379.2"/>
    <n v="3538.95"/>
  </r>
  <r>
    <d v="2019-12-25T00:00:00"/>
    <s v="Dic"/>
    <n v="2019"/>
    <x v="44"/>
    <s v="Productos Lácteos"/>
    <s v="Gorgonzola Telino"/>
    <n v="58"/>
    <n v="60"/>
    <n v="3480"/>
    <n v="0"/>
    <n v="417.59999999999997"/>
    <n v="3897.6"/>
  </r>
  <r>
    <d v="2019-12-25T00:00:00"/>
    <s v="Dic"/>
    <n v="2019"/>
    <x v="63"/>
    <s v="Mariscos"/>
    <s v="Konbu"/>
    <n v="59"/>
    <n v="64"/>
    <n v="3776"/>
    <n v="0"/>
    <n v="453.12"/>
    <n v="4229.12"/>
  </r>
  <r>
    <d v="2019-12-25T00:00:00"/>
    <s v="Dic"/>
    <n v="2019"/>
    <x v="63"/>
    <s v="Dulces"/>
    <s v="Tarta de azúcar"/>
    <n v="91"/>
    <n v="34"/>
    <n v="3094"/>
    <n v="0"/>
    <n v="371.28"/>
    <n v="3465.2799999999997"/>
  </r>
  <r>
    <d v="2019-12-26T00:00:00"/>
    <s v="Dic"/>
    <n v="2019"/>
    <x v="8"/>
    <s v="Mariscos"/>
    <s v="arenque"/>
    <n v="20"/>
    <n v="89"/>
    <n v="1780"/>
    <n v="0.10000000149011599"/>
    <n v="213.6"/>
    <n v="1993.4999999985098"/>
  </r>
  <r>
    <d v="2019-12-26T00:00:00"/>
    <s v="Dic"/>
    <n v="2019"/>
    <x v="8"/>
    <s v="Carnes y Aves"/>
    <s v="Empanadas de Perth"/>
    <n v="50"/>
    <n v="56"/>
    <n v="2800"/>
    <n v="0.10000000149011599"/>
    <n v="336"/>
    <n v="3135.8999999985099"/>
  </r>
  <r>
    <d v="2019-12-26T00:00:00"/>
    <s v="Dic"/>
    <n v="2019"/>
    <x v="8"/>
    <s v="Productos Lácteos"/>
    <s v="Gudbrandsdalsost"/>
    <n v="8"/>
    <n v="37"/>
    <n v="296"/>
    <n v="0"/>
    <n v="35.519999999999996"/>
    <n v="331.52"/>
  </r>
  <r>
    <d v="2019-12-27T00:00:00"/>
    <s v="Dic"/>
    <n v="2019"/>
    <x v="17"/>
    <s v="Granos y Cereales"/>
    <s v="Pan plano"/>
    <n v="34"/>
    <n v="54"/>
    <n v="1836"/>
    <n v="0"/>
    <n v="220.32"/>
    <n v="2056.3200000000002"/>
  </r>
  <r>
    <d v="2019-12-27T00:00:00"/>
    <s v="Dic"/>
    <n v="2019"/>
    <x v="17"/>
    <s v="Productos Lácteos"/>
    <s v="Queso crema"/>
    <n v="97"/>
    <n v="88"/>
    <n v="8536"/>
    <n v="0"/>
    <n v="1024.32"/>
    <n v="9560.32"/>
  </r>
  <r>
    <d v="2019-12-27T00:00:00"/>
    <s v="Dic"/>
    <n v="2019"/>
    <x v="17"/>
    <s v="Productos Lácteos"/>
    <s v="Mozzarella di Giovanni"/>
    <n v="21"/>
    <n v="100"/>
    <n v="2100"/>
    <n v="0"/>
    <n v="252"/>
    <n v="2352"/>
  </r>
  <r>
    <d v="2019-12-27T00:00:00"/>
    <s v="Dic"/>
    <n v="2019"/>
    <x v="49"/>
    <s v="Dulces"/>
    <s v="Scones de Sir Rodney"/>
    <n v="87"/>
    <n v="90"/>
    <n v="7830"/>
    <n v="0.15000000596046401"/>
    <n v="939.59999999999991"/>
    <n v="8769.4499999940399"/>
  </r>
  <r>
    <d v="2019-12-27T00:00:00"/>
    <s v="Dic"/>
    <n v="2019"/>
    <x v="49"/>
    <s v="Productos Alimenticios"/>
    <s v="Manjimup Dry Apples"/>
    <n v="90"/>
    <n v="71"/>
    <n v="6390"/>
    <n v="0.15000000596046401"/>
    <n v="766.8"/>
    <n v="7156.6499999940397"/>
  </r>
  <r>
    <d v="2019-12-30T00:00:00"/>
    <s v="Dic"/>
    <n v="2019"/>
    <x v="44"/>
    <s v="Bebidas"/>
    <s v="Steeleye Stout"/>
    <n v="69"/>
    <n v="64"/>
    <n v="4416"/>
    <n v="0"/>
    <n v="529.91999999999996"/>
    <n v="4945.92"/>
  </r>
  <r>
    <d v="2019-12-30T00:00:00"/>
    <s v="Dic"/>
    <n v="2019"/>
    <x v="44"/>
    <s v="Carnes y Aves"/>
    <s v="Paté chino"/>
    <n v="65"/>
    <n v="38"/>
    <n v="2470"/>
    <n v="0.10000000149011599"/>
    <n v="296.39999999999998"/>
    <n v="2766.29999999851"/>
  </r>
  <r>
    <d v="2019-12-31T00:00:00"/>
    <s v="Dic"/>
    <n v="2019"/>
    <x v="60"/>
    <s v="Dulces"/>
    <s v="Pan largo escocés"/>
    <n v="40"/>
    <n v="29"/>
    <n v="1160"/>
    <n v="0"/>
    <n v="139.19999999999999"/>
    <n v="1299.2"/>
  </r>
  <r>
    <d v="2019-12-31T00:00:00"/>
    <s v="Dic"/>
    <n v="2019"/>
    <x v="60"/>
    <s v="Productos Lácteos"/>
    <s v="Queso crema"/>
    <n v="77"/>
    <n v="52"/>
    <n v="4004"/>
    <n v="0"/>
    <n v="480.47999999999996"/>
    <n v="4484.4799999999996"/>
  </r>
  <r>
    <d v="2019-12-31T00:00:00"/>
    <s v="Dic"/>
    <n v="2019"/>
    <x v="60"/>
    <s v="Bebidas"/>
    <s v="Lakkalikööri"/>
    <n v="41"/>
    <n v="35"/>
    <n v="1435"/>
    <n v="0"/>
    <n v="172.2"/>
    <n v="1607.2"/>
  </r>
  <r>
    <d v="2019-12-31T00:00:00"/>
    <s v="Dic"/>
    <n v="2019"/>
    <x v="60"/>
    <s v="Condimentos"/>
    <s v="Salsa verde original de Frankfurt"/>
    <n v="97"/>
    <n v="42"/>
    <n v="4074"/>
    <n v="0"/>
    <n v="488.88"/>
    <n v="4562.88"/>
  </r>
  <r>
    <d v="2020-01-01T00:00:00"/>
    <s v="Ene"/>
    <n v="2020"/>
    <x v="57"/>
    <s v="Carnes y Aves"/>
    <s v="Salchicha asada de Turingia"/>
    <n v="67"/>
    <n v="50"/>
    <n v="3350"/>
    <n v="0"/>
    <n v="402"/>
    <n v="3752"/>
  </r>
  <r>
    <d v="2020-01-01T00:00:00"/>
    <s v="Ene"/>
    <n v="2020"/>
    <x v="57"/>
    <s v="Bebidas"/>
    <s v="Steeleye Stout"/>
    <n v="19"/>
    <n v="70"/>
    <n v="1330"/>
    <n v="0"/>
    <n v="159.6"/>
    <n v="1489.6"/>
  </r>
  <r>
    <d v="2020-01-01T00:00:00"/>
    <s v="Ene"/>
    <n v="2020"/>
    <x v="57"/>
    <s v="Dulces"/>
    <s v="Maxilaku"/>
    <n v="1"/>
    <n v="71"/>
    <n v="71"/>
    <n v="0"/>
    <n v="8.52"/>
    <n v="79.52"/>
  </r>
  <r>
    <d v="2020-01-01T00:00:00"/>
    <s v="Ene"/>
    <n v="2020"/>
    <x v="13"/>
    <s v="Mariscos"/>
    <s v="Nord-Ost Matjeshering"/>
    <n v="5"/>
    <n v="30"/>
    <n v="150"/>
    <n v="0"/>
    <n v="18"/>
    <n v="168"/>
  </r>
  <r>
    <d v="2020-01-01T00:00:00"/>
    <s v="Ene"/>
    <n v="2020"/>
    <x v="13"/>
    <s v="Granos y Cereales"/>
    <s v="Gnocchi di nonna Alice"/>
    <n v="91"/>
    <n v="81"/>
    <n v="7371"/>
    <n v="0"/>
    <n v="884.52"/>
    <n v="8255.52"/>
  </r>
  <r>
    <d v="2020-01-01T00:00:00"/>
    <s v="Ene"/>
    <n v="2020"/>
    <x v="13"/>
    <s v="Condimentos"/>
    <s v="Salsa de pimiento picante de Luisiana"/>
    <n v="16"/>
    <n v="59"/>
    <n v="944"/>
    <n v="0"/>
    <n v="113.28"/>
    <n v="1057.28"/>
  </r>
  <r>
    <d v="2020-01-01T00:00:00"/>
    <s v="Ene"/>
    <n v="2020"/>
    <x v="13"/>
    <s v="Productos Lácteos"/>
    <s v="Queso crema"/>
    <n v="29"/>
    <n v="66"/>
    <n v="1914"/>
    <n v="0"/>
    <n v="229.67999999999998"/>
    <n v="2143.6799999999998"/>
  </r>
  <r>
    <d v="2020-01-02T00:00:00"/>
    <s v="Ene"/>
    <n v="2020"/>
    <x v="9"/>
    <s v="Granos y Cereales"/>
    <s v="Pan plano"/>
    <n v="46"/>
    <n v="66"/>
    <n v="3036"/>
    <n v="0"/>
    <n v="364.32"/>
    <n v="3400.32"/>
  </r>
  <r>
    <d v="2020-01-02T00:00:00"/>
    <s v="Ene"/>
    <n v="2020"/>
    <x v="9"/>
    <s v="Condimentos"/>
    <s v="Crema de verduras"/>
    <n v="97"/>
    <n v="17"/>
    <n v="1649"/>
    <n v="0"/>
    <n v="197.88"/>
    <n v="1846.88"/>
  </r>
  <r>
    <d v="2020-01-03T00:00:00"/>
    <s v="Ene"/>
    <n v="2020"/>
    <x v="9"/>
    <s v="Dulces"/>
    <s v="Pavlova"/>
    <n v="72"/>
    <n v="99"/>
    <n v="7128"/>
    <n v="0.15000000596046401"/>
    <n v="855.36"/>
    <n v="7983.2099999940392"/>
  </r>
  <r>
    <d v="2020-01-03T00:00:00"/>
    <s v="Ene"/>
    <n v="2020"/>
    <x v="9"/>
    <s v="Dulces"/>
    <s v="Chocolate"/>
    <n v="62"/>
    <n v="26"/>
    <n v="1612"/>
    <n v="0.15000000596046401"/>
    <n v="193.44"/>
    <n v="1805.2899999940396"/>
  </r>
  <r>
    <d v="2020-01-03T00:00:00"/>
    <s v="Ene"/>
    <n v="2020"/>
    <x v="23"/>
    <s v="Dulces"/>
    <s v="Gummär Gummibärchen"/>
    <n v="13"/>
    <n v="64"/>
    <n v="832"/>
    <n v="5.0000000745058101E-2"/>
    <n v="99.84"/>
    <n v="931.78999999925497"/>
  </r>
  <r>
    <d v="2020-01-03T00:00:00"/>
    <s v="Ene"/>
    <n v="2020"/>
    <x v="23"/>
    <s v="Granos y Cereales"/>
    <s v="Fried Mee de hockey de Singapur"/>
    <n v="80"/>
    <n v="30"/>
    <n v="2400"/>
    <n v="5.0000000745058101E-2"/>
    <n v="288"/>
    <n v="2687.9499999992549"/>
  </r>
  <r>
    <d v="2020-01-03T00:00:00"/>
    <s v="Ene"/>
    <n v="2020"/>
    <x v="23"/>
    <s v="Dulces"/>
    <s v="Maxilaku"/>
    <n v="7"/>
    <n v="65"/>
    <n v="455"/>
    <n v="5.0000000745058101E-2"/>
    <n v="54.6"/>
    <n v="509.54999999925496"/>
  </r>
  <r>
    <d v="2020-01-06T00:00:00"/>
    <s v="Ene"/>
    <n v="2020"/>
    <x v="66"/>
    <s v="Condimentos"/>
    <s v="Jarabe de anís"/>
    <n v="44"/>
    <n v="56"/>
    <n v="2464"/>
    <n v="0"/>
    <n v="295.68"/>
    <n v="2759.68"/>
  </r>
  <r>
    <d v="2020-01-07T00:00:00"/>
    <s v="Ene"/>
    <n v="2020"/>
    <x v="61"/>
    <s v="Bebidas"/>
    <s v="Chai"/>
    <n v="58"/>
    <n v="16"/>
    <n v="928"/>
    <n v="0"/>
    <n v="111.36"/>
    <n v="1039.3599999999999"/>
  </r>
  <r>
    <d v="2020-01-07T00:00:00"/>
    <s v="Ene"/>
    <n v="2020"/>
    <x v="61"/>
    <s v="Dulces"/>
    <s v="Scones de Sir Rodney"/>
    <n v="30"/>
    <n v="60"/>
    <n v="1800"/>
    <n v="0.10000000149011599"/>
    <n v="216"/>
    <n v="2015.8999999985099"/>
  </r>
  <r>
    <d v="2020-01-07T00:00:00"/>
    <s v="Ene"/>
    <n v="2020"/>
    <x v="61"/>
    <s v="Productos Alimenticios"/>
    <s v="Chucrut Rössle"/>
    <n v="27"/>
    <n v="38"/>
    <n v="1026"/>
    <n v="0.10000000149011599"/>
    <n v="123.11999999999999"/>
    <n v="1149.0199999985098"/>
  </r>
  <r>
    <d v="2020-01-07T00:00:00"/>
    <s v="Ene"/>
    <n v="2020"/>
    <x v="61"/>
    <s v="Mariscos"/>
    <s v="Arenque en escabeche"/>
    <n v="68"/>
    <n v="51"/>
    <n v="3468"/>
    <n v="0.10000000149011599"/>
    <n v="416.15999999999997"/>
    <n v="3884.0599999985097"/>
  </r>
  <r>
    <d v="2020-01-07T00:00:00"/>
    <s v="Ene"/>
    <n v="2020"/>
    <x v="61"/>
    <s v="Mariscos"/>
    <s v="Carne de cangrejo de Boston"/>
    <n v="47"/>
    <n v="92"/>
    <n v="4324"/>
    <n v="0.10000000149011599"/>
    <n v="518.88"/>
    <n v="4842.77999999851"/>
  </r>
  <r>
    <d v="2020-01-07T00:00:00"/>
    <s v="Ene"/>
    <n v="2020"/>
    <x v="67"/>
    <s v="Productos Lácteos"/>
    <s v="Queso Cabrales"/>
    <n v="80"/>
    <n v="61"/>
    <n v="4880"/>
    <n v="0"/>
    <n v="585.6"/>
    <n v="5465.6"/>
  </r>
  <r>
    <d v="2020-01-07T00:00:00"/>
    <s v="Ene"/>
    <n v="2020"/>
    <x v="67"/>
    <s v="Productos Lácteos"/>
    <s v="Gudbrandsdalsost"/>
    <n v="85"/>
    <n v="34"/>
    <n v="2890"/>
    <n v="0"/>
    <n v="346.8"/>
    <n v="3236.8"/>
  </r>
  <r>
    <d v="2020-01-07T00:00:00"/>
    <s v="Ene"/>
    <n v="2020"/>
    <x v="67"/>
    <s v="Productos Lácteos"/>
    <s v="Queso crema"/>
    <n v="57"/>
    <n v="46"/>
    <n v="2622"/>
    <n v="0"/>
    <n v="314.64"/>
    <n v="2936.64"/>
  </r>
  <r>
    <d v="2020-01-08T00:00:00"/>
    <s v="Ene"/>
    <n v="2020"/>
    <x v="68"/>
    <s v="Mariscos"/>
    <s v="Gravad laxo"/>
    <n v="96"/>
    <n v="32"/>
    <n v="3072"/>
    <n v="0"/>
    <n v="368.64"/>
    <n v="3440.64"/>
  </r>
  <r>
    <d v="2020-01-08T00:00:00"/>
    <s v="Ene"/>
    <n v="2020"/>
    <x v="68"/>
    <s v="Carnes y Aves"/>
    <s v="Tourtière"/>
    <n v="78"/>
    <n v="92"/>
    <n v="7176"/>
    <n v="0"/>
    <n v="861.12"/>
    <n v="8037.12"/>
  </r>
  <r>
    <d v="2020-01-08T00:00:00"/>
    <s v="Ene"/>
    <n v="2020"/>
    <x v="68"/>
    <s v="Dulces"/>
    <s v="Tarta de azúcar"/>
    <n v="4"/>
    <n v="24"/>
    <n v="96"/>
    <n v="0"/>
    <n v="11.52"/>
    <n v="107.52"/>
  </r>
  <r>
    <d v="2020-01-09T00:00:00"/>
    <s v="Ene"/>
    <n v="2020"/>
    <x v="69"/>
    <s v="Productos Alimenticios"/>
    <s v="tofu"/>
    <n v="20"/>
    <n v="98"/>
    <n v="1960"/>
    <n v="0"/>
    <n v="235.2"/>
    <n v="2195.1999999999998"/>
  </r>
  <r>
    <d v="2020-01-09T00:00:00"/>
    <s v="Ene"/>
    <n v="2020"/>
    <x v="69"/>
    <s v="Dulces"/>
    <s v="Scones de Sir Rodney"/>
    <n v="29"/>
    <n v="51"/>
    <n v="1479"/>
    <n v="0"/>
    <n v="177.48"/>
    <n v="1656.48"/>
  </r>
  <r>
    <d v="2020-01-10T00:00:00"/>
    <s v="Ene"/>
    <n v="2020"/>
    <x v="65"/>
    <s v="Productos Lácteos"/>
    <s v="Queso de cabra"/>
    <n v="96"/>
    <n v="65"/>
    <n v="6240"/>
    <n v="0"/>
    <n v="748.8"/>
    <n v="6988.8"/>
  </r>
  <r>
    <d v="2020-01-10T00:00:00"/>
    <s v="Ene"/>
    <n v="2020"/>
    <x v="65"/>
    <s v="Productos Lácteos"/>
    <s v="Raclette Courdavault"/>
    <n v="36"/>
    <n v="47"/>
    <n v="1692"/>
    <n v="0"/>
    <n v="203.04"/>
    <n v="1895.04"/>
  </r>
  <r>
    <d v="2020-01-10T00:00:00"/>
    <s v="Ene"/>
    <n v="2020"/>
    <x v="65"/>
    <s v="Mariscos"/>
    <s v="Sopa de almejas de Nueva Inglaterra de Jack"/>
    <n v="5"/>
    <n v="19"/>
    <n v="95"/>
    <n v="0.20000000298023199"/>
    <n v="11.4"/>
    <n v="106.19999999701977"/>
  </r>
  <r>
    <d v="2020-01-10T00:00:00"/>
    <s v="Ene"/>
    <n v="2020"/>
    <x v="65"/>
    <s v="Condimentos"/>
    <s v="Gula Malacca"/>
    <n v="7"/>
    <n v="51"/>
    <n v="357"/>
    <n v="0.20000000298023199"/>
    <n v="42.839999999999996"/>
    <n v="399.63999999701974"/>
  </r>
  <r>
    <d v="2020-01-10T00:00:00"/>
    <s v="Ene"/>
    <n v="2020"/>
    <x v="65"/>
    <s v="Productos Lácteos"/>
    <s v="Raclette Courdavault"/>
    <n v="84"/>
    <n v="37"/>
    <n v="3108"/>
    <n v="0.20000000298023199"/>
    <n v="372.96"/>
    <n v="3480.7599999970198"/>
  </r>
  <r>
    <d v="2020-01-13T00:00:00"/>
    <s v="Ene"/>
    <n v="2020"/>
    <x v="16"/>
    <s v="Productos Alimenticios"/>
    <s v="tofu"/>
    <n v="19"/>
    <n v="58"/>
    <n v="1102"/>
    <n v="0.10000000149011599"/>
    <n v="132.24"/>
    <n v="1234.1399999985099"/>
  </r>
  <r>
    <d v="2020-01-14T00:00:00"/>
    <s v="Ene"/>
    <n v="2020"/>
    <x v="52"/>
    <s v="Bebidas"/>
    <s v="Chai"/>
    <n v="18"/>
    <n v="47"/>
    <n v="846"/>
    <n v="0"/>
    <n v="101.52"/>
    <n v="947.52"/>
  </r>
  <r>
    <d v="2020-01-14T00:00:00"/>
    <s v="Ene"/>
    <n v="2020"/>
    <x v="52"/>
    <s v="Dulces"/>
    <s v="Tarta de azúcar"/>
    <n v="33"/>
    <n v="60"/>
    <n v="1980"/>
    <n v="0"/>
    <n v="237.6"/>
    <n v="2217.6"/>
  </r>
  <r>
    <d v="2020-01-14T00:00:00"/>
    <s v="Ene"/>
    <n v="2020"/>
    <x v="52"/>
    <s v="Bebidas"/>
    <s v="Lakkalikööri"/>
    <n v="25"/>
    <n v="70"/>
    <n v="1750"/>
    <n v="0"/>
    <n v="210"/>
    <n v="1960"/>
  </r>
  <r>
    <d v="2020-01-14T00:00:00"/>
    <s v="Ene"/>
    <n v="2020"/>
    <x v="51"/>
    <s v="Dulces"/>
    <s v="Galletas de chocolate a la hora del té"/>
    <n v="61"/>
    <n v="89"/>
    <n v="5429"/>
    <n v="5.0000000745058101E-2"/>
    <n v="651.48"/>
    <n v="6080.4299999992545"/>
  </r>
  <r>
    <d v="2020-01-14T00:00:00"/>
    <s v="Ene"/>
    <n v="2020"/>
    <x v="51"/>
    <s v="Productos Lácteos"/>
    <s v="Queso de cabra"/>
    <n v="16"/>
    <n v="18"/>
    <n v="288"/>
    <n v="0"/>
    <n v="34.56"/>
    <n v="322.56"/>
  </r>
  <r>
    <d v="2020-01-15T00:00:00"/>
    <s v="Ene"/>
    <n v="2020"/>
    <x v="63"/>
    <s v="Carnes y Aves"/>
    <s v="Alice Cordero"/>
    <n v="61"/>
    <n v="63"/>
    <n v="3843"/>
    <n v="0"/>
    <n v="461.15999999999997"/>
    <n v="4304.16"/>
  </r>
  <r>
    <d v="2020-01-15T00:00:00"/>
    <s v="Ene"/>
    <n v="2020"/>
    <x v="63"/>
    <s v="Productos Lácteos"/>
    <s v="Queso de cabra"/>
    <n v="76"/>
    <n v="93"/>
    <n v="7068"/>
    <n v="0"/>
    <n v="848.16"/>
    <n v="7916.16"/>
  </r>
  <r>
    <d v="2020-01-16T00:00:00"/>
    <s v="Ene"/>
    <n v="2020"/>
    <x v="16"/>
    <s v="Dulces"/>
    <s v="Galletas de chocolate a la hora del té"/>
    <n v="65"/>
    <n v="30"/>
    <n v="1950"/>
    <n v="0"/>
    <n v="234"/>
    <n v="2184"/>
  </r>
  <r>
    <d v="2020-01-16T00:00:00"/>
    <s v="Ene"/>
    <n v="2020"/>
    <x v="16"/>
    <s v="Carnes y Aves"/>
    <s v="Empanadas de Perth"/>
    <n v="84"/>
    <n v="74"/>
    <n v="6216"/>
    <n v="0"/>
    <n v="745.92"/>
    <n v="6961.92"/>
  </r>
  <r>
    <d v="2020-01-16T00:00:00"/>
    <s v="Ene"/>
    <n v="2020"/>
    <x v="16"/>
    <s v="Granos y Cereales"/>
    <s v="Ravioli Angelo"/>
    <n v="57"/>
    <n v="36"/>
    <n v="2052"/>
    <n v="0"/>
    <n v="246.23999999999998"/>
    <n v="2298.2399999999998"/>
  </r>
  <r>
    <d v="2020-01-16T00:00:00"/>
    <s v="Ene"/>
    <n v="2020"/>
    <x v="50"/>
    <s v="Bebidas"/>
    <s v="Côte de Blaye"/>
    <n v="55"/>
    <n v="40"/>
    <n v="2200"/>
    <n v="0"/>
    <n v="264"/>
    <n v="2464"/>
  </r>
  <r>
    <d v="2020-01-16T00:00:00"/>
    <s v="Ene"/>
    <n v="2020"/>
    <x v="50"/>
    <s v="Mariscos"/>
    <s v="arenque"/>
    <n v="64"/>
    <n v="27"/>
    <n v="1728"/>
    <n v="0.25"/>
    <n v="207.35999999999999"/>
    <n v="1935.11"/>
  </r>
  <r>
    <d v="2020-01-16T00:00:00"/>
    <s v="Ene"/>
    <n v="2020"/>
    <x v="50"/>
    <s v="Dulces"/>
    <s v="Pan largo escocés"/>
    <n v="84"/>
    <n v="67"/>
    <n v="5628"/>
    <n v="0.25"/>
    <n v="675.36"/>
    <n v="6303.11"/>
  </r>
  <r>
    <d v="2020-01-16T00:00:00"/>
    <s v="Ene"/>
    <n v="2020"/>
    <x v="50"/>
    <s v="Condimentos"/>
    <s v="Salsa verde original de Frankfurt"/>
    <n v="63"/>
    <n v="29"/>
    <n v="1827"/>
    <n v="0"/>
    <n v="219.23999999999998"/>
    <n v="2046.24"/>
  </r>
  <r>
    <d v="2020-01-17T00:00:00"/>
    <s v="Ene"/>
    <n v="2020"/>
    <x v="21"/>
    <s v="Bebidas"/>
    <s v="Chang"/>
    <n v="22"/>
    <n v="35"/>
    <n v="770"/>
    <n v="0"/>
    <n v="92.399999999999991"/>
    <n v="862.4"/>
  </r>
  <r>
    <d v="2020-01-17T00:00:00"/>
    <s v="Ene"/>
    <n v="2020"/>
    <x v="21"/>
    <s v="Dulces"/>
    <s v="Tortas Zaanse"/>
    <n v="75"/>
    <n v="22"/>
    <n v="1650"/>
    <n v="0"/>
    <n v="198"/>
    <n v="1848"/>
  </r>
  <r>
    <d v="2020-01-17T00:00:00"/>
    <s v="Ene"/>
    <n v="2020"/>
    <x v="21"/>
    <s v="Condimentos"/>
    <s v="miel de maple"/>
    <n v="5"/>
    <n v="100"/>
    <n v="500"/>
    <n v="0"/>
    <n v="60"/>
    <n v="560"/>
  </r>
  <r>
    <d v="2020-01-17T00:00:00"/>
    <s v="Ene"/>
    <n v="2020"/>
    <x v="21"/>
    <s v="Productos Alimenticios"/>
    <s v="Tofu de larga duración"/>
    <n v="65"/>
    <n v="92"/>
    <n v="5980"/>
    <n v="0"/>
    <n v="717.6"/>
    <n v="6697.6"/>
  </r>
  <r>
    <d v="2020-01-20T00:00:00"/>
    <s v="Ene"/>
    <n v="2020"/>
    <x v="6"/>
    <s v="Productos Lácteos"/>
    <s v="Pierrot camembert"/>
    <n v="87"/>
    <n v="12"/>
    <n v="1044"/>
    <n v="5.0000000745058101E-2"/>
    <n v="125.28"/>
    <n v="1169.2299999992549"/>
  </r>
  <r>
    <d v="2020-01-20T00:00:00"/>
    <s v="Ene"/>
    <n v="2020"/>
    <x v="6"/>
    <s v="Productos Lácteos"/>
    <s v="Gudbrandsdalsost"/>
    <n v="70"/>
    <n v="12"/>
    <n v="840"/>
    <n v="5.0000000745058101E-2"/>
    <n v="100.8"/>
    <n v="940.7499999992549"/>
  </r>
  <r>
    <d v="2020-01-21T00:00:00"/>
    <s v="Ene"/>
    <n v="2020"/>
    <x v="7"/>
    <s v="Carnes y Aves"/>
    <s v="Mishi Kobe Niku"/>
    <n v="90"/>
    <n v="52"/>
    <n v="4680"/>
    <n v="0.10000000149011599"/>
    <n v="561.6"/>
    <n v="5241.4999999985102"/>
  </r>
  <r>
    <d v="2020-01-21T00:00:00"/>
    <s v="Ene"/>
    <n v="2020"/>
    <x v="7"/>
    <s v="Mariscos"/>
    <s v="Konbu"/>
    <n v="46"/>
    <n v="84"/>
    <n v="3864"/>
    <n v="0.10000000149011599"/>
    <n v="463.68"/>
    <n v="4327.5799999985102"/>
  </r>
  <r>
    <d v="2020-01-21T00:00:00"/>
    <s v="Ene"/>
    <n v="2020"/>
    <x v="7"/>
    <s v="Bebidas"/>
    <s v="Outback Lager"/>
    <n v="9"/>
    <n v="56"/>
    <n v="504"/>
    <n v="0.10000000149011599"/>
    <n v="60.48"/>
    <n v="564.3799999985099"/>
  </r>
  <r>
    <d v="2020-01-21T00:00:00"/>
    <s v="Ene"/>
    <n v="2020"/>
    <x v="7"/>
    <s v="Mariscos"/>
    <s v="Caviar rojo"/>
    <n v="8"/>
    <n v="16"/>
    <n v="128"/>
    <n v="0.10000000149011599"/>
    <n v="15.36"/>
    <n v="143.2599999985099"/>
  </r>
  <r>
    <d v="2020-01-21T00:00:00"/>
    <s v="Ene"/>
    <n v="2020"/>
    <x v="12"/>
    <s v="Dulces"/>
    <s v="Galletas de chocolate a la hora del té"/>
    <n v="10"/>
    <n v="45"/>
    <n v="450"/>
    <n v="0.15000000596046401"/>
    <n v="54"/>
    <n v="503.84999999403954"/>
  </r>
  <r>
    <d v="2020-01-21T00:00:00"/>
    <s v="Ene"/>
    <n v="2020"/>
    <x v="12"/>
    <s v="Dulces"/>
    <s v="Gummär Gummibärchen"/>
    <n v="36"/>
    <n v="60"/>
    <n v="2160"/>
    <n v="0"/>
    <n v="259.2"/>
    <n v="2419.1999999999998"/>
  </r>
  <r>
    <d v="2020-01-21T00:00:00"/>
    <s v="Ene"/>
    <n v="2020"/>
    <x v="12"/>
    <s v="Carnes y Aves"/>
    <s v="Empanadas de Perth"/>
    <n v="48"/>
    <n v="19"/>
    <n v="912"/>
    <n v="0.15000000596046401"/>
    <n v="109.44"/>
    <n v="1021.2899999940396"/>
  </r>
  <r>
    <d v="2020-01-21T00:00:00"/>
    <s v="Ene"/>
    <n v="2020"/>
    <x v="12"/>
    <s v="Condimentos"/>
    <s v="Salsa verde original de Frankfurt"/>
    <n v="74"/>
    <n v="32"/>
    <n v="2368"/>
    <n v="0.15000000596046401"/>
    <n v="284.15999999999997"/>
    <n v="2652.0099999940394"/>
  </r>
  <r>
    <d v="2020-01-22T00:00:00"/>
    <s v="Ene"/>
    <n v="2020"/>
    <x v="70"/>
    <s v="Dulces"/>
    <s v="Gummär Gummibärchen"/>
    <n v="59"/>
    <n v="27"/>
    <n v="1593"/>
    <n v="0"/>
    <n v="191.16"/>
    <n v="1784.16"/>
  </r>
  <r>
    <d v="2020-01-23T00:00:00"/>
    <s v="Ene"/>
    <n v="2020"/>
    <x v="71"/>
    <s v="Productos Lácteos"/>
    <s v="Gorgonzola Telino"/>
    <n v="80"/>
    <n v="59"/>
    <n v="4720"/>
    <n v="0"/>
    <n v="566.4"/>
    <n v="5286.4"/>
  </r>
  <r>
    <d v="2020-01-23T00:00:00"/>
    <s v="Ene"/>
    <n v="2020"/>
    <x v="71"/>
    <s v="Productos Lácteos"/>
    <s v="Raclette Courdavault"/>
    <n v="96"/>
    <n v="84"/>
    <n v="8064"/>
    <n v="0"/>
    <n v="967.68"/>
    <n v="9031.68"/>
  </r>
  <r>
    <d v="2020-01-23T00:00:00"/>
    <s v="Ene"/>
    <n v="2020"/>
    <x v="48"/>
    <s v="Bebidas"/>
    <s v="Steeleye Stout"/>
    <n v="74"/>
    <n v="38"/>
    <n v="2812"/>
    <n v="0.20000000298023199"/>
    <n v="337.44"/>
    <n v="3149.2399999970198"/>
  </r>
  <r>
    <d v="2020-01-23T00:00:00"/>
    <s v="Ene"/>
    <n v="2020"/>
    <x v="48"/>
    <s v="Bebidas"/>
    <s v="Côte de Blaye"/>
    <n v="20"/>
    <n v="12"/>
    <n v="240"/>
    <n v="0.20000000298023199"/>
    <n v="28.799999999999997"/>
    <n v="268.59999999701978"/>
  </r>
  <r>
    <d v="2020-01-23T00:00:00"/>
    <s v="Ene"/>
    <n v="2020"/>
    <x v="48"/>
    <s v="Dulces"/>
    <s v="Pan largo escocés"/>
    <n v="80"/>
    <n v="36"/>
    <n v="2880"/>
    <n v="0.20000000298023199"/>
    <n v="345.59999999999997"/>
    <n v="3225.3999999970197"/>
  </r>
  <r>
    <d v="2020-01-24T00:00:00"/>
    <s v="Ene"/>
    <n v="2020"/>
    <x v="52"/>
    <s v="Carnes y Aves"/>
    <s v="Paté chino"/>
    <n v="62"/>
    <n v="44"/>
    <n v="2728"/>
    <n v="0.25"/>
    <n v="327.36"/>
    <n v="3055.11"/>
  </r>
  <r>
    <d v="2020-01-24T00:00:00"/>
    <s v="Ene"/>
    <n v="2020"/>
    <x v="52"/>
    <s v="Bebidas"/>
    <s v="Lakkalikööri"/>
    <n v="3"/>
    <n v="19"/>
    <n v="57"/>
    <n v="0.25"/>
    <n v="6.84"/>
    <n v="63.59"/>
  </r>
  <r>
    <d v="2020-01-27T00:00:00"/>
    <s v="Ene"/>
    <n v="2020"/>
    <x v="59"/>
    <s v="Granos y Cereales"/>
    <s v="Gnocchi di nonna Alice"/>
    <n v="62"/>
    <n v="97"/>
    <n v="6014"/>
    <n v="0"/>
    <n v="721.68"/>
    <n v="6735.68"/>
  </r>
  <r>
    <d v="2020-01-27T00:00:00"/>
    <s v="Ene"/>
    <n v="2020"/>
    <x v="59"/>
    <s v="Granos y Cereales"/>
    <s v="El buen Semmelknödel de Wimmer"/>
    <n v="83"/>
    <n v="12"/>
    <n v="996"/>
    <n v="0"/>
    <n v="119.52"/>
    <n v="1115.52"/>
  </r>
  <r>
    <d v="2020-01-27T00:00:00"/>
    <s v="Ene"/>
    <n v="2020"/>
    <x v="53"/>
    <s v="Productos Alimenticios"/>
    <s v="tofu"/>
    <n v="18"/>
    <n v="80"/>
    <n v="1440"/>
    <n v="0"/>
    <n v="172.79999999999998"/>
    <n v="1612.8"/>
  </r>
  <r>
    <d v="2020-01-28T00:00:00"/>
    <s v="Ene"/>
    <n v="2020"/>
    <x v="31"/>
    <s v="Mariscos"/>
    <s v="arenque"/>
    <n v="65"/>
    <n v="41"/>
    <n v="2665"/>
    <n v="0"/>
    <n v="319.8"/>
    <n v="2984.8"/>
  </r>
  <r>
    <d v="2020-01-29T00:00:00"/>
    <s v="Ene"/>
    <n v="2020"/>
    <x v="34"/>
    <s v="Dulces"/>
    <s v="Valkoinen suklaa"/>
    <n v="64"/>
    <n v="94"/>
    <n v="6016"/>
    <n v="0"/>
    <n v="721.92"/>
    <n v="6737.92"/>
  </r>
  <r>
    <d v="2020-01-29T00:00:00"/>
    <s v="Ene"/>
    <n v="2020"/>
    <x v="34"/>
    <s v="Condimentos"/>
    <s v="Crema de verduras"/>
    <n v="28"/>
    <n v="83"/>
    <n v="2324"/>
    <n v="0.25"/>
    <n v="278.88"/>
    <n v="2602.63"/>
  </r>
  <r>
    <d v="2020-01-30T00:00:00"/>
    <s v="Ene"/>
    <n v="2020"/>
    <x v="9"/>
    <s v="Carnes y Aves"/>
    <s v="Alice Cordero"/>
    <n v="65"/>
    <n v="82"/>
    <n v="5330"/>
    <n v="0.20000000298023199"/>
    <n v="639.6"/>
    <n v="5969.3999999970201"/>
  </r>
  <r>
    <d v="2020-01-30T00:00:00"/>
    <s v="Ene"/>
    <n v="2020"/>
    <x v="9"/>
    <s v="Dulces"/>
    <s v="Scones de Sir Rodney"/>
    <n v="69"/>
    <n v="50"/>
    <n v="3450"/>
    <n v="0"/>
    <n v="414"/>
    <n v="3864"/>
  </r>
  <r>
    <d v="2020-01-30T00:00:00"/>
    <s v="Ene"/>
    <n v="2020"/>
    <x v="9"/>
    <s v="Granos y Cereales"/>
    <s v="Gnocchi di nonna Alice"/>
    <n v="65"/>
    <n v="68"/>
    <n v="4420"/>
    <n v="0"/>
    <n v="530.4"/>
    <n v="4950.3999999999996"/>
  </r>
  <r>
    <d v="2020-01-30T00:00:00"/>
    <s v="Ene"/>
    <n v="2020"/>
    <x v="9"/>
    <s v="Productos Lácteos"/>
    <s v="Raclette Courdavault"/>
    <n v="74"/>
    <n v="97"/>
    <n v="7178"/>
    <n v="0.20000000298023199"/>
    <n v="861.36"/>
    <n v="8039.1599999970194"/>
  </r>
  <r>
    <d v="2020-01-30T00:00:00"/>
    <s v="Ene"/>
    <n v="2020"/>
    <x v="65"/>
    <s v="Carnes y Aves"/>
    <s v="Alice Cordero"/>
    <n v="36"/>
    <n v="78"/>
    <n v="2808"/>
    <n v="0.25"/>
    <n v="336.96"/>
    <n v="3144.71"/>
  </r>
  <r>
    <d v="2020-01-30T00:00:00"/>
    <s v="Ene"/>
    <n v="2020"/>
    <x v="65"/>
    <s v="Mariscos"/>
    <s v="Carne de cangrejo de Boston"/>
    <n v="36"/>
    <n v="78"/>
    <n v="2808"/>
    <n v="0.25"/>
    <n v="336.96"/>
    <n v="3144.71"/>
  </r>
  <r>
    <d v="2020-01-30T00:00:00"/>
    <s v="Ene"/>
    <n v="2020"/>
    <x v="65"/>
    <s v="Dulces"/>
    <s v="Tortas Zaanse"/>
    <n v="68"/>
    <n v="71"/>
    <n v="4828"/>
    <n v="0.25"/>
    <n v="579.36"/>
    <n v="5407.11"/>
  </r>
  <r>
    <d v="2020-01-31T00:00:00"/>
    <s v="Ene"/>
    <n v="2020"/>
    <x v="20"/>
    <s v="Dulces"/>
    <s v="Gummär Gummibärchen"/>
    <n v="7"/>
    <n v="35"/>
    <n v="245"/>
    <n v="0"/>
    <n v="29.4"/>
    <n v="274.39999999999998"/>
  </r>
  <r>
    <d v="2020-01-31T00:00:00"/>
    <s v="Ene"/>
    <n v="2020"/>
    <x v="20"/>
    <s v="Carnes y Aves"/>
    <s v="Tourtière"/>
    <n v="48"/>
    <n v="64"/>
    <n v="3072"/>
    <n v="0"/>
    <n v="368.64"/>
    <n v="3440.64"/>
  </r>
  <r>
    <d v="2020-02-03T00:00:00"/>
    <s v="Feb"/>
    <n v="2020"/>
    <x v="49"/>
    <s v="Granos y Cereales"/>
    <s v="Gnocchi di nonna Alice"/>
    <n v="92"/>
    <n v="79"/>
    <n v="7268"/>
    <n v="0"/>
    <n v="872.16"/>
    <n v="8140.16"/>
  </r>
  <r>
    <d v="2020-02-03T00:00:00"/>
    <s v="Feb"/>
    <n v="2020"/>
    <x v="14"/>
    <s v="Productos Lácteos"/>
    <s v="Queso Cabrales"/>
    <n v="65"/>
    <n v="11"/>
    <n v="715"/>
    <n v="0"/>
    <n v="85.8"/>
    <n v="800.8"/>
  </r>
  <r>
    <d v="2020-02-03T00:00:00"/>
    <s v="Feb"/>
    <n v="2020"/>
    <x v="14"/>
    <s v="Bebidas"/>
    <s v="Lakkalikööri"/>
    <n v="31"/>
    <n v="80"/>
    <n v="2480"/>
    <n v="0.15000000596046401"/>
    <n v="297.59999999999997"/>
    <n v="2777.4499999940394"/>
  </r>
  <r>
    <d v="2020-02-04T00:00:00"/>
    <s v="Feb"/>
    <n v="2020"/>
    <x v="72"/>
    <s v="Bebidas"/>
    <s v="Chang"/>
    <n v="28"/>
    <n v="65"/>
    <n v="1820"/>
    <n v="0"/>
    <n v="218.4"/>
    <n v="2038.4"/>
  </r>
  <r>
    <d v="2020-02-04T00:00:00"/>
    <s v="Feb"/>
    <n v="2020"/>
    <x v="72"/>
    <s v="Granos y Cereales"/>
    <s v="Pan crujiente de Gustaf"/>
    <n v="55"/>
    <n v="30"/>
    <n v="1650"/>
    <n v="0"/>
    <n v="198"/>
    <n v="1848"/>
  </r>
  <r>
    <d v="2020-02-04T00:00:00"/>
    <s v="Feb"/>
    <n v="2020"/>
    <x v="72"/>
    <s v="Productos Lácteos"/>
    <s v="Mozzarella di Giovanni"/>
    <n v="27"/>
    <n v="51"/>
    <n v="1377"/>
    <n v="0"/>
    <n v="165.23999999999998"/>
    <n v="1542.24"/>
  </r>
  <r>
    <d v="2020-02-05T00:00:00"/>
    <s v="Feb"/>
    <n v="2020"/>
    <x v="15"/>
    <s v="Mariscos"/>
    <s v="arenque"/>
    <n v="48"/>
    <n v="86"/>
    <n v="4128"/>
    <n v="0"/>
    <n v="495.35999999999996"/>
    <n v="4623.3599999999997"/>
  </r>
  <r>
    <d v="2020-02-05T00:00:00"/>
    <s v="Feb"/>
    <n v="2020"/>
    <x v="15"/>
    <s v="Granos y Cereales"/>
    <s v="Gnocchi di nonna Alice"/>
    <n v="28"/>
    <n v="53"/>
    <n v="1484"/>
    <n v="0.10000000149011599"/>
    <n v="178.07999999999998"/>
    <n v="1661.9799999985098"/>
  </r>
  <r>
    <d v="2020-02-05T00:00:00"/>
    <s v="Feb"/>
    <n v="2020"/>
    <x v="15"/>
    <s v="Granos y Cereales"/>
    <s v="El buen Semmelknödel de Wimmer"/>
    <n v="29"/>
    <n v="51"/>
    <n v="1479"/>
    <n v="0.10000000149011599"/>
    <n v="177.48"/>
    <n v="1656.3799999985099"/>
  </r>
  <r>
    <d v="2020-02-05T00:00:00"/>
    <s v="Feb"/>
    <n v="2020"/>
    <x v="15"/>
    <s v="Bebidas"/>
    <s v="Rhönbräu Klosterbier"/>
    <n v="60"/>
    <n v="91"/>
    <n v="5460"/>
    <n v="0.10000000149011599"/>
    <n v="655.19999999999993"/>
    <n v="6115.0999999985097"/>
  </r>
  <r>
    <d v="2020-02-05T00:00:00"/>
    <s v="Feb"/>
    <n v="2020"/>
    <x v="16"/>
    <s v="Carnes y Aves"/>
    <s v="Empanadas de Perth"/>
    <n v="48"/>
    <n v="91"/>
    <n v="4368"/>
    <n v="0"/>
    <n v="524.16"/>
    <n v="4892.16"/>
  </r>
  <r>
    <d v="2020-02-06T00:00:00"/>
    <s v="Feb"/>
    <n v="2020"/>
    <x v="73"/>
    <s v="Dulces"/>
    <s v="Galletas de chocolate a la hora del té"/>
    <n v="83"/>
    <n v="21"/>
    <n v="1743"/>
    <n v="0.20000000298023199"/>
    <n v="209.16"/>
    <n v="1951.9599999970198"/>
  </r>
  <r>
    <d v="2020-02-06T00:00:00"/>
    <s v="Feb"/>
    <n v="2020"/>
    <x v="73"/>
    <s v="Bebidas"/>
    <s v="Sasquatch Ale"/>
    <n v="63"/>
    <n v="43"/>
    <n v="2709"/>
    <n v="0.20000000298023199"/>
    <n v="325.08"/>
    <n v="3033.8799999970197"/>
  </r>
  <r>
    <d v="2020-02-06T00:00:00"/>
    <s v="Feb"/>
    <n v="2020"/>
    <x v="73"/>
    <s v="Granos y Cereales"/>
    <s v="Ravioli Angelo"/>
    <n v="22"/>
    <n v="19"/>
    <n v="418"/>
    <n v="0.20000000298023199"/>
    <n v="50.16"/>
    <n v="467.95999999701974"/>
  </r>
  <r>
    <d v="2020-02-07T00:00:00"/>
    <s v="Feb"/>
    <n v="2020"/>
    <x v="48"/>
    <s v="Productos Lácteos"/>
    <s v="Queso Manchego La Pastora"/>
    <n v="50"/>
    <n v="73"/>
    <n v="3650"/>
    <n v="0"/>
    <n v="438"/>
    <n v="4088"/>
  </r>
  <r>
    <d v="2020-02-07T00:00:00"/>
    <s v="Feb"/>
    <n v="2020"/>
    <x v="48"/>
    <s v="Dulces"/>
    <s v="Pavlova"/>
    <n v="91"/>
    <n v="38"/>
    <n v="3458"/>
    <n v="0"/>
    <n v="414.96"/>
    <n v="3872.96"/>
  </r>
  <r>
    <d v="2020-02-07T00:00:00"/>
    <s v="Feb"/>
    <n v="2020"/>
    <x v="48"/>
    <s v="Granos y Cereales"/>
    <s v="El buen Semmelknödel de Wimmer"/>
    <n v="47"/>
    <n v="69"/>
    <n v="3243"/>
    <n v="0"/>
    <n v="389.15999999999997"/>
    <n v="3632.16"/>
  </r>
  <r>
    <d v="2020-02-07T00:00:00"/>
    <s v="Feb"/>
    <n v="2020"/>
    <x v="48"/>
    <s v="Productos Alimenticios"/>
    <s v="Tofu de larga duración"/>
    <n v="82"/>
    <n v="32"/>
    <n v="2624"/>
    <n v="0"/>
    <n v="314.88"/>
    <n v="2938.88"/>
  </r>
  <r>
    <d v="2020-02-10T00:00:00"/>
    <s v="Feb"/>
    <n v="2020"/>
    <x v="44"/>
    <s v="Bebidas"/>
    <s v="Chang"/>
    <n v="81"/>
    <n v="20"/>
    <n v="1620"/>
    <n v="0.15000000596046401"/>
    <n v="194.4"/>
    <n v="1814.2499999940396"/>
  </r>
  <r>
    <d v="2020-02-10T00:00:00"/>
    <s v="Feb"/>
    <n v="2020"/>
    <x v="44"/>
    <s v="Dulces"/>
    <s v="Pavlova"/>
    <n v="22"/>
    <n v="12"/>
    <n v="264"/>
    <n v="0.15000000596046401"/>
    <n v="31.68"/>
    <n v="295.52999999403954"/>
  </r>
  <r>
    <d v="2020-02-10T00:00:00"/>
    <s v="Feb"/>
    <n v="2020"/>
    <x v="44"/>
    <s v="Carnes y Aves"/>
    <s v="Salchicha asada de Turingia"/>
    <n v="84"/>
    <n v="22"/>
    <n v="1848"/>
    <n v="0.15000000596046401"/>
    <n v="221.76"/>
    <n v="2069.6099999940398"/>
  </r>
  <r>
    <d v="2020-02-10T00:00:00"/>
    <s v="Feb"/>
    <n v="2020"/>
    <x v="44"/>
    <s v="Condimentos"/>
    <s v="miel de maple"/>
    <n v="78"/>
    <n v="78"/>
    <n v="6084"/>
    <n v="0.15000000596046401"/>
    <n v="730.07999999999993"/>
    <n v="6813.9299999940395"/>
  </r>
  <r>
    <d v="2020-02-10T00:00:00"/>
    <s v="Feb"/>
    <n v="2020"/>
    <x v="11"/>
    <s v="Dulces"/>
    <s v="Chocolate Schoggi"/>
    <n v="68"/>
    <n v="99"/>
    <n v="6732"/>
    <n v="0"/>
    <n v="807.83999999999992"/>
    <n v="7539.84"/>
  </r>
  <r>
    <d v="2020-02-11T00:00:00"/>
    <s v="Feb"/>
    <n v="2020"/>
    <x v="9"/>
    <s v="Productos Lácteos"/>
    <s v="Queso Cabrales"/>
    <n v="80"/>
    <n v="13"/>
    <n v="1040"/>
    <n v="0"/>
    <n v="124.8"/>
    <n v="1164.8"/>
  </r>
  <r>
    <d v="2020-02-11T00:00:00"/>
    <s v="Feb"/>
    <n v="2020"/>
    <x v="9"/>
    <s v="Carnes y Aves"/>
    <s v="Tourtière"/>
    <n v="70"/>
    <n v="79"/>
    <n v="5530"/>
    <n v="0"/>
    <n v="663.6"/>
    <n v="6193.6"/>
  </r>
  <r>
    <d v="2020-02-11T00:00:00"/>
    <s v="Feb"/>
    <n v="2020"/>
    <x v="9"/>
    <s v="Condimentos"/>
    <s v="Okra picante de Louisiana"/>
    <n v="77"/>
    <n v="72"/>
    <n v="5544"/>
    <n v="0"/>
    <n v="665.28"/>
    <n v="6209.28"/>
  </r>
  <r>
    <d v="2020-02-12T00:00:00"/>
    <s v="Feb"/>
    <n v="2020"/>
    <x v="31"/>
    <s v="Productos Lácteos"/>
    <s v="Queso Cabrales"/>
    <n v="68"/>
    <n v="28"/>
    <n v="1904"/>
    <n v="0.20000000298023199"/>
    <n v="228.48"/>
    <n v="2132.2799999970198"/>
  </r>
  <r>
    <d v="2020-02-12T00:00:00"/>
    <s v="Feb"/>
    <n v="2020"/>
    <x v="31"/>
    <s v="Productos Alimenticios"/>
    <s v="Chucrut Rössle"/>
    <n v="54"/>
    <n v="50"/>
    <n v="2700"/>
    <n v="0"/>
    <n v="324"/>
    <n v="3024"/>
  </r>
  <r>
    <d v="2020-02-12T00:00:00"/>
    <s v="Feb"/>
    <n v="2020"/>
    <x v="26"/>
    <s v="Carnes y Aves"/>
    <s v="Alice Cordero"/>
    <n v="89"/>
    <n v="67"/>
    <n v="5963"/>
    <n v="0"/>
    <n v="715.56"/>
    <n v="6678.5599999999995"/>
  </r>
  <r>
    <d v="2020-02-12T00:00:00"/>
    <s v="Feb"/>
    <n v="2020"/>
    <x v="26"/>
    <s v="Dulces"/>
    <s v="Gummär Gummibärchen"/>
    <n v="98"/>
    <n v="56"/>
    <n v="5488"/>
    <n v="0"/>
    <n v="658.56"/>
    <n v="6146.5599999999995"/>
  </r>
  <r>
    <d v="2020-02-12T00:00:00"/>
    <s v="Feb"/>
    <n v="2020"/>
    <x v="26"/>
    <s v="Bebidas"/>
    <s v="Steeleye Stout"/>
    <n v="84"/>
    <n v="59"/>
    <n v="4956"/>
    <n v="0"/>
    <n v="594.72"/>
    <n v="5550.72"/>
  </r>
  <r>
    <d v="2020-02-12T00:00:00"/>
    <s v="Feb"/>
    <n v="2020"/>
    <x v="26"/>
    <s v="Mariscos"/>
    <s v="Sopa de almejas de Nueva Inglaterra de Jack"/>
    <n v="10"/>
    <n v="60"/>
    <n v="600"/>
    <n v="0"/>
    <n v="72"/>
    <n v="672"/>
  </r>
  <r>
    <d v="2020-02-13T00:00:00"/>
    <s v="Feb"/>
    <n v="2020"/>
    <x v="26"/>
    <s v="Bebidas"/>
    <s v="Chartreuse verde"/>
    <n v="98"/>
    <n v="76"/>
    <n v="7448"/>
    <n v="0"/>
    <n v="893.76"/>
    <n v="8341.76"/>
  </r>
  <r>
    <d v="2020-02-13T00:00:00"/>
    <s v="Feb"/>
    <n v="2020"/>
    <x v="26"/>
    <s v="Carnes y Aves"/>
    <s v="Tourtière"/>
    <n v="57"/>
    <n v="19"/>
    <n v="1083"/>
    <n v="0"/>
    <n v="129.96"/>
    <n v="1212.96"/>
  </r>
  <r>
    <d v="2020-02-14T00:00:00"/>
    <s v="Feb"/>
    <n v="2020"/>
    <x v="73"/>
    <s v="Dulces"/>
    <s v="Galletas de chocolate a la hora del té"/>
    <n v="56"/>
    <n v="15"/>
    <n v="840"/>
    <n v="0.10000000149011599"/>
    <n v="100.8"/>
    <n v="940.69999999850984"/>
  </r>
  <r>
    <d v="2020-02-14T00:00:00"/>
    <s v="Feb"/>
    <n v="2020"/>
    <x v="73"/>
    <s v="Bebidas"/>
    <s v="Guaraná Fantástica"/>
    <n v="76"/>
    <n v="55"/>
    <n v="4180"/>
    <n v="0.10000000149011599"/>
    <n v="501.59999999999997"/>
    <n v="4681.4999999985102"/>
  </r>
  <r>
    <d v="2020-02-14T00:00:00"/>
    <s v="Feb"/>
    <n v="2020"/>
    <x v="73"/>
    <s v="Productos Lácteos"/>
    <s v="Gorgonzola Telino"/>
    <n v="3"/>
    <n v="36"/>
    <n v="108"/>
    <n v="0.10000000149011599"/>
    <n v="12.959999999999999"/>
    <n v="120.85999999850988"/>
  </r>
  <r>
    <d v="2020-02-14T00:00:00"/>
    <s v="Feb"/>
    <n v="2020"/>
    <x v="73"/>
    <s v="Granos y Cereales"/>
    <s v="Filo Mix"/>
    <n v="100"/>
    <n v="33"/>
    <n v="3300"/>
    <n v="0.10000000149011599"/>
    <n v="396"/>
    <n v="3695.8999999985099"/>
  </r>
  <r>
    <d v="2020-02-14T00:00:00"/>
    <s v="Feb"/>
    <n v="2020"/>
    <x v="30"/>
    <s v="Dulces"/>
    <s v="Galletas de chocolate a la hora del té"/>
    <n v="100"/>
    <n v="95"/>
    <n v="9500"/>
    <n v="0"/>
    <n v="1140"/>
    <n v="10640"/>
  </r>
  <r>
    <d v="2020-02-14T00:00:00"/>
    <s v="Feb"/>
    <n v="2020"/>
    <x v="30"/>
    <s v="Condimentos"/>
    <s v="Salsa de pimiento picante de Luisiana"/>
    <n v="79"/>
    <n v="25"/>
    <n v="1975"/>
    <n v="0"/>
    <n v="237"/>
    <n v="2212"/>
  </r>
  <r>
    <d v="2020-02-14T00:00:00"/>
    <s v="Feb"/>
    <n v="2020"/>
    <x v="30"/>
    <s v="Productos Lácteos"/>
    <s v="Queso crema"/>
    <n v="70"/>
    <n v="15"/>
    <n v="1050"/>
    <n v="0"/>
    <n v="126"/>
    <n v="1176"/>
  </r>
  <r>
    <d v="2020-02-17T00:00:00"/>
    <s v="Feb"/>
    <n v="2020"/>
    <x v="74"/>
    <s v="Dulces"/>
    <s v="Gummär Gummibärchen"/>
    <n v="22"/>
    <n v="42"/>
    <n v="924"/>
    <n v="0"/>
    <n v="110.88"/>
    <n v="1034.8800000000001"/>
  </r>
  <r>
    <d v="2020-02-17T00:00:00"/>
    <s v="Feb"/>
    <n v="2020"/>
    <x v="74"/>
    <s v="Mariscos"/>
    <s v="Carne de cangrejo de Boston"/>
    <n v="36"/>
    <n v="54"/>
    <n v="1944"/>
    <n v="0"/>
    <n v="233.28"/>
    <n v="2177.2800000000002"/>
  </r>
  <r>
    <d v="2020-02-18T00:00:00"/>
    <s v="Feb"/>
    <n v="2020"/>
    <x v="15"/>
    <s v="Mariscos"/>
    <s v="Ikura"/>
    <n v="42"/>
    <n v="50"/>
    <n v="2100"/>
    <n v="0"/>
    <n v="252"/>
    <n v="2352"/>
  </r>
  <r>
    <d v="2020-02-18T00:00:00"/>
    <s v="Feb"/>
    <n v="2020"/>
    <x v="15"/>
    <s v="Granos y Cereales"/>
    <s v="Filo Mix"/>
    <n v="62"/>
    <n v="26"/>
    <n v="1612"/>
    <n v="0"/>
    <n v="193.44"/>
    <n v="1805.44"/>
  </r>
  <r>
    <d v="2020-02-18T00:00:00"/>
    <s v="Feb"/>
    <n v="2020"/>
    <x v="15"/>
    <s v="Dulces"/>
    <s v="Tarta de azúcar"/>
    <n v="80"/>
    <n v="48"/>
    <n v="3840"/>
    <n v="0"/>
    <n v="460.79999999999995"/>
    <n v="4300.8"/>
  </r>
  <r>
    <d v="2020-02-19T00:00:00"/>
    <s v="Feb"/>
    <n v="2020"/>
    <x v="3"/>
    <s v="Mariscos"/>
    <s v="Ikura"/>
    <n v="65"/>
    <n v="60"/>
    <n v="3900"/>
    <n v="0.20000000298023199"/>
    <n v="468"/>
    <n v="4367.7999999970198"/>
  </r>
  <r>
    <d v="2020-02-19T00:00:00"/>
    <s v="Feb"/>
    <n v="2020"/>
    <x v="3"/>
    <s v="Carnes y Aves"/>
    <s v="Tourtière"/>
    <n v="55"/>
    <n v="55"/>
    <n v="3025"/>
    <n v="0.20000000298023199"/>
    <n v="363"/>
    <n v="3387.7999999970198"/>
  </r>
  <r>
    <d v="2020-02-19T00:00:00"/>
    <s v="Feb"/>
    <n v="2020"/>
    <x v="21"/>
    <s v="Carnes y Aves"/>
    <s v="Paté chino"/>
    <n v="84"/>
    <n v="62"/>
    <n v="5208"/>
    <n v="0.10000000149011599"/>
    <n v="624.95999999999992"/>
    <n v="5832.8599999985099"/>
  </r>
  <r>
    <d v="2020-02-19T00:00:00"/>
    <s v="Feb"/>
    <n v="2020"/>
    <x v="21"/>
    <s v="Granos y Cereales"/>
    <s v="El buen Semmelknödel de Wimmer"/>
    <n v="93"/>
    <n v="90"/>
    <n v="8370"/>
    <n v="0.10000000149011599"/>
    <n v="1004.4"/>
    <n v="9374.2999999985095"/>
  </r>
  <r>
    <d v="2020-02-19T00:00:00"/>
    <s v="Feb"/>
    <n v="2020"/>
    <x v="21"/>
    <s v="Condimentos"/>
    <s v="Salsa de pimiento picante de Luisiana"/>
    <n v="38"/>
    <n v="35"/>
    <n v="1330"/>
    <n v="0.10000000149011599"/>
    <n v="159.6"/>
    <n v="1489.4999999985098"/>
  </r>
  <r>
    <d v="2020-02-19T00:00:00"/>
    <s v="Feb"/>
    <n v="2020"/>
    <x v="21"/>
    <s v="Condimentos"/>
    <s v="Salsa verde original de Frankfurt"/>
    <n v="51"/>
    <n v="95"/>
    <n v="4845"/>
    <n v="0.10000000149011599"/>
    <n v="581.4"/>
    <n v="5426.2999999985095"/>
  </r>
  <r>
    <d v="2020-02-20T00:00:00"/>
    <s v="Feb"/>
    <n v="2020"/>
    <x v="44"/>
    <s v="Productos Alimenticios"/>
    <s v="Chucrut Rössle"/>
    <n v="39"/>
    <n v="82"/>
    <n v="3198"/>
    <n v="0"/>
    <n v="383.76"/>
    <n v="3581.76"/>
  </r>
  <r>
    <d v="2020-02-20T00:00:00"/>
    <s v="Feb"/>
    <n v="2020"/>
    <x v="44"/>
    <s v="Condimentos"/>
    <s v="Gula Malacca"/>
    <n v="37"/>
    <n v="83"/>
    <n v="3071"/>
    <n v="5.0000000745058101E-2"/>
    <n v="368.52"/>
    <n v="3439.4699999992549"/>
  </r>
  <r>
    <d v="2020-02-21T00:00:00"/>
    <s v="Feb"/>
    <n v="2020"/>
    <x v="54"/>
    <s v="Dulces"/>
    <s v="Chocolate"/>
    <n v="45"/>
    <n v="45"/>
    <n v="2025"/>
    <n v="0.10000000149011599"/>
    <n v="243"/>
    <n v="2267.8999999985099"/>
  </r>
  <r>
    <d v="2020-02-21T00:00:00"/>
    <s v="Feb"/>
    <n v="2020"/>
    <x v="54"/>
    <s v="Bebidas"/>
    <s v="Outback Lager"/>
    <n v="96"/>
    <n v="48"/>
    <n v="4608"/>
    <n v="0.10000000149011599"/>
    <n v="552.96"/>
    <n v="5160.8599999985099"/>
  </r>
  <r>
    <d v="2020-02-21T00:00:00"/>
    <s v="Feb"/>
    <n v="2020"/>
    <x v="52"/>
    <s v="Dulces"/>
    <s v="Pavlova"/>
    <n v="91"/>
    <n v="41"/>
    <n v="3731"/>
    <n v="0.20000000298023199"/>
    <n v="447.71999999999997"/>
    <n v="4178.51999999702"/>
  </r>
  <r>
    <d v="2020-02-21T00:00:00"/>
    <s v="Feb"/>
    <n v="2020"/>
    <x v="52"/>
    <s v="Productos Lácteos"/>
    <s v="Queso de cabra"/>
    <n v="86"/>
    <n v="28"/>
    <n v="2408"/>
    <n v="0.20000000298023199"/>
    <n v="288.95999999999998"/>
    <n v="2696.7599999970198"/>
  </r>
  <r>
    <d v="2020-02-21T00:00:00"/>
    <s v="Feb"/>
    <n v="2020"/>
    <x v="52"/>
    <s v="Mariscos"/>
    <s v="arenque"/>
    <n v="32"/>
    <n v="45"/>
    <n v="1440"/>
    <n v="0.20000000298023199"/>
    <n v="172.79999999999998"/>
    <n v="1612.5999999970197"/>
  </r>
  <r>
    <d v="2020-02-24T00:00:00"/>
    <s v="Feb"/>
    <n v="2020"/>
    <x v="16"/>
    <s v="Bebidas"/>
    <s v="Chartreuse verde"/>
    <n v="35"/>
    <n v="83"/>
    <n v="2905"/>
    <n v="0"/>
    <n v="348.59999999999997"/>
    <n v="3253.6"/>
  </r>
  <r>
    <d v="2020-02-24T00:00:00"/>
    <s v="Feb"/>
    <n v="2020"/>
    <x v="16"/>
    <s v="Carnes y Aves"/>
    <s v="Empanadas de Perth"/>
    <n v="95"/>
    <n v="37"/>
    <n v="3515"/>
    <n v="0"/>
    <n v="421.8"/>
    <n v="3936.8"/>
  </r>
  <r>
    <d v="2020-02-24T00:00:00"/>
    <s v="Feb"/>
    <n v="2020"/>
    <x v="16"/>
    <s v="Condimentos"/>
    <s v="miel de maple"/>
    <n v="100"/>
    <n v="61"/>
    <n v="6100"/>
    <n v="0"/>
    <n v="732"/>
    <n v="6832"/>
  </r>
  <r>
    <d v="2020-02-24T00:00:00"/>
    <s v="Feb"/>
    <n v="2020"/>
    <x v="16"/>
    <s v="Productos Lácteos"/>
    <s v="Queso crema"/>
    <n v="94"/>
    <n v="38"/>
    <n v="3572"/>
    <n v="0"/>
    <n v="428.64"/>
    <n v="4000.64"/>
  </r>
  <r>
    <d v="2020-02-25T00:00:00"/>
    <s v="Feb"/>
    <n v="2020"/>
    <x v="43"/>
    <s v="Dulces"/>
    <s v="Scones de Sir Rodney"/>
    <n v="61"/>
    <n v="44"/>
    <n v="2684"/>
    <n v="0.15000000596046401"/>
    <n v="322.08"/>
    <n v="3005.9299999940395"/>
  </r>
  <r>
    <d v="2020-02-25T00:00:00"/>
    <s v="Feb"/>
    <n v="2020"/>
    <x v="43"/>
    <s v="Dulces"/>
    <s v="Maxilaku"/>
    <n v="11"/>
    <n v="10"/>
    <n v="110"/>
    <n v="0.15000000596046401"/>
    <n v="13.2"/>
    <n v="123.04999999403954"/>
  </r>
  <r>
    <d v="2020-02-25T00:00:00"/>
    <s v="Feb"/>
    <n v="2020"/>
    <x v="43"/>
    <s v="Productos Lácteos"/>
    <s v="Raclette Courdavault"/>
    <n v="7"/>
    <n v="28"/>
    <n v="196"/>
    <n v="0"/>
    <n v="23.52"/>
    <n v="219.52"/>
  </r>
  <r>
    <d v="2020-02-26T00:00:00"/>
    <s v="Feb"/>
    <n v="2020"/>
    <x v="4"/>
    <s v="Dulces"/>
    <s v="Gummär Gummibärchen"/>
    <n v="74"/>
    <n v="99"/>
    <n v="7326"/>
    <n v="0"/>
    <n v="879.12"/>
    <n v="8205.1200000000008"/>
  </r>
  <r>
    <d v="2020-02-26T00:00:00"/>
    <s v="Feb"/>
    <n v="2020"/>
    <x v="4"/>
    <s v="Productos Alimenticios"/>
    <s v="Chucrut Rössle"/>
    <n v="80"/>
    <n v="40"/>
    <n v="3200"/>
    <n v="0"/>
    <n v="384"/>
    <n v="3584"/>
  </r>
  <r>
    <d v="2020-02-26T00:00:00"/>
    <s v="Feb"/>
    <n v="2020"/>
    <x v="4"/>
    <s v="Bebidas"/>
    <s v="Café Ipoh"/>
    <n v="21"/>
    <n v="39"/>
    <n v="819"/>
    <n v="0"/>
    <n v="98.28"/>
    <n v="917.28"/>
  </r>
  <r>
    <d v="2020-02-26T00:00:00"/>
    <s v="Feb"/>
    <n v="2020"/>
    <x v="4"/>
    <s v="Granos y Cereales"/>
    <s v="Gnocchi di nonna Alice"/>
    <n v="26"/>
    <n v="67"/>
    <n v="1742"/>
    <n v="0"/>
    <n v="209.04"/>
    <n v="1951.04"/>
  </r>
  <r>
    <d v="2020-02-26T00:00:00"/>
    <s v="Feb"/>
    <n v="2020"/>
    <x v="4"/>
    <s v="Productos Lácteos"/>
    <s v="Queso crema"/>
    <n v="75"/>
    <n v="62"/>
    <n v="4650"/>
    <n v="0"/>
    <n v="558"/>
    <n v="5208"/>
  </r>
  <r>
    <d v="2020-02-27T00:00:00"/>
    <s v="Feb"/>
    <n v="2020"/>
    <x v="3"/>
    <s v="Productos Alimenticios"/>
    <s v="Peras secas orgánicas del tío Bob"/>
    <n v="54"/>
    <n v="71"/>
    <n v="3834"/>
    <n v="5.0000000745058101E-2"/>
    <n v="460.08"/>
    <n v="4294.0299999992549"/>
  </r>
  <r>
    <d v="2020-02-27T00:00:00"/>
    <s v="Feb"/>
    <n v="2020"/>
    <x v="3"/>
    <s v="Mariscos"/>
    <s v="arenque"/>
    <n v="89"/>
    <n v="19"/>
    <n v="1691"/>
    <n v="5.0000000745058101E-2"/>
    <n v="202.92"/>
    <n v="1893.869999999255"/>
  </r>
  <r>
    <d v="2020-02-27T00:00:00"/>
    <s v="Feb"/>
    <n v="2020"/>
    <x v="3"/>
    <s v="Productos Lácteos"/>
    <s v="Mozzarella di Giovanni"/>
    <n v="5"/>
    <n v="96"/>
    <n v="480"/>
    <n v="0"/>
    <n v="57.599999999999994"/>
    <n v="537.6"/>
  </r>
  <r>
    <d v="2020-02-28T00:00:00"/>
    <s v="Feb"/>
    <n v="2020"/>
    <x v="14"/>
    <s v="Dulces"/>
    <s v="Pan largo escocés"/>
    <n v="63"/>
    <n v="48"/>
    <n v="3024"/>
    <n v="0.25"/>
    <n v="362.88"/>
    <n v="3386.63"/>
  </r>
  <r>
    <d v="2020-02-28T00:00:00"/>
    <s v="Feb"/>
    <n v="2020"/>
    <x v="14"/>
    <s v="Bebidas"/>
    <s v="Rhönbräu Klosterbier"/>
    <n v="88"/>
    <n v="36"/>
    <n v="3168"/>
    <n v="0.25"/>
    <n v="380.15999999999997"/>
    <n v="3547.91"/>
  </r>
  <r>
    <d v="2020-02-28T00:00:00"/>
    <s v="Feb"/>
    <n v="2020"/>
    <x v="29"/>
    <s v="Dulces"/>
    <s v="Scones de Sir Rodney"/>
    <n v="30"/>
    <n v="76"/>
    <n v="2280"/>
    <n v="0.25"/>
    <n v="273.59999999999997"/>
    <n v="2553.35"/>
  </r>
  <r>
    <d v="2020-02-28T00:00:00"/>
    <s v="Feb"/>
    <n v="2020"/>
    <x v="29"/>
    <s v="Mariscos"/>
    <s v="Nord-Ost Matjeshering"/>
    <n v="84"/>
    <n v="40"/>
    <n v="3360"/>
    <n v="0.25"/>
    <n v="403.2"/>
    <n v="3762.95"/>
  </r>
  <r>
    <d v="2020-02-28T00:00:00"/>
    <s v="Feb"/>
    <n v="2020"/>
    <x v="29"/>
    <s v="Carnes y Aves"/>
    <s v="Paté chino"/>
    <n v="80"/>
    <n v="73"/>
    <n v="5840"/>
    <n v="0.25"/>
    <n v="700.8"/>
    <n v="6540.55"/>
  </r>
  <r>
    <d v="2020-03-03T00:00:00"/>
    <s v="Mar"/>
    <n v="2020"/>
    <x v="72"/>
    <s v="Mariscos"/>
    <s v="Konbu"/>
    <n v="68"/>
    <n v="23"/>
    <n v="1564"/>
    <n v="0"/>
    <n v="187.68"/>
    <n v="1751.68"/>
  </r>
  <r>
    <d v="2020-03-03T00:00:00"/>
    <s v="Mar"/>
    <n v="2020"/>
    <x v="72"/>
    <s v="Granos y Cereales"/>
    <s v="Pan plano"/>
    <n v="3"/>
    <n v="41"/>
    <n v="123"/>
    <n v="0"/>
    <n v="14.76"/>
    <n v="137.76"/>
  </r>
  <r>
    <d v="2020-03-04T00:00:00"/>
    <s v="Mar"/>
    <n v="2020"/>
    <x v="4"/>
    <s v="Dulces"/>
    <s v="Galletas de chocolate a la hora del té"/>
    <n v="19"/>
    <n v="20"/>
    <n v="380"/>
    <n v="0"/>
    <n v="45.6"/>
    <n v="425.6"/>
  </r>
  <r>
    <d v="2020-03-04T00:00:00"/>
    <s v="Mar"/>
    <n v="2020"/>
    <x v="4"/>
    <s v="Granos y Cereales"/>
    <s v="Fried Mee de hockey de Singapur"/>
    <n v="87"/>
    <n v="55"/>
    <n v="4785"/>
    <n v="0"/>
    <n v="574.19999999999993"/>
    <n v="5359.2"/>
  </r>
  <r>
    <d v="2020-03-04T00:00:00"/>
    <s v="Mar"/>
    <n v="2020"/>
    <x v="46"/>
    <s v="Condimentos"/>
    <s v="Condimento Cajún del Chef Anton"/>
    <n v="5"/>
    <n v="50"/>
    <n v="250"/>
    <n v="0.20000000298023199"/>
    <n v="30"/>
    <n v="279.79999999701977"/>
  </r>
  <r>
    <d v="2020-03-04T00:00:00"/>
    <s v="Mar"/>
    <n v="2020"/>
    <x v="46"/>
    <s v="Bebidas"/>
    <s v="Café Ipoh"/>
    <n v="87"/>
    <n v="47"/>
    <n v="4089"/>
    <n v="0"/>
    <n v="490.68"/>
    <n v="4579.68"/>
  </r>
  <r>
    <d v="2020-03-04T00:00:00"/>
    <s v="Mar"/>
    <n v="2020"/>
    <x v="46"/>
    <s v="Granos y Cereales"/>
    <s v="Gnocchi di nonna Alice"/>
    <n v="61"/>
    <n v="78"/>
    <n v="4758"/>
    <n v="0.20000000298023199"/>
    <n v="570.95999999999992"/>
    <n v="5328.7599999970198"/>
  </r>
  <r>
    <d v="2020-03-04T00:00:00"/>
    <s v="Mar"/>
    <n v="2020"/>
    <x v="46"/>
    <s v="Productos Lácteos"/>
    <s v="Pierrot camembert"/>
    <n v="38"/>
    <n v="39"/>
    <n v="1482"/>
    <n v="0"/>
    <n v="177.84"/>
    <n v="1659.84"/>
  </r>
  <r>
    <d v="2020-03-05T00:00:00"/>
    <s v="Mar"/>
    <n v="2020"/>
    <x v="60"/>
    <s v="Bebidas"/>
    <s v="Guaraná Fantástica"/>
    <n v="1"/>
    <n v="41"/>
    <n v="41"/>
    <n v="0"/>
    <n v="4.92"/>
    <n v="45.92"/>
  </r>
  <r>
    <d v="2020-03-05T00:00:00"/>
    <s v="Mar"/>
    <n v="2020"/>
    <x v="60"/>
    <s v="Carnes y Aves"/>
    <s v="Salchicha asada de Turingia"/>
    <n v="81"/>
    <n v="31"/>
    <n v="2511"/>
    <n v="0.10000000149011599"/>
    <n v="301.32"/>
    <n v="2812.21999999851"/>
  </r>
  <r>
    <d v="2020-03-05T00:00:00"/>
    <s v="Mar"/>
    <n v="2020"/>
    <x v="60"/>
    <s v="Mariscos"/>
    <s v="Carne de cangrejo de Boston"/>
    <n v="100"/>
    <n v="55"/>
    <n v="5500"/>
    <n v="0"/>
    <n v="660"/>
    <n v="6160"/>
  </r>
  <r>
    <d v="2020-03-05T00:00:00"/>
    <s v="Mar"/>
    <n v="2020"/>
    <x v="60"/>
    <s v="Mariscos"/>
    <s v="Arenque ahumado"/>
    <n v="47"/>
    <n v="83"/>
    <n v="3901"/>
    <n v="0.10000000149011599"/>
    <n v="468.12"/>
    <n v="4369.0199999985098"/>
  </r>
  <r>
    <d v="2020-03-05T00:00:00"/>
    <s v="Mar"/>
    <n v="2020"/>
    <x v="60"/>
    <s v="Dulces"/>
    <s v="Valkoinen suklaa"/>
    <n v="67"/>
    <n v="33"/>
    <n v="2211"/>
    <n v="0"/>
    <n v="265.32"/>
    <n v="2476.3200000000002"/>
  </r>
  <r>
    <d v="2020-03-06T00:00:00"/>
    <s v="Mar"/>
    <n v="2020"/>
    <x v="33"/>
    <s v="Productos Lácteos"/>
    <s v="Queso Cabrales"/>
    <n v="95"/>
    <n v="26"/>
    <n v="2470"/>
    <n v="0"/>
    <n v="296.39999999999998"/>
    <n v="2766.4"/>
  </r>
  <r>
    <d v="2020-03-06T00:00:00"/>
    <s v="Mar"/>
    <n v="2020"/>
    <x v="33"/>
    <s v="Mariscos"/>
    <s v="arenque"/>
    <n v="66"/>
    <n v="32"/>
    <n v="2112"/>
    <n v="0"/>
    <n v="253.44"/>
    <n v="2365.44"/>
  </r>
  <r>
    <d v="2020-03-06T00:00:00"/>
    <s v="Mar"/>
    <n v="2020"/>
    <x v="23"/>
    <s v="Bebidas"/>
    <s v="Guaraná Fantástica"/>
    <n v="44"/>
    <n v="94"/>
    <n v="4136"/>
    <n v="0"/>
    <n v="496.32"/>
    <n v="4632.32"/>
  </r>
  <r>
    <d v="2020-03-06T00:00:00"/>
    <s v="Mar"/>
    <n v="2020"/>
    <x v="23"/>
    <s v="Dulces"/>
    <s v="Crema de Turrón de Nueces NuNuCa"/>
    <n v="21"/>
    <n v="38"/>
    <n v="798"/>
    <n v="0"/>
    <n v="95.759999999999991"/>
    <n v="893.76"/>
  </r>
  <r>
    <d v="2020-03-07T00:00:00"/>
    <s v="Mar"/>
    <n v="2020"/>
    <x v="43"/>
    <s v="Mariscos"/>
    <s v="Nord-Ost Matjeshering"/>
    <n v="31"/>
    <n v="49"/>
    <n v="1519"/>
    <n v="0"/>
    <n v="182.28"/>
    <n v="1701.28"/>
  </r>
  <r>
    <d v="2020-03-07T00:00:00"/>
    <s v="Mar"/>
    <n v="2020"/>
    <x v="43"/>
    <s v="Bebidas"/>
    <s v="Café Ipoh"/>
    <n v="81"/>
    <n v="60"/>
    <n v="4860"/>
    <n v="0"/>
    <n v="583.19999999999993"/>
    <n v="5443.2"/>
  </r>
  <r>
    <d v="2020-03-10T00:00:00"/>
    <s v="Mar"/>
    <n v="2020"/>
    <x v="19"/>
    <s v="Bebidas"/>
    <s v="Chang"/>
    <n v="100"/>
    <n v="23"/>
    <n v="2300"/>
    <n v="0.15000000596046401"/>
    <n v="276"/>
    <n v="2575.8499999940395"/>
  </r>
  <r>
    <d v="2020-03-10T00:00:00"/>
    <s v="Mar"/>
    <n v="2020"/>
    <x v="19"/>
    <s v="Dulces"/>
    <s v="Pavlova"/>
    <n v="2"/>
    <n v="44"/>
    <n v="88"/>
    <n v="0.15000000596046401"/>
    <n v="10.559999999999999"/>
    <n v="98.409999994039538"/>
  </r>
  <r>
    <d v="2020-03-10T00:00:00"/>
    <s v="Mar"/>
    <n v="2020"/>
    <x v="19"/>
    <s v="Condimentos"/>
    <s v="Gula Malacca"/>
    <n v="63"/>
    <n v="31"/>
    <n v="1953"/>
    <n v="0.15000000596046401"/>
    <n v="234.35999999999999"/>
    <n v="2187.2099999940397"/>
  </r>
  <r>
    <d v="2020-03-11T00:00:00"/>
    <s v="Mar"/>
    <n v="2020"/>
    <x v="47"/>
    <s v="Mariscos"/>
    <s v="Tigres de Carnarvon"/>
    <n v="91"/>
    <n v="86"/>
    <n v="7826"/>
    <n v="0"/>
    <n v="939.12"/>
    <n v="8765.1200000000008"/>
  </r>
  <r>
    <d v="2020-03-11T00:00:00"/>
    <s v="Mar"/>
    <n v="2020"/>
    <x v="47"/>
    <s v="Granos y Cereales"/>
    <s v="Pan plano"/>
    <n v="94"/>
    <n v="77"/>
    <n v="7238"/>
    <n v="0"/>
    <n v="868.56"/>
    <n v="8106.5599999999995"/>
  </r>
  <r>
    <d v="2020-03-11T00:00:00"/>
    <s v="Mar"/>
    <n v="2020"/>
    <x v="47"/>
    <s v="Granos y Cereales"/>
    <s v="El buen Semmelknödel de Wimmer"/>
    <n v="59"/>
    <n v="40"/>
    <n v="2360"/>
    <n v="0"/>
    <n v="283.2"/>
    <n v="2643.2"/>
  </r>
  <r>
    <d v="2020-03-11T00:00:00"/>
    <s v="Mar"/>
    <n v="2020"/>
    <x v="32"/>
    <s v="Productos Alimenticios"/>
    <s v="Peras secas orgánicas del tío Bob"/>
    <n v="18"/>
    <n v="41"/>
    <n v="738"/>
    <n v="0"/>
    <n v="88.56"/>
    <n v="826.56"/>
  </r>
  <r>
    <d v="2020-03-11T00:00:00"/>
    <s v="Mar"/>
    <n v="2020"/>
    <x v="32"/>
    <s v="Granos y Cereales"/>
    <s v="Gnocchi di nonna Alice"/>
    <n v="73"/>
    <n v="94"/>
    <n v="6862"/>
    <n v="0"/>
    <n v="823.43999999999994"/>
    <n v="7685.44"/>
  </r>
  <r>
    <d v="2020-03-12T00:00:00"/>
    <s v="Mar"/>
    <n v="2020"/>
    <x v="55"/>
    <s v="Bebidas"/>
    <s v="Guaraná Fantástica"/>
    <n v="93"/>
    <n v="65"/>
    <n v="6045"/>
    <n v="5.0000000745058101E-2"/>
    <n v="725.4"/>
    <n v="6770.3499999992546"/>
  </r>
  <r>
    <d v="2020-03-12T00:00:00"/>
    <s v="Mar"/>
    <n v="2020"/>
    <x v="55"/>
    <s v="Productos Alimenticios"/>
    <s v="Manjimup Dry Apples"/>
    <n v="5"/>
    <n v="34"/>
    <n v="170"/>
    <n v="0"/>
    <n v="20.399999999999999"/>
    <n v="190.4"/>
  </r>
  <r>
    <d v="2020-03-13T00:00:00"/>
    <s v="Mar"/>
    <n v="2020"/>
    <x v="41"/>
    <s v="Productos Lácteos"/>
    <s v="Queso de cabra"/>
    <n v="90"/>
    <n v="70"/>
    <n v="6300"/>
    <n v="0"/>
    <n v="756"/>
    <n v="7056"/>
  </r>
  <r>
    <d v="2020-03-13T00:00:00"/>
    <s v="Mar"/>
    <n v="2020"/>
    <x v="41"/>
    <s v="Productos Lácteos"/>
    <s v="Queso crema"/>
    <n v="30"/>
    <n v="35"/>
    <n v="1050"/>
    <n v="0"/>
    <n v="126"/>
    <n v="1176"/>
  </r>
  <r>
    <d v="2020-03-13T00:00:00"/>
    <s v="Mar"/>
    <n v="2020"/>
    <x v="42"/>
    <s v="Productos Alimenticios"/>
    <s v="tofu"/>
    <n v="68"/>
    <n v="93"/>
    <n v="6324"/>
    <n v="0"/>
    <n v="758.88"/>
    <n v="7082.88"/>
  </r>
  <r>
    <d v="2020-03-13T00:00:00"/>
    <s v="Mar"/>
    <n v="2020"/>
    <x v="42"/>
    <s v="Productos Alimenticios"/>
    <s v="Chucrut Rössle"/>
    <n v="16"/>
    <n v="49"/>
    <n v="784"/>
    <n v="0"/>
    <n v="94.08"/>
    <n v="878.08"/>
  </r>
  <r>
    <d v="2020-03-13T00:00:00"/>
    <s v="Mar"/>
    <n v="2020"/>
    <x v="42"/>
    <s v="Mariscos"/>
    <s v="Carne de cangrejo de Boston"/>
    <n v="15"/>
    <n v="76"/>
    <n v="1140"/>
    <n v="0"/>
    <n v="136.79999999999998"/>
    <n v="1276.8"/>
  </r>
  <r>
    <d v="2020-03-13T00:00:00"/>
    <s v="Mar"/>
    <n v="2020"/>
    <x v="42"/>
    <s v="Bebidas"/>
    <s v="Rhönbräu Klosterbier"/>
    <n v="35"/>
    <n v="15"/>
    <n v="525"/>
    <n v="0"/>
    <n v="63"/>
    <n v="588"/>
  </r>
  <r>
    <d v="2020-03-14T00:00:00"/>
    <s v="Mar"/>
    <n v="2020"/>
    <x v="4"/>
    <s v="Productos Lácteos"/>
    <s v="Gorgonzola Telino"/>
    <n v="15"/>
    <n v="26"/>
    <n v="390"/>
    <n v="0.15000000596046401"/>
    <n v="46.8"/>
    <n v="436.64999999403955"/>
  </r>
  <r>
    <d v="2020-03-14T00:00:00"/>
    <s v="Mar"/>
    <n v="2020"/>
    <x v="4"/>
    <s v="Condimentos"/>
    <s v="Okra picante de Louisiana"/>
    <n v="80"/>
    <n v="91"/>
    <n v="7280"/>
    <n v="0.15000000596046401"/>
    <n v="873.6"/>
    <n v="8153.4499999940399"/>
  </r>
  <r>
    <d v="2020-03-14T00:00:00"/>
    <s v="Mar"/>
    <n v="2020"/>
    <x v="4"/>
    <s v="Bebidas"/>
    <s v="Lakkalikööri"/>
    <n v="46"/>
    <n v="74"/>
    <n v="3404"/>
    <n v="0.15000000596046401"/>
    <n v="408.47999999999996"/>
    <n v="3812.3299999940396"/>
  </r>
  <r>
    <d v="2020-03-17T00:00:00"/>
    <s v="Mar"/>
    <n v="2020"/>
    <x v="8"/>
    <s v="Carnes y Aves"/>
    <s v="Paté chino"/>
    <n v="46"/>
    <n v="20"/>
    <n v="920"/>
    <n v="5.0000000745058101E-2"/>
    <n v="110.39999999999999"/>
    <n v="1030.349999999255"/>
  </r>
  <r>
    <d v="2020-03-17T00:00:00"/>
    <s v="Mar"/>
    <n v="2020"/>
    <x v="8"/>
    <s v="Bebidas"/>
    <s v="Outback Lager"/>
    <n v="50"/>
    <n v="12"/>
    <n v="600"/>
    <n v="0"/>
    <n v="72"/>
    <n v="672"/>
  </r>
  <r>
    <d v="2020-03-17T00:00:00"/>
    <s v="Mar"/>
    <n v="2020"/>
    <x v="49"/>
    <s v="Bebidas"/>
    <s v="Chai"/>
    <n v="1"/>
    <n v="86"/>
    <n v="86"/>
    <n v="0"/>
    <n v="10.32"/>
    <n v="96.32"/>
  </r>
  <r>
    <d v="2020-03-17T00:00:00"/>
    <s v="Mar"/>
    <n v="2020"/>
    <x v="49"/>
    <s v="Dulces"/>
    <s v="Scones de Sir Rodney"/>
    <n v="83"/>
    <n v="23"/>
    <n v="1909"/>
    <n v="0.25"/>
    <n v="229.07999999999998"/>
    <n v="2137.83"/>
  </r>
  <r>
    <d v="2020-03-17T00:00:00"/>
    <s v="Mar"/>
    <n v="2020"/>
    <x v="49"/>
    <s v="Bebidas"/>
    <s v="Chartreuse verde"/>
    <n v="68"/>
    <n v="61"/>
    <n v="4148"/>
    <n v="0.25"/>
    <n v="497.76"/>
    <n v="4645.51"/>
  </r>
  <r>
    <d v="2020-03-18T00:00:00"/>
    <s v="Mar"/>
    <n v="2020"/>
    <x v="3"/>
    <s v="Mariscos"/>
    <s v="Ikura"/>
    <n v="30"/>
    <n v="10"/>
    <n v="300"/>
    <n v="5.0000000745058101E-2"/>
    <n v="36"/>
    <n v="335.94999999925494"/>
  </r>
  <r>
    <d v="2020-03-19T00:00:00"/>
    <s v="Mar"/>
    <n v="2020"/>
    <x v="13"/>
    <s v="Bebidas"/>
    <s v="Côte de Blaye"/>
    <n v="21"/>
    <n v="47"/>
    <n v="987"/>
    <n v="0"/>
    <n v="118.44"/>
    <n v="1105.44"/>
  </r>
  <r>
    <d v="2020-03-19T00:00:00"/>
    <s v="Mar"/>
    <n v="2020"/>
    <x v="13"/>
    <s v="Carnes y Aves"/>
    <s v="Empanadas de Perth"/>
    <n v="14"/>
    <n v="89"/>
    <n v="1246"/>
    <n v="0"/>
    <n v="149.51999999999998"/>
    <n v="1395.52"/>
  </r>
  <r>
    <d v="2020-03-19T00:00:00"/>
    <s v="Mar"/>
    <n v="2020"/>
    <x v="13"/>
    <s v="Productos Lácteos"/>
    <s v="Raclette Courdavault"/>
    <n v="49"/>
    <n v="20"/>
    <n v="980"/>
    <n v="0"/>
    <n v="117.6"/>
    <n v="1097.5999999999999"/>
  </r>
  <r>
    <d v="2020-03-19T00:00:00"/>
    <s v="Mar"/>
    <n v="2020"/>
    <x v="13"/>
    <s v="Granos y Cereales"/>
    <s v="El buen Semmelknödel de Wimmer"/>
    <n v="2"/>
    <n v="46"/>
    <n v="92"/>
    <n v="0"/>
    <n v="11.04"/>
    <n v="103.03999999999999"/>
  </r>
  <r>
    <d v="2020-03-20T00:00:00"/>
    <s v="Mar"/>
    <n v="2020"/>
    <x v="68"/>
    <s v="Dulces"/>
    <s v="Tortas Zaanse"/>
    <n v="75"/>
    <n v="26"/>
    <n v="1950"/>
    <n v="0"/>
    <n v="234"/>
    <n v="2184"/>
  </r>
  <r>
    <d v="2020-03-20T00:00:00"/>
    <s v="Mar"/>
    <n v="2020"/>
    <x v="68"/>
    <s v="Productos Lácteos"/>
    <s v="Raclette Courdavault"/>
    <n v="63"/>
    <n v="11"/>
    <n v="693"/>
    <n v="0"/>
    <n v="83.16"/>
    <n v="776.16"/>
  </r>
  <r>
    <d v="2020-03-20T00:00:00"/>
    <s v="Mar"/>
    <n v="2020"/>
    <x v="30"/>
    <s v="Dulces"/>
    <s v="Maxilaku"/>
    <n v="17"/>
    <n v="52"/>
    <n v="884"/>
    <n v="0"/>
    <n v="106.08"/>
    <n v="990.08"/>
  </r>
  <r>
    <d v="2020-03-20T00:00:00"/>
    <s v="Mar"/>
    <n v="2020"/>
    <x v="30"/>
    <s v="Productos Lácteos"/>
    <s v="Pierrot camembert"/>
    <n v="65"/>
    <n v="67"/>
    <n v="4355"/>
    <n v="0"/>
    <n v="522.6"/>
    <n v="4877.6000000000004"/>
  </r>
  <r>
    <d v="2020-03-21T00:00:00"/>
    <s v="Mar"/>
    <n v="2020"/>
    <x v="75"/>
    <s v="Mariscos"/>
    <s v="Carne de cangrejo de Boston"/>
    <n v="16"/>
    <n v="51"/>
    <n v="816"/>
    <n v="0"/>
    <n v="97.92"/>
    <n v="913.92"/>
  </r>
  <r>
    <d v="2020-03-24T00:00:00"/>
    <s v="Mar"/>
    <n v="2020"/>
    <x v="19"/>
    <s v="Bebidas"/>
    <s v="Sasquatch Ale"/>
    <n v="51"/>
    <n v="80"/>
    <n v="4080"/>
    <n v="5.0000000745058101E-2"/>
    <n v="489.59999999999997"/>
    <n v="4569.5499999992553"/>
  </r>
  <r>
    <d v="2020-03-24T00:00:00"/>
    <s v="Mar"/>
    <n v="2020"/>
    <x v="19"/>
    <s v="Condimentos"/>
    <s v="Salsa verde original de Frankfurt"/>
    <n v="2"/>
    <n v="74"/>
    <n v="148"/>
    <n v="5.0000000745058101E-2"/>
    <n v="17.759999999999998"/>
    <n v="165.70999999925493"/>
  </r>
  <r>
    <d v="2020-03-24T00:00:00"/>
    <s v="Mar"/>
    <n v="2020"/>
    <x v="32"/>
    <s v="Dulces"/>
    <s v="Scones de Sir Rodney"/>
    <n v="29"/>
    <n v="100"/>
    <n v="2900"/>
    <n v="0"/>
    <n v="348"/>
    <n v="3248"/>
  </r>
  <r>
    <d v="2020-03-24T00:00:00"/>
    <s v="Mar"/>
    <n v="2020"/>
    <x v="32"/>
    <s v="Mariscos"/>
    <s v="Carne de cangrejo de Boston"/>
    <n v="34"/>
    <n v="46"/>
    <n v="1564"/>
    <n v="0"/>
    <n v="187.68"/>
    <n v="1751.68"/>
  </r>
  <r>
    <d v="2020-03-24T00:00:00"/>
    <s v="Mar"/>
    <n v="2020"/>
    <x v="32"/>
    <s v="Productos Alimenticios"/>
    <s v="Manjimup Dry Apples"/>
    <n v="11"/>
    <n v="64"/>
    <n v="704"/>
    <n v="0"/>
    <n v="84.47999999999999"/>
    <n v="788.48"/>
  </r>
  <r>
    <d v="2020-03-25T00:00:00"/>
    <s v="Mar"/>
    <n v="2020"/>
    <x v="66"/>
    <s v="Bebidas"/>
    <s v="Chang"/>
    <n v="19"/>
    <n v="72"/>
    <n v="1368"/>
    <n v="0.10000000149011599"/>
    <n v="164.16"/>
    <n v="1532.05999999851"/>
  </r>
  <r>
    <d v="2020-03-25T00:00:00"/>
    <s v="Mar"/>
    <n v="2020"/>
    <x v="66"/>
    <s v="Condimentos"/>
    <s v="Jarabe de anís"/>
    <n v="5"/>
    <n v="13"/>
    <n v="65"/>
    <n v="0.10000000149011599"/>
    <n v="7.8"/>
    <n v="72.699999998509881"/>
  </r>
  <r>
    <d v="2020-03-25T00:00:00"/>
    <s v="Mar"/>
    <n v="2020"/>
    <x v="66"/>
    <s v="Carnes y Aves"/>
    <s v="Paté chino"/>
    <n v="55"/>
    <n v="17"/>
    <n v="935"/>
    <n v="0.10000000149011599"/>
    <n v="112.2"/>
    <n v="1047.0999999985099"/>
  </r>
  <r>
    <d v="2020-03-25T00:00:00"/>
    <s v="Mar"/>
    <n v="2020"/>
    <x v="66"/>
    <s v="Bebidas"/>
    <s v="Outback Lager"/>
    <n v="73"/>
    <n v="33"/>
    <n v="2409"/>
    <n v="0.10000000149011599"/>
    <n v="289.08"/>
    <n v="2697.9799999985098"/>
  </r>
  <r>
    <d v="2020-03-26T00:00:00"/>
    <s v="Mar"/>
    <n v="2020"/>
    <x v="8"/>
    <s v="Productos Lácteos"/>
    <s v="Queso Cabrales"/>
    <n v="97"/>
    <n v="23"/>
    <n v="2231"/>
    <n v="0"/>
    <n v="267.71999999999997"/>
    <n v="2498.7199999999998"/>
  </r>
  <r>
    <d v="2020-03-26T00:00:00"/>
    <s v="Mar"/>
    <n v="2020"/>
    <x v="8"/>
    <s v="Productos Alimenticios"/>
    <s v="Manjimup Dry Apples"/>
    <n v="50"/>
    <n v="22"/>
    <n v="1100"/>
    <n v="0"/>
    <n v="132"/>
    <n v="1232"/>
  </r>
  <r>
    <d v="2020-03-26T00:00:00"/>
    <s v="Mar"/>
    <n v="2020"/>
    <x v="8"/>
    <s v="Productos Alimenticios"/>
    <s v="Tofu de larga duración"/>
    <n v="55"/>
    <n v="16"/>
    <n v="880"/>
    <n v="0"/>
    <n v="105.6"/>
    <n v="985.6"/>
  </r>
  <r>
    <d v="2020-03-26T00:00:00"/>
    <s v="Mar"/>
    <n v="2020"/>
    <x v="61"/>
    <s v="Dulces"/>
    <s v="Galletas de chocolate a la hora del té"/>
    <n v="46"/>
    <n v="98"/>
    <n v="4508"/>
    <n v="0"/>
    <n v="540.96"/>
    <n v="5048.96"/>
  </r>
  <r>
    <d v="2020-03-26T00:00:00"/>
    <s v="Mar"/>
    <n v="2020"/>
    <x v="61"/>
    <s v="Dulces"/>
    <s v="Gummär Gummibärchen"/>
    <n v="22"/>
    <n v="40"/>
    <n v="880"/>
    <n v="0"/>
    <n v="105.6"/>
    <n v="985.6"/>
  </r>
  <r>
    <d v="2020-03-26T00:00:00"/>
    <s v="Mar"/>
    <n v="2020"/>
    <x v="61"/>
    <s v="Carnes y Aves"/>
    <s v="Tourtière"/>
    <n v="25"/>
    <n v="41"/>
    <n v="1025"/>
    <n v="0.25"/>
    <n v="123"/>
    <n v="1147.75"/>
  </r>
  <r>
    <d v="2020-03-27T00:00:00"/>
    <s v="Mar"/>
    <n v="2020"/>
    <x v="17"/>
    <s v="Productos Lácteos"/>
    <s v="Raclette Courdavault"/>
    <n v="73"/>
    <n v="68"/>
    <n v="4964"/>
    <n v="0"/>
    <n v="595.67999999999995"/>
    <n v="5559.68"/>
  </r>
  <r>
    <d v="2020-03-27T00:00:00"/>
    <s v="Mar"/>
    <n v="2020"/>
    <x v="17"/>
    <s v="Mariscos"/>
    <s v="Caviar rojo"/>
    <n v="71"/>
    <n v="45"/>
    <n v="3195"/>
    <n v="0.20000000298023199"/>
    <n v="383.4"/>
    <n v="3578.1999999970199"/>
  </r>
  <r>
    <d v="2020-03-28T00:00:00"/>
    <s v="Mar"/>
    <n v="2020"/>
    <x v="53"/>
    <s v="Productos Lácteos"/>
    <s v="Queso Cabrales"/>
    <n v="42"/>
    <n v="36"/>
    <n v="1512"/>
    <n v="0.25"/>
    <n v="181.44"/>
    <n v="1693.19"/>
  </r>
  <r>
    <d v="2020-03-28T00:00:00"/>
    <s v="Mar"/>
    <n v="2020"/>
    <x v="53"/>
    <s v="Dulces"/>
    <s v="Pavlova"/>
    <n v="68"/>
    <n v="23"/>
    <n v="1564"/>
    <n v="0"/>
    <n v="187.68"/>
    <n v="1751.68"/>
  </r>
  <r>
    <d v="2020-03-31T00:00:00"/>
    <s v="Mar"/>
    <n v="2020"/>
    <x v="8"/>
    <s v="Productos Lácteos"/>
    <s v="Raclette Courdavault"/>
    <n v="44"/>
    <n v="88"/>
    <n v="3872"/>
    <n v="0"/>
    <n v="464.64"/>
    <n v="4336.6400000000003"/>
  </r>
  <r>
    <d v="2020-03-31T00:00:00"/>
    <s v="Mar"/>
    <n v="2020"/>
    <x v="8"/>
    <s v="Dulces"/>
    <s v="Pan largo escocés"/>
    <n v="40"/>
    <n v="15"/>
    <n v="600"/>
    <n v="0"/>
    <n v="72"/>
    <n v="672"/>
  </r>
  <r>
    <d v="2020-03-31T00:00:00"/>
    <s v="Mar"/>
    <n v="2020"/>
    <x v="8"/>
    <s v="Bebidas"/>
    <s v="Rhönbräu Klosterbier"/>
    <n v="28"/>
    <n v="20"/>
    <n v="560"/>
    <n v="0"/>
    <n v="67.2"/>
    <n v="627.20000000000005"/>
  </r>
  <r>
    <d v="2020-03-31T00:00:00"/>
    <s v="Mar"/>
    <n v="2020"/>
    <x v="46"/>
    <s v="Condimentos"/>
    <s v="Gula Malacca"/>
    <n v="76"/>
    <n v="26"/>
    <n v="1976"/>
    <n v="0.15000000596046401"/>
    <n v="237.12"/>
    <n v="2212.9699999940394"/>
  </r>
  <r>
    <d v="2020-03-31T00:00:00"/>
    <s v="Mar"/>
    <n v="2020"/>
    <x v="46"/>
    <s v="Condimentos"/>
    <s v="Salsa verde original de Frankfurt"/>
    <n v="79"/>
    <n v="59"/>
    <n v="4661"/>
    <n v="0.15000000596046401"/>
    <n v="559.31999999999994"/>
    <n v="5220.1699999940392"/>
  </r>
  <r>
    <d v="2020-04-01T00:00:00"/>
    <s v="Abr"/>
    <n v="2020"/>
    <x v="65"/>
    <s v="Dulces"/>
    <s v="Crema de Turrón de Nueces NuNuCa"/>
    <n v="19"/>
    <n v="88"/>
    <n v="1672"/>
    <n v="5.0000000745058101E-2"/>
    <n v="200.64"/>
    <n v="1872.5899999992548"/>
  </r>
  <r>
    <d v="2020-04-01T00:00:00"/>
    <s v="Abr"/>
    <n v="2020"/>
    <x v="65"/>
    <s v="Granos y Cereales"/>
    <s v="Fried Mee de hockey de Singapur"/>
    <n v="81"/>
    <n v="63"/>
    <n v="5103"/>
    <n v="5.0000000745058101E-2"/>
    <n v="612.36"/>
    <n v="5715.3099999992546"/>
  </r>
  <r>
    <d v="2020-04-02T00:00:00"/>
    <s v="Abr"/>
    <n v="2020"/>
    <x v="52"/>
    <s v="Condimentos"/>
    <s v="Salsa de pimiento picante de Luisiana"/>
    <n v="10"/>
    <n v="55"/>
    <n v="550"/>
    <n v="0.10000000149011599"/>
    <n v="66"/>
    <n v="615.89999999850988"/>
  </r>
  <r>
    <d v="2020-04-02T00:00:00"/>
    <s v="Abr"/>
    <n v="2020"/>
    <x v="52"/>
    <s v="Condimentos"/>
    <s v="Okra picante de Louisiana"/>
    <n v="74"/>
    <n v="11"/>
    <n v="814"/>
    <n v="0.10000000149011599"/>
    <n v="97.679999999999993"/>
    <n v="911.57999999850983"/>
  </r>
  <r>
    <d v="2020-04-02T00:00:00"/>
    <s v="Abr"/>
    <n v="2020"/>
    <x v="52"/>
    <s v="Productos Lácteos"/>
    <s v="Gudbrandsdalsost"/>
    <n v="66"/>
    <n v="76"/>
    <n v="5016"/>
    <n v="0.10000000149011599"/>
    <n v="601.91999999999996"/>
    <n v="5617.81999999851"/>
  </r>
  <r>
    <d v="2020-04-02T00:00:00"/>
    <s v="Abr"/>
    <n v="2020"/>
    <x v="33"/>
    <s v="Granos y Cereales"/>
    <s v="Gnocchi di nonna Alice"/>
    <n v="92"/>
    <n v="29"/>
    <n v="2668"/>
    <n v="0"/>
    <n v="320.15999999999997"/>
    <n v="2988.16"/>
  </r>
  <r>
    <d v="2020-04-03T00:00:00"/>
    <s v="Abr"/>
    <n v="2020"/>
    <x v="76"/>
    <s v="Granos y Cereales"/>
    <s v="Pan plano"/>
    <n v="50"/>
    <n v="38"/>
    <n v="1900"/>
    <n v="0"/>
    <n v="228"/>
    <n v="2128"/>
  </r>
  <r>
    <d v="2020-04-03T00:00:00"/>
    <s v="Abr"/>
    <n v="2020"/>
    <x v="76"/>
    <s v="Mariscos"/>
    <s v="Sopa de almejas de Nueva Inglaterra de Jack"/>
    <n v="17"/>
    <n v="37"/>
    <n v="629"/>
    <n v="0"/>
    <n v="75.48"/>
    <n v="704.48"/>
  </r>
  <r>
    <d v="2020-04-03T00:00:00"/>
    <s v="Abr"/>
    <n v="2020"/>
    <x v="76"/>
    <s v="Condimentos"/>
    <s v="Salsa verde original de Frankfurt"/>
    <n v="57"/>
    <n v="67"/>
    <n v="3819"/>
    <n v="0"/>
    <n v="458.28"/>
    <n v="4277.28"/>
  </r>
  <r>
    <d v="2020-04-04T00:00:00"/>
    <s v="Abr"/>
    <n v="2020"/>
    <x v="1"/>
    <s v="Productos Lácteos"/>
    <s v="Gorgonzola Telino"/>
    <n v="56"/>
    <n v="28"/>
    <n v="1568"/>
    <n v="5.0000000745058101E-2"/>
    <n v="188.16"/>
    <n v="1756.109999999255"/>
  </r>
  <r>
    <d v="2020-04-04T00:00:00"/>
    <s v="Abr"/>
    <n v="2020"/>
    <x v="27"/>
    <s v="Granos y Cereales"/>
    <s v="Gnocchi di nonna Alice"/>
    <n v="83"/>
    <n v="22"/>
    <n v="1826"/>
    <n v="0"/>
    <n v="219.12"/>
    <n v="2045.12"/>
  </r>
  <r>
    <d v="2020-04-04T00:00:00"/>
    <s v="Abr"/>
    <n v="2020"/>
    <x v="27"/>
    <s v="Productos Lácteos"/>
    <s v="Mozzarella di Giovanni"/>
    <n v="6"/>
    <n v="62"/>
    <n v="372"/>
    <n v="0"/>
    <n v="44.64"/>
    <n v="416.64"/>
  </r>
  <r>
    <d v="2020-04-04T00:00:00"/>
    <s v="Abr"/>
    <n v="2020"/>
    <x v="27"/>
    <s v="Condimentos"/>
    <s v="Salsa verde original de Frankfurt"/>
    <n v="80"/>
    <n v="47"/>
    <n v="3760"/>
    <n v="0"/>
    <n v="451.2"/>
    <n v="4211.2"/>
  </r>
  <r>
    <d v="2020-04-07T00:00:00"/>
    <s v="Abr"/>
    <n v="2020"/>
    <x v="8"/>
    <s v="Bebidas"/>
    <s v="Guaraná Fantástica"/>
    <n v="5"/>
    <n v="64"/>
    <n v="320"/>
    <n v="0"/>
    <n v="38.4"/>
    <n v="358.4"/>
  </r>
  <r>
    <d v="2020-04-07T00:00:00"/>
    <s v="Abr"/>
    <n v="2020"/>
    <x v="8"/>
    <s v="Mariscos"/>
    <s v="Carne de cangrejo de Boston"/>
    <n v="24"/>
    <n v="10"/>
    <n v="240"/>
    <n v="0"/>
    <n v="28.799999999999997"/>
    <n v="268.8"/>
  </r>
  <r>
    <d v="2020-04-07T00:00:00"/>
    <s v="Abr"/>
    <n v="2020"/>
    <x v="8"/>
    <s v="Granos y Cereales"/>
    <s v="Fried Mee de hockey de Singapur"/>
    <n v="13"/>
    <n v="79"/>
    <n v="1027"/>
    <n v="0"/>
    <n v="123.24"/>
    <n v="1150.24"/>
  </r>
  <r>
    <d v="2020-04-08T00:00:00"/>
    <s v="Abr"/>
    <n v="2020"/>
    <x v="29"/>
    <s v="Productos Alimenticios"/>
    <s v="Chucrut Rössle"/>
    <n v="37"/>
    <n v="17"/>
    <n v="629"/>
    <n v="0"/>
    <n v="75.48"/>
    <n v="704.48"/>
  </r>
  <r>
    <d v="2020-04-08T00:00:00"/>
    <s v="Abr"/>
    <n v="2020"/>
    <x v="29"/>
    <s v="Dulces"/>
    <s v="Maxilaku"/>
    <n v="86"/>
    <n v="93"/>
    <n v="7998"/>
    <n v="0"/>
    <n v="959.76"/>
    <n v="8957.76"/>
  </r>
  <r>
    <d v="2020-04-09T00:00:00"/>
    <s v="Abr"/>
    <n v="2020"/>
    <x v="52"/>
    <s v="Condimentos"/>
    <s v="Genes Shouyu"/>
    <n v="43"/>
    <n v="24"/>
    <n v="1032"/>
    <n v="5.0000000745058101E-2"/>
    <n v="123.83999999999999"/>
    <n v="1155.7899999992549"/>
  </r>
  <r>
    <d v="2020-04-09T00:00:00"/>
    <s v="Abr"/>
    <n v="2020"/>
    <x v="52"/>
    <s v="Productos Alimenticios"/>
    <s v="Chucrut Rössle"/>
    <n v="4"/>
    <n v="47"/>
    <n v="188"/>
    <n v="5.0000000745058101E-2"/>
    <n v="22.56"/>
    <n v="210.50999999925494"/>
  </r>
  <r>
    <d v="2020-04-09T00:00:00"/>
    <s v="Abr"/>
    <n v="2020"/>
    <x v="77"/>
    <s v="Carnes y Aves"/>
    <s v="Tourtière"/>
    <n v="80"/>
    <n v="98"/>
    <n v="7840"/>
    <n v="0"/>
    <n v="940.8"/>
    <n v="8780.7999999999993"/>
  </r>
  <r>
    <d v="2020-04-10T00:00:00"/>
    <s v="Abr"/>
    <n v="2020"/>
    <x v="42"/>
    <s v="Mariscos"/>
    <s v="Arenque ahumado"/>
    <n v="79"/>
    <n v="84"/>
    <n v="6636"/>
    <n v="0"/>
    <n v="796.31999999999994"/>
    <n v="7432.32"/>
  </r>
  <r>
    <d v="2020-04-10T00:00:00"/>
    <s v="Abr"/>
    <n v="2020"/>
    <x v="42"/>
    <s v="Carnes y Aves"/>
    <s v="Empanadas de Perth"/>
    <n v="58"/>
    <n v="47"/>
    <n v="2726"/>
    <n v="0"/>
    <n v="327.12"/>
    <n v="3053.12"/>
  </r>
  <r>
    <d v="2020-04-10T00:00:00"/>
    <s v="Abr"/>
    <n v="2020"/>
    <x v="42"/>
    <s v="Bebidas"/>
    <s v="Lager de leñador riendo"/>
    <n v="87"/>
    <n v="81"/>
    <n v="7047"/>
    <n v="0"/>
    <n v="845.64"/>
    <n v="7892.64"/>
  </r>
  <r>
    <d v="2020-04-11T00:00:00"/>
    <s v="Abr"/>
    <n v="2020"/>
    <x v="34"/>
    <s v="Productos Alimenticios"/>
    <s v="tofu"/>
    <n v="62"/>
    <n v="21"/>
    <n v="1302"/>
    <n v="0"/>
    <n v="156.23999999999998"/>
    <n v="1458.24"/>
  </r>
  <r>
    <d v="2020-04-11T00:00:00"/>
    <s v="Abr"/>
    <n v="2020"/>
    <x v="34"/>
    <s v="Condimentos"/>
    <s v="Salsa de pimiento picante de Luisiana"/>
    <n v="78"/>
    <n v="61"/>
    <n v="4758"/>
    <n v="0"/>
    <n v="570.95999999999992"/>
    <n v="5328.96"/>
  </r>
  <r>
    <d v="2020-04-11T00:00:00"/>
    <s v="Abr"/>
    <n v="2020"/>
    <x v="19"/>
    <s v="Bebidas"/>
    <s v="Chang"/>
    <n v="20"/>
    <n v="10"/>
    <n v="200"/>
    <n v="0"/>
    <n v="24"/>
    <n v="224"/>
  </r>
  <r>
    <d v="2020-04-11T00:00:00"/>
    <s v="Abr"/>
    <n v="2020"/>
    <x v="19"/>
    <s v="Dulces"/>
    <s v="Scones de Sir Rodney"/>
    <n v="90"/>
    <n v="67"/>
    <n v="6030"/>
    <n v="0"/>
    <n v="723.6"/>
    <n v="6753.6"/>
  </r>
  <r>
    <d v="2020-04-11T00:00:00"/>
    <s v="Abr"/>
    <n v="2020"/>
    <x v="19"/>
    <s v="Carnes y Aves"/>
    <s v="Empanadas de Perth"/>
    <n v="54"/>
    <n v="84"/>
    <n v="4536"/>
    <n v="0"/>
    <n v="544.31999999999994"/>
    <n v="5080.32"/>
  </r>
  <r>
    <d v="2020-04-11T00:00:00"/>
    <s v="Abr"/>
    <n v="2020"/>
    <x v="19"/>
    <s v="Condimentos"/>
    <s v="miel de maple"/>
    <n v="90"/>
    <n v="57"/>
    <n v="5130"/>
    <n v="0"/>
    <n v="615.6"/>
    <n v="5745.6"/>
  </r>
  <r>
    <d v="2020-04-14T00:00:00"/>
    <s v="Abr"/>
    <n v="2020"/>
    <x v="48"/>
    <s v="Dulces"/>
    <s v="Tarta de azúcar"/>
    <n v="55"/>
    <n v="24"/>
    <n v="1320"/>
    <n v="0"/>
    <n v="158.4"/>
    <n v="1478.4"/>
  </r>
  <r>
    <d v="2020-04-15T00:00:00"/>
    <s v="Abr"/>
    <n v="2020"/>
    <x v="43"/>
    <s v="Dulces"/>
    <s v="Crema de Turrón de Nueces NuNuCa"/>
    <n v="45"/>
    <n v="46"/>
    <n v="2070"/>
    <n v="0.10000000149011599"/>
    <n v="248.39999999999998"/>
    <n v="2318.29999999851"/>
  </r>
  <r>
    <d v="2020-04-15T00:00:00"/>
    <s v="Abr"/>
    <n v="2020"/>
    <x v="43"/>
    <s v="Bebidas"/>
    <s v="Outback Lager"/>
    <n v="23"/>
    <n v="60"/>
    <n v="1380"/>
    <n v="0.10000000149011599"/>
    <n v="165.6"/>
    <n v="1545.4999999985098"/>
  </r>
  <r>
    <d v="2020-04-15T00:00:00"/>
    <s v="Abr"/>
    <n v="2020"/>
    <x v="58"/>
    <s v="Bebidas"/>
    <s v="Café Ipoh"/>
    <n v="46"/>
    <n v="73"/>
    <n v="3358"/>
    <n v="0.15000000596046401"/>
    <n v="402.96"/>
    <n v="3760.8099999940396"/>
  </r>
  <r>
    <d v="2020-04-15T00:00:00"/>
    <s v="Abr"/>
    <n v="2020"/>
    <x v="58"/>
    <s v="Dulces"/>
    <s v="Chocolate"/>
    <n v="98"/>
    <n v="74"/>
    <n v="7252"/>
    <n v="0.15000000596046401"/>
    <n v="870.24"/>
    <n v="8122.0899999940393"/>
  </r>
  <r>
    <d v="2020-04-16T00:00:00"/>
    <s v="Abr"/>
    <n v="2020"/>
    <x v="67"/>
    <s v="Mariscos"/>
    <s v="Konbu"/>
    <n v="5"/>
    <n v="75"/>
    <n v="375"/>
    <n v="0"/>
    <n v="45"/>
    <n v="420"/>
  </r>
  <r>
    <d v="2020-04-16T00:00:00"/>
    <s v="Abr"/>
    <n v="2020"/>
    <x v="67"/>
    <s v="Bebidas"/>
    <s v="Chartreuse verde"/>
    <n v="18"/>
    <n v="13"/>
    <n v="234"/>
    <n v="0"/>
    <n v="28.08"/>
    <n v="262.08"/>
  </r>
  <r>
    <d v="2020-04-17T00:00:00"/>
    <s v="Abr"/>
    <n v="2020"/>
    <x v="77"/>
    <s v="Productos Alimenticios"/>
    <s v="Chucrut Rössle"/>
    <n v="96"/>
    <n v="81"/>
    <n v="7776"/>
    <n v="0"/>
    <n v="933.12"/>
    <n v="8709.1200000000008"/>
  </r>
  <r>
    <d v="2020-04-18T00:00:00"/>
    <s v="Abr"/>
    <n v="2020"/>
    <x v="44"/>
    <s v="Carnes y Aves"/>
    <s v="Salchicha asada de Turingia"/>
    <n v="47"/>
    <n v="99"/>
    <n v="4653"/>
    <n v="0"/>
    <n v="558.36"/>
    <n v="5211.3599999999997"/>
  </r>
  <r>
    <d v="2020-04-18T00:00:00"/>
    <s v="Abr"/>
    <n v="2020"/>
    <x v="44"/>
    <s v="Bebidas"/>
    <s v="Rhönbräu Klosterbier"/>
    <n v="52"/>
    <n v="74"/>
    <n v="3848"/>
    <n v="0.10000000149011599"/>
    <n v="461.76"/>
    <n v="4309.6599999985101"/>
  </r>
  <r>
    <d v="2020-04-18T00:00:00"/>
    <s v="Abr"/>
    <n v="2020"/>
    <x v="47"/>
    <s v="Condimentos"/>
    <s v="Condimento Cajún del Chef Anton"/>
    <n v="16"/>
    <n v="32"/>
    <n v="512"/>
    <n v="0.15000000596046401"/>
    <n v="61.44"/>
    <n v="573.28999999403959"/>
  </r>
  <r>
    <d v="2020-04-18T00:00:00"/>
    <s v="Abr"/>
    <n v="2020"/>
    <x v="47"/>
    <s v="Productos Alimenticios"/>
    <s v="Peras secas orgánicas del tío Bob"/>
    <n v="32"/>
    <n v="87"/>
    <n v="2784"/>
    <n v="0.15000000596046401"/>
    <n v="334.08"/>
    <n v="3117.9299999940395"/>
  </r>
  <r>
    <d v="2020-04-18T00:00:00"/>
    <s v="Abr"/>
    <n v="2020"/>
    <x v="47"/>
    <s v="Condimentos"/>
    <s v="Salsa de arándanos Northwoods"/>
    <n v="49"/>
    <n v="78"/>
    <n v="3822"/>
    <n v="0.15000000596046401"/>
    <n v="458.64"/>
    <n v="4280.4899999940399"/>
  </r>
  <r>
    <d v="2020-04-21T00:00:00"/>
    <s v="Abr"/>
    <n v="2020"/>
    <x v="51"/>
    <s v="Bebidas"/>
    <s v="Guaraná Fantástica"/>
    <n v="63"/>
    <n v="13"/>
    <n v="819"/>
    <n v="0.15000000596046401"/>
    <n v="98.28"/>
    <n v="917.12999999403951"/>
  </r>
  <r>
    <d v="2020-04-21T00:00:00"/>
    <s v="Abr"/>
    <n v="2020"/>
    <x v="51"/>
    <s v="Mariscos"/>
    <s v="arenque"/>
    <n v="88"/>
    <n v="32"/>
    <n v="2816"/>
    <n v="0.15000000596046401"/>
    <n v="337.91999999999996"/>
    <n v="3153.7699999940396"/>
  </r>
  <r>
    <d v="2020-04-21T00:00:00"/>
    <s v="Abr"/>
    <n v="2020"/>
    <x v="51"/>
    <s v="Dulces"/>
    <s v="Tortas Zaanse"/>
    <n v="21"/>
    <n v="79"/>
    <n v="1659"/>
    <n v="0.15000000596046401"/>
    <n v="199.07999999999998"/>
    <n v="1857.9299999940395"/>
  </r>
  <r>
    <d v="2020-04-21T00:00:00"/>
    <s v="Abr"/>
    <n v="2020"/>
    <x v="51"/>
    <s v="Productos Lácteos"/>
    <s v="Pierrot camembert"/>
    <n v="66"/>
    <n v="77"/>
    <n v="5082"/>
    <n v="0.15000000596046401"/>
    <n v="609.84"/>
    <n v="5691.6899999940397"/>
  </r>
  <r>
    <d v="2020-04-22T00:00:00"/>
    <s v="Abr"/>
    <n v="2020"/>
    <x v="35"/>
    <s v="Dulces"/>
    <s v="Scones de Sir Rodney"/>
    <n v="100"/>
    <n v="25"/>
    <n v="2500"/>
    <n v="0.20000000298023199"/>
    <n v="300"/>
    <n v="2799.7999999970198"/>
  </r>
  <r>
    <d v="2020-04-22T00:00:00"/>
    <s v="Abr"/>
    <n v="2020"/>
    <x v="35"/>
    <s v="Productos Lácteos"/>
    <s v="Mascarpone Fabioli"/>
    <n v="37"/>
    <n v="99"/>
    <n v="3663"/>
    <n v="0.20000000298023199"/>
    <n v="439.56"/>
    <n v="4102.3599999970202"/>
  </r>
  <r>
    <d v="2020-04-22T00:00:00"/>
    <s v="Abr"/>
    <n v="2020"/>
    <x v="35"/>
    <s v="Condimentos"/>
    <s v="miel de maple"/>
    <n v="71"/>
    <n v="94"/>
    <n v="6674"/>
    <n v="0.20000000298023199"/>
    <n v="800.88"/>
    <n v="7474.6799999970199"/>
  </r>
  <r>
    <d v="2020-04-22T00:00:00"/>
    <s v="Abr"/>
    <n v="2020"/>
    <x v="9"/>
    <s v="Dulces"/>
    <s v="Mermelada de Sir Rodney"/>
    <n v="6"/>
    <n v="93"/>
    <n v="558"/>
    <n v="0"/>
    <n v="66.959999999999994"/>
    <n v="624.96"/>
  </r>
  <r>
    <d v="2020-04-22T00:00:00"/>
    <s v="Abr"/>
    <n v="2020"/>
    <x v="9"/>
    <s v="Productos Alimenticios"/>
    <s v="Chucrut Rössle"/>
    <n v="36"/>
    <n v="42"/>
    <n v="1512"/>
    <n v="0"/>
    <n v="181.44"/>
    <n v="1693.44"/>
  </r>
  <r>
    <d v="2020-04-22T00:00:00"/>
    <s v="Abr"/>
    <n v="2020"/>
    <x v="9"/>
    <s v="Granos y Cereales"/>
    <s v="Gnocchi di nonna Alice"/>
    <n v="91"/>
    <n v="70"/>
    <n v="6370"/>
    <n v="0"/>
    <n v="764.4"/>
    <n v="7134.4"/>
  </r>
  <r>
    <d v="2020-04-22T00:00:00"/>
    <s v="Abr"/>
    <n v="2020"/>
    <x v="9"/>
    <s v="Condimentos"/>
    <s v="Salsa de pimiento picante de Luisiana"/>
    <n v="62"/>
    <n v="93"/>
    <n v="5766"/>
    <n v="0"/>
    <n v="691.92"/>
    <n v="6457.92"/>
  </r>
  <r>
    <d v="2020-04-22T00:00:00"/>
    <s v="Abr"/>
    <n v="2020"/>
    <x v="9"/>
    <s v="Bebidas"/>
    <s v="Rhönbräu Klosterbier"/>
    <n v="43"/>
    <n v="53"/>
    <n v="2279"/>
    <n v="0"/>
    <n v="273.48"/>
    <n v="2552.48"/>
  </r>
  <r>
    <d v="2020-04-23T00:00:00"/>
    <s v="Abr"/>
    <n v="2020"/>
    <x v="21"/>
    <s v="Carnes y Aves"/>
    <s v="Mishi Kobe Niku"/>
    <n v="94"/>
    <n v="44"/>
    <n v="4136"/>
    <n v="0.15000000596046401"/>
    <n v="496.32"/>
    <n v="4632.1699999940392"/>
  </r>
  <r>
    <d v="2020-04-23T00:00:00"/>
    <s v="Abr"/>
    <n v="2020"/>
    <x v="21"/>
    <s v="Dulces"/>
    <s v="Pavlova"/>
    <n v="25"/>
    <n v="28"/>
    <n v="700"/>
    <n v="0"/>
    <n v="84"/>
    <n v="784"/>
  </r>
  <r>
    <d v="2020-04-23T00:00:00"/>
    <s v="Abr"/>
    <n v="2020"/>
    <x v="21"/>
    <s v="Dulces"/>
    <s v="Chocolate Schoggi"/>
    <n v="2"/>
    <n v="97"/>
    <n v="194"/>
    <n v="0"/>
    <n v="23.279999999999998"/>
    <n v="217.28"/>
  </r>
  <r>
    <d v="2020-04-23T00:00:00"/>
    <s v="Abr"/>
    <n v="2020"/>
    <x v="21"/>
    <s v="Productos Lácteos"/>
    <s v="Queso de cabra"/>
    <n v="96"/>
    <n v="65"/>
    <n v="6240"/>
    <n v="0.15000000596046401"/>
    <n v="748.8"/>
    <n v="6988.6499999940397"/>
  </r>
  <r>
    <d v="2020-04-23T00:00:00"/>
    <s v="Abr"/>
    <n v="2020"/>
    <x v="21"/>
    <s v="Productos Lácteos"/>
    <s v="Pierrot camembert"/>
    <n v="32"/>
    <n v="94"/>
    <n v="3008"/>
    <n v="0.15000000596046401"/>
    <n v="360.96"/>
    <n v="3368.8099999940396"/>
  </r>
  <r>
    <d v="2020-04-24T00:00:00"/>
    <s v="Abr"/>
    <n v="2020"/>
    <x v="34"/>
    <s v="Mariscos"/>
    <s v="Tigres de Carnarvon"/>
    <n v="45"/>
    <n v="54"/>
    <n v="2430"/>
    <n v="0.10000000149011599"/>
    <n v="291.59999999999997"/>
    <n v="2721.4999999985098"/>
  </r>
  <r>
    <d v="2020-04-24T00:00:00"/>
    <s v="Abr"/>
    <n v="2020"/>
    <x v="34"/>
    <s v="Mariscos"/>
    <s v="Sopa de almejas de Nueva Inglaterra de Jack"/>
    <n v="81"/>
    <n v="97"/>
    <n v="7857"/>
    <n v="0.10000000149011599"/>
    <n v="942.83999999999992"/>
    <n v="8799.73999999851"/>
  </r>
  <r>
    <d v="2020-04-24T00:00:00"/>
    <s v="Abr"/>
    <n v="2020"/>
    <x v="34"/>
    <s v="Granos y Cereales"/>
    <s v="Fried Mee de hockey de Singapur"/>
    <n v="11"/>
    <n v="12"/>
    <n v="132"/>
    <n v="0"/>
    <n v="15.84"/>
    <n v="147.84"/>
  </r>
  <r>
    <d v="2020-04-24T00:00:00"/>
    <s v="Abr"/>
    <n v="2020"/>
    <x v="78"/>
    <s v="Granos y Cereales"/>
    <s v="Filo Mix"/>
    <n v="5"/>
    <n v="37"/>
    <n v="185"/>
    <n v="0"/>
    <n v="22.2"/>
    <n v="207.2"/>
  </r>
  <r>
    <d v="2020-04-24T00:00:00"/>
    <s v="Abr"/>
    <n v="2020"/>
    <x v="78"/>
    <s v="Productos Lácteos"/>
    <s v="Raclette Courdavault"/>
    <n v="46"/>
    <n v="47"/>
    <n v="2162"/>
    <n v="0"/>
    <n v="259.44"/>
    <n v="2421.44"/>
  </r>
  <r>
    <d v="2020-04-24T00:00:00"/>
    <s v="Abr"/>
    <n v="2020"/>
    <x v="78"/>
    <s v="Bebidas"/>
    <s v="Outback Lager"/>
    <n v="50"/>
    <n v="27"/>
    <n v="1350"/>
    <n v="0"/>
    <n v="162"/>
    <n v="1512"/>
  </r>
  <r>
    <d v="2020-04-25T00:00:00"/>
    <s v="Abr"/>
    <n v="2020"/>
    <x v="24"/>
    <s v="Bebidas"/>
    <s v="Guaraná Fantástica"/>
    <n v="66"/>
    <n v="12"/>
    <n v="792"/>
    <n v="0"/>
    <n v="95.039999999999992"/>
    <n v="887.04"/>
  </r>
  <r>
    <d v="2020-04-25T00:00:00"/>
    <s v="Abr"/>
    <n v="2020"/>
    <x v="24"/>
    <s v="Bebidas"/>
    <s v="Côte de Blaye"/>
    <n v="32"/>
    <n v="43"/>
    <n v="1376"/>
    <n v="0"/>
    <n v="165.12"/>
    <n v="1541.12"/>
  </r>
  <r>
    <d v="2020-04-25T00:00:00"/>
    <s v="Abr"/>
    <n v="2020"/>
    <x v="24"/>
    <s v="Condimentos"/>
    <s v="Gula Malacca"/>
    <n v="25"/>
    <n v="57"/>
    <n v="1425"/>
    <n v="0"/>
    <n v="171"/>
    <n v="1596"/>
  </r>
  <r>
    <d v="2020-04-28T00:00:00"/>
    <s v="Abr"/>
    <n v="2020"/>
    <x v="5"/>
    <s v="Mariscos"/>
    <s v="Ikura"/>
    <n v="11"/>
    <n v="51"/>
    <n v="561"/>
    <n v="5.0000000745058101E-2"/>
    <n v="67.319999999999993"/>
    <n v="628.26999999925488"/>
  </r>
  <r>
    <d v="2020-04-28T00:00:00"/>
    <s v="Abr"/>
    <n v="2020"/>
    <x v="5"/>
    <s v="Granos y Cereales"/>
    <s v="Gnocchi di nonna Alice"/>
    <n v="63"/>
    <n v="56"/>
    <n v="3528"/>
    <n v="0"/>
    <n v="423.35999999999996"/>
    <n v="3951.36"/>
  </r>
  <r>
    <d v="2020-04-28T00:00:00"/>
    <s v="Abr"/>
    <n v="2020"/>
    <x v="5"/>
    <s v="Productos Lácteos"/>
    <s v="Pierrot camembert"/>
    <n v="14"/>
    <n v="100"/>
    <n v="1400"/>
    <n v="5.0000000745058101E-2"/>
    <n v="168"/>
    <n v="1567.9499999992549"/>
  </r>
  <r>
    <d v="2020-04-29T00:00:00"/>
    <s v="Abr"/>
    <n v="2020"/>
    <x v="64"/>
    <s v="Bebidas"/>
    <s v="Guaraná Fantástica"/>
    <n v="2"/>
    <n v="20"/>
    <n v="40"/>
    <n v="0"/>
    <n v="4.8"/>
    <n v="44.8"/>
  </r>
  <r>
    <d v="2020-04-29T00:00:00"/>
    <s v="Abr"/>
    <n v="2020"/>
    <x v="64"/>
    <s v="Carnes y Aves"/>
    <s v="Empanadas de Perth"/>
    <n v="22"/>
    <n v="98"/>
    <n v="2156"/>
    <n v="0"/>
    <n v="258.71999999999997"/>
    <n v="2414.7199999999998"/>
  </r>
  <r>
    <d v="2020-04-29T00:00:00"/>
    <s v="Abr"/>
    <n v="2020"/>
    <x v="79"/>
    <s v="Bebidas"/>
    <s v="Steeleye Stout"/>
    <n v="66"/>
    <n v="43"/>
    <n v="2838"/>
    <n v="0"/>
    <n v="340.56"/>
    <n v="3178.56"/>
  </r>
  <r>
    <d v="2020-04-29T00:00:00"/>
    <s v="Abr"/>
    <n v="2020"/>
    <x v="79"/>
    <s v="Mariscos"/>
    <s v="Sopa de almejas de Nueva Inglaterra de Jack"/>
    <n v="11"/>
    <n v="28"/>
    <n v="308"/>
    <n v="0"/>
    <n v="36.96"/>
    <n v="344.96"/>
  </r>
  <r>
    <d v="2020-04-29T00:00:00"/>
    <s v="Abr"/>
    <n v="2020"/>
    <x v="79"/>
    <s v="Dulces"/>
    <s v="Pan largo escocés"/>
    <n v="79"/>
    <n v="81"/>
    <n v="6399"/>
    <n v="0"/>
    <n v="767.88"/>
    <n v="7166.88"/>
  </r>
  <r>
    <d v="2020-04-30T00:00:00"/>
    <s v="Abr"/>
    <n v="2020"/>
    <x v="27"/>
    <s v="Bebidas"/>
    <s v="Chai"/>
    <n v="51"/>
    <n v="99"/>
    <n v="5049"/>
    <n v="0.20000000298023199"/>
    <n v="605.88"/>
    <n v="5654.6799999970199"/>
  </r>
  <r>
    <d v="2020-04-30T00:00:00"/>
    <s v="Abr"/>
    <n v="2020"/>
    <x v="27"/>
    <s v="Condimentos"/>
    <s v="Salsa de arándanos Northwoods"/>
    <n v="17"/>
    <n v="21"/>
    <n v="357"/>
    <n v="0"/>
    <n v="42.839999999999996"/>
    <n v="399.84"/>
  </r>
  <r>
    <d v="2020-04-30T00:00:00"/>
    <s v="Abr"/>
    <n v="2020"/>
    <x v="27"/>
    <s v="Mariscos"/>
    <s v="Nord-Ost Matjeshering"/>
    <n v="90"/>
    <n v="76"/>
    <n v="6840"/>
    <n v="0.20000000298023199"/>
    <n v="820.8"/>
    <n v="7660.5999999970199"/>
  </r>
  <r>
    <d v="2020-04-30T00:00:00"/>
    <s v="Abr"/>
    <n v="2020"/>
    <x v="27"/>
    <s v="Mariscos"/>
    <s v="Carne de cangrejo de Boston"/>
    <n v="56"/>
    <n v="45"/>
    <n v="2520"/>
    <n v="0.20000000298023199"/>
    <n v="302.39999999999998"/>
    <n v="2822.1999999970199"/>
  </r>
  <r>
    <d v="2020-05-01T00:00:00"/>
    <s v="May"/>
    <n v="2020"/>
    <x v="55"/>
    <s v="Carnes y Aves"/>
    <s v="Alice Cordero"/>
    <n v="46"/>
    <n v="58"/>
    <n v="2668"/>
    <n v="0.10000000149011599"/>
    <n v="320.15999999999997"/>
    <n v="2988.0599999985097"/>
  </r>
  <r>
    <d v="2020-05-01T00:00:00"/>
    <s v="May"/>
    <n v="2020"/>
    <x v="55"/>
    <s v="Dulces"/>
    <s v="Mermelada de Sir Rodney"/>
    <n v="35"/>
    <n v="25"/>
    <n v="875"/>
    <n v="0.10000000149011599"/>
    <n v="105"/>
    <n v="979.89999999850988"/>
  </r>
  <r>
    <d v="2020-05-01T00:00:00"/>
    <s v="May"/>
    <n v="2020"/>
    <x v="55"/>
    <s v="Mariscos"/>
    <s v="Gravad laxo"/>
    <n v="31"/>
    <n v="63"/>
    <n v="1953"/>
    <n v="0.10000000149011599"/>
    <n v="234.35999999999999"/>
    <n v="2187.25999999851"/>
  </r>
  <r>
    <d v="2020-05-01T00:00:00"/>
    <s v="May"/>
    <n v="2020"/>
    <x v="55"/>
    <s v="Mariscos"/>
    <s v="Sopa de almejas de Nueva Inglaterra de Jack"/>
    <n v="20"/>
    <n v="66"/>
    <n v="1320"/>
    <n v="0.10000000149011599"/>
    <n v="158.4"/>
    <n v="1478.29999999851"/>
  </r>
  <r>
    <d v="2020-05-01T00:00:00"/>
    <s v="May"/>
    <n v="2020"/>
    <x v="26"/>
    <s v="Mariscos"/>
    <s v="Ikura"/>
    <n v="31"/>
    <n v="11"/>
    <n v="341"/>
    <n v="0"/>
    <n v="40.92"/>
    <n v="381.92"/>
  </r>
  <r>
    <d v="2020-05-01T00:00:00"/>
    <s v="May"/>
    <n v="2020"/>
    <x v="26"/>
    <s v="Mariscos"/>
    <s v="Nord-Ost Matjeshering"/>
    <n v="59"/>
    <n v="63"/>
    <n v="3717"/>
    <n v="0"/>
    <n v="446.03999999999996"/>
    <n v="4163.04"/>
  </r>
  <r>
    <d v="2020-05-01T00:00:00"/>
    <s v="May"/>
    <n v="2020"/>
    <x v="26"/>
    <s v="Bebidas"/>
    <s v="Café Ipoh"/>
    <n v="3"/>
    <n v="52"/>
    <n v="156"/>
    <n v="0"/>
    <n v="18.72"/>
    <n v="174.72"/>
  </r>
  <r>
    <d v="2020-05-01T00:00:00"/>
    <s v="May"/>
    <n v="2020"/>
    <x v="26"/>
    <s v="Carnes y Aves"/>
    <s v="Tourtière"/>
    <n v="94"/>
    <n v="41"/>
    <n v="3854"/>
    <n v="0"/>
    <n v="462.47999999999996"/>
    <n v="4316.4799999999996"/>
  </r>
  <r>
    <d v="2020-05-02T00:00:00"/>
    <s v="May"/>
    <n v="2020"/>
    <x v="47"/>
    <s v="Mariscos"/>
    <s v="Arenque en escabeche"/>
    <n v="96"/>
    <n v="87"/>
    <n v="8352"/>
    <n v="0"/>
    <n v="1002.24"/>
    <n v="9354.24"/>
  </r>
  <r>
    <d v="2020-05-02T00:00:00"/>
    <s v="May"/>
    <n v="2020"/>
    <x v="47"/>
    <s v="Mariscos"/>
    <s v="Carne de cangrejo de Boston"/>
    <n v="83"/>
    <n v="45"/>
    <n v="3735"/>
    <n v="0.10000000149011599"/>
    <n v="448.2"/>
    <n v="4183.0999999985097"/>
  </r>
  <r>
    <d v="2020-05-05T00:00:00"/>
    <s v="May"/>
    <n v="2020"/>
    <x v="16"/>
    <s v="Bebidas"/>
    <s v="Chai"/>
    <n v="36"/>
    <n v="46"/>
    <n v="1656"/>
    <n v="0.15000000596046401"/>
    <n v="198.72"/>
    <n v="1854.5699999940396"/>
  </r>
  <r>
    <d v="2020-05-05T00:00:00"/>
    <s v="May"/>
    <n v="2020"/>
    <x v="16"/>
    <s v="Mariscos"/>
    <s v="Konbu"/>
    <n v="33"/>
    <n v="58"/>
    <n v="1914"/>
    <n v="0"/>
    <n v="229.67999999999998"/>
    <n v="2143.6799999999998"/>
  </r>
  <r>
    <d v="2020-05-05T00:00:00"/>
    <s v="May"/>
    <n v="2020"/>
    <x v="16"/>
    <s v="Granos y Cereales"/>
    <s v="Gnocchi di nonna Alice"/>
    <n v="58"/>
    <n v="64"/>
    <n v="3712"/>
    <n v="0.15000000596046401"/>
    <n v="445.44"/>
    <n v="4157.2899999940391"/>
  </r>
  <r>
    <d v="2020-05-05T00:00:00"/>
    <s v="May"/>
    <n v="2020"/>
    <x v="21"/>
    <s v="Condimentos"/>
    <s v="Condimento Cajún del Chef Anton"/>
    <n v="2"/>
    <n v="77"/>
    <n v="154"/>
    <n v="0.10000000149011599"/>
    <n v="18.48"/>
    <n v="172.37999999850987"/>
  </r>
  <r>
    <d v="2020-05-05T00:00:00"/>
    <s v="May"/>
    <n v="2020"/>
    <x v="21"/>
    <s v="Mariscos"/>
    <s v="Arenque en escabeche"/>
    <n v="24"/>
    <n v="40"/>
    <n v="960"/>
    <n v="0.10000000149011599"/>
    <n v="115.19999999999999"/>
    <n v="1075.0999999985099"/>
  </r>
  <r>
    <d v="2020-05-06T00:00:00"/>
    <s v="May"/>
    <n v="2020"/>
    <x v="80"/>
    <s v="Productos Lácteos"/>
    <s v="Queso Cabrales"/>
    <n v="31"/>
    <n v="21"/>
    <n v="651"/>
    <n v="0"/>
    <n v="78.11999999999999"/>
    <n v="729.12"/>
  </r>
  <r>
    <d v="2020-05-06T00:00:00"/>
    <s v="May"/>
    <n v="2020"/>
    <x v="80"/>
    <s v="Productos Lácteos"/>
    <s v="Queso de cabra"/>
    <n v="44"/>
    <n v="48"/>
    <n v="2112"/>
    <n v="0.20000000298023199"/>
    <n v="253.44"/>
    <n v="2365.2399999970198"/>
  </r>
  <r>
    <d v="2020-05-06T00:00:00"/>
    <s v="May"/>
    <n v="2020"/>
    <x v="80"/>
    <s v="Productos Lácteos"/>
    <s v="Mozzarella di Giovanni"/>
    <n v="84"/>
    <n v="60"/>
    <n v="5040"/>
    <n v="0"/>
    <n v="604.79999999999995"/>
    <n v="5644.8"/>
  </r>
  <r>
    <d v="2020-05-07T00:00:00"/>
    <s v="May"/>
    <n v="2020"/>
    <x v="81"/>
    <s v="Carnes y Aves"/>
    <s v="Paté chino"/>
    <n v="27"/>
    <n v="14"/>
    <n v="378"/>
    <n v="0"/>
    <n v="45.36"/>
    <n v="423.36"/>
  </r>
  <r>
    <d v="2020-05-07T00:00:00"/>
    <s v="May"/>
    <n v="2020"/>
    <x v="81"/>
    <s v="Dulces"/>
    <s v="Pan largo escocés"/>
    <n v="28"/>
    <n v="47"/>
    <n v="1316"/>
    <n v="0"/>
    <n v="157.91999999999999"/>
    <n v="1473.92"/>
  </r>
  <r>
    <d v="2020-05-07T00:00:00"/>
    <s v="May"/>
    <n v="2020"/>
    <x v="81"/>
    <s v="Productos Lácteos"/>
    <s v="Gudbrandsdalsost"/>
    <n v="88"/>
    <n v="66"/>
    <n v="5808"/>
    <n v="0"/>
    <n v="696.95999999999992"/>
    <n v="6504.96"/>
  </r>
  <r>
    <d v="2020-05-08T00:00:00"/>
    <s v="May"/>
    <n v="2020"/>
    <x v="53"/>
    <s v="Carnes y Aves"/>
    <s v="Alice Cordero"/>
    <n v="71"/>
    <n v="28"/>
    <n v="1988"/>
    <n v="0"/>
    <n v="238.56"/>
    <n v="2226.56"/>
  </r>
  <r>
    <d v="2020-05-08T00:00:00"/>
    <s v="May"/>
    <n v="2020"/>
    <x v="53"/>
    <s v="Bebidas"/>
    <s v="Café Ipoh"/>
    <n v="77"/>
    <n v="78"/>
    <n v="6006"/>
    <n v="0"/>
    <n v="720.72"/>
    <n v="6726.72"/>
  </r>
  <r>
    <d v="2020-05-08T00:00:00"/>
    <s v="May"/>
    <n v="2020"/>
    <x v="53"/>
    <s v="Condimentos"/>
    <s v="miel de maple"/>
    <n v="14"/>
    <n v="62"/>
    <n v="868"/>
    <n v="0"/>
    <n v="104.16"/>
    <n v="972.16"/>
  </r>
  <r>
    <d v="2020-05-08T00:00:00"/>
    <s v="May"/>
    <n v="2020"/>
    <x v="53"/>
    <s v="Bebidas"/>
    <s v="Lakkalikööri"/>
    <n v="49"/>
    <n v="41"/>
    <n v="2009"/>
    <n v="0"/>
    <n v="241.07999999999998"/>
    <n v="2250.08"/>
  </r>
  <r>
    <d v="2020-05-08T00:00:00"/>
    <s v="May"/>
    <n v="2020"/>
    <x v="69"/>
    <s v="Productos Lácteos"/>
    <s v="Raclette Courdavault"/>
    <n v="18"/>
    <n v="18"/>
    <n v="324"/>
    <n v="0"/>
    <n v="38.879999999999995"/>
    <n v="362.88"/>
  </r>
  <r>
    <d v="2020-05-09T00:00:00"/>
    <s v="May"/>
    <n v="2020"/>
    <x v="57"/>
    <s v="Mariscos"/>
    <s v="Nord-Ost Matjeshering"/>
    <n v="49"/>
    <n v="29"/>
    <n v="1421"/>
    <n v="0"/>
    <n v="170.51999999999998"/>
    <n v="1591.52"/>
  </r>
  <r>
    <d v="2020-05-09T00:00:00"/>
    <s v="May"/>
    <n v="2020"/>
    <x v="57"/>
    <s v="Condimentos"/>
    <s v="Okra picante de Louisiana"/>
    <n v="16"/>
    <n v="39"/>
    <n v="624"/>
    <n v="0"/>
    <n v="74.88"/>
    <n v="698.88"/>
  </r>
  <r>
    <d v="2020-05-12T00:00:00"/>
    <s v="May"/>
    <n v="2020"/>
    <x v="14"/>
    <s v="Condimentos"/>
    <s v="Condimento Cajún del Chef Anton"/>
    <n v="29"/>
    <n v="24"/>
    <n v="696"/>
    <n v="5.0000000745058101E-2"/>
    <n v="83.52"/>
    <n v="779.46999999925492"/>
  </r>
  <r>
    <d v="2020-05-12T00:00:00"/>
    <s v="May"/>
    <n v="2020"/>
    <x v="14"/>
    <s v="Productos Lácteos"/>
    <s v="Mozzarella di Giovanni"/>
    <n v="95"/>
    <n v="16"/>
    <n v="1520"/>
    <n v="0"/>
    <n v="182.4"/>
    <n v="1702.4"/>
  </r>
  <r>
    <d v="2020-05-12T00:00:00"/>
    <s v="May"/>
    <n v="2020"/>
    <x v="14"/>
    <s v="Mariscos"/>
    <s v="Caviar rojo"/>
    <n v="64"/>
    <n v="71"/>
    <n v="4544"/>
    <n v="5.0000000745058101E-2"/>
    <n v="545.28"/>
    <n v="5089.2299999992547"/>
  </r>
  <r>
    <d v="2020-05-12T00:00:00"/>
    <s v="May"/>
    <n v="2020"/>
    <x v="27"/>
    <s v="Mariscos"/>
    <s v="Nord-Ost Matjeshering"/>
    <n v="28"/>
    <n v="32"/>
    <n v="896"/>
    <n v="0"/>
    <n v="107.52"/>
    <n v="1003.52"/>
  </r>
  <r>
    <d v="2020-05-12T00:00:00"/>
    <s v="May"/>
    <n v="2020"/>
    <x v="27"/>
    <s v="Mariscos"/>
    <s v="Carne de cangrejo de Boston"/>
    <n v="79"/>
    <n v="68"/>
    <n v="5372"/>
    <n v="0.20000000298023199"/>
    <n v="644.64"/>
    <n v="6016.4399999970201"/>
  </r>
  <r>
    <d v="2020-05-12T00:00:00"/>
    <s v="May"/>
    <n v="2020"/>
    <x v="27"/>
    <s v="Carnes y Aves"/>
    <s v="Tourtière"/>
    <n v="73"/>
    <n v="72"/>
    <n v="5256"/>
    <n v="0.20000000298023199"/>
    <n v="630.72"/>
    <n v="5886.51999999702"/>
  </r>
  <r>
    <d v="2020-05-13T00:00:00"/>
    <s v="May"/>
    <n v="2020"/>
    <x v="58"/>
    <s v="Productos Lácteos"/>
    <s v="Queso Cabrales"/>
    <n v="28"/>
    <n v="49"/>
    <n v="1372"/>
    <n v="0.10000000149011599"/>
    <n v="164.64"/>
    <n v="1536.5399999985098"/>
  </r>
  <r>
    <d v="2020-05-13T00:00:00"/>
    <s v="May"/>
    <n v="2020"/>
    <x v="58"/>
    <s v="Mariscos"/>
    <s v="Carne de cangrejo de Boston"/>
    <n v="60"/>
    <n v="69"/>
    <n v="4140"/>
    <n v="0.10000000149011599"/>
    <n v="496.79999999999995"/>
    <n v="4636.6999999985101"/>
  </r>
  <r>
    <d v="2020-05-13T00:00:00"/>
    <s v="May"/>
    <n v="2020"/>
    <x v="58"/>
    <s v="Granos y Cereales"/>
    <s v="Ravioli Angelo"/>
    <n v="12"/>
    <n v="62"/>
    <n v="744"/>
    <n v="0.10000000149011599"/>
    <n v="89.28"/>
    <n v="833.17999999850986"/>
  </r>
  <r>
    <d v="2020-05-13T00:00:00"/>
    <s v="May"/>
    <n v="2020"/>
    <x v="58"/>
    <s v="Productos Lácteos"/>
    <s v="Raclette Courdavault"/>
    <n v="5"/>
    <n v="95"/>
    <n v="475"/>
    <n v="0.10000000149011599"/>
    <n v="57"/>
    <n v="531.89999999850988"/>
  </r>
  <r>
    <d v="2020-05-14T00:00:00"/>
    <s v="May"/>
    <n v="2020"/>
    <x v="27"/>
    <s v="Productos Lácteos"/>
    <s v="Queso Manchego La Pastora"/>
    <n v="39"/>
    <n v="81"/>
    <n v="3159"/>
    <n v="0.25"/>
    <n v="379.08"/>
    <n v="3537.83"/>
  </r>
  <r>
    <d v="2020-05-14T00:00:00"/>
    <s v="May"/>
    <n v="2020"/>
    <x v="27"/>
    <s v="Productos Lácteos"/>
    <s v="Gorgonzola Telino"/>
    <n v="28"/>
    <n v="66"/>
    <n v="1848"/>
    <n v="0"/>
    <n v="221.76"/>
    <n v="2069.7600000000002"/>
  </r>
  <r>
    <d v="2020-05-14T00:00:00"/>
    <s v="May"/>
    <n v="2020"/>
    <x v="27"/>
    <s v="Productos Lácteos"/>
    <s v="Queso de cabra"/>
    <n v="6"/>
    <n v="93"/>
    <n v="558"/>
    <n v="0"/>
    <n v="66.959999999999994"/>
    <n v="624.96"/>
  </r>
  <r>
    <d v="2020-05-14T00:00:00"/>
    <s v="May"/>
    <n v="2020"/>
    <x v="27"/>
    <s v="Productos Lácteos"/>
    <s v="Pierrot camembert"/>
    <n v="70"/>
    <n v="55"/>
    <n v="3850"/>
    <n v="0.25"/>
    <n v="462"/>
    <n v="4311.75"/>
  </r>
  <r>
    <d v="2020-05-14T00:00:00"/>
    <s v="May"/>
    <n v="2020"/>
    <x v="6"/>
    <s v="Productos Lácteos"/>
    <s v="Gorgonzola Telino"/>
    <n v="87"/>
    <n v="42"/>
    <n v="3654"/>
    <n v="0"/>
    <n v="438.47999999999996"/>
    <n v="4092.48"/>
  </r>
  <r>
    <d v="2020-05-14T00:00:00"/>
    <s v="May"/>
    <n v="2020"/>
    <x v="6"/>
    <s v="Productos Alimenticios"/>
    <s v="Manjimup Dry Apples"/>
    <n v="66"/>
    <n v="39"/>
    <n v="2574"/>
    <n v="0"/>
    <n v="308.88"/>
    <n v="2882.88"/>
  </r>
  <r>
    <d v="2020-05-14T00:00:00"/>
    <s v="May"/>
    <n v="2020"/>
    <x v="6"/>
    <s v="Mariscos"/>
    <s v="Escorts borgoña"/>
    <n v="97"/>
    <n v="46"/>
    <n v="4462"/>
    <n v="0"/>
    <n v="535.43999999999994"/>
    <n v="4997.4399999999996"/>
  </r>
  <r>
    <d v="2020-05-14T00:00:00"/>
    <s v="May"/>
    <n v="2020"/>
    <x v="6"/>
    <s v="Productos Lácteos"/>
    <s v="Mozzarella di Giovanni"/>
    <n v="93"/>
    <n v="91"/>
    <n v="8463"/>
    <n v="0"/>
    <n v="1015.56"/>
    <n v="9478.56"/>
  </r>
  <r>
    <d v="2020-05-14T00:00:00"/>
    <s v="May"/>
    <n v="2020"/>
    <x v="6"/>
    <s v="Mariscos"/>
    <s v="Caviar rojo"/>
    <n v="68"/>
    <n v="55"/>
    <n v="3740"/>
    <n v="0"/>
    <n v="448.8"/>
    <n v="4188.8"/>
  </r>
  <r>
    <d v="2020-05-15T00:00:00"/>
    <s v="May"/>
    <n v="2020"/>
    <x v="32"/>
    <s v="Bebidas"/>
    <s v="Outback Lager"/>
    <n v="76"/>
    <n v="35"/>
    <n v="2660"/>
    <n v="0"/>
    <n v="319.2"/>
    <n v="2979.2"/>
  </r>
  <r>
    <d v="2020-05-15T00:00:00"/>
    <s v="May"/>
    <n v="2020"/>
    <x v="32"/>
    <s v="Productos Lácteos"/>
    <s v="Mozzarella di Giovanni"/>
    <n v="74"/>
    <n v="23"/>
    <n v="1702"/>
    <n v="0"/>
    <n v="204.23999999999998"/>
    <n v="1906.24"/>
  </r>
  <r>
    <d v="2020-05-16T00:00:00"/>
    <s v="May"/>
    <n v="2020"/>
    <x v="32"/>
    <s v="Mariscos"/>
    <s v="Konbu"/>
    <n v="4"/>
    <n v="98"/>
    <n v="392"/>
    <n v="0"/>
    <n v="47.04"/>
    <n v="439.04"/>
  </r>
  <r>
    <d v="2020-05-16T00:00:00"/>
    <s v="May"/>
    <n v="2020"/>
    <x v="32"/>
    <s v="Dulces"/>
    <s v="Scones de Sir Rodney"/>
    <n v="6"/>
    <n v="39"/>
    <n v="234"/>
    <n v="0"/>
    <n v="28.08"/>
    <n v="262.08"/>
  </r>
  <r>
    <d v="2020-05-16T00:00:00"/>
    <s v="May"/>
    <n v="2020"/>
    <x v="32"/>
    <s v="Productos Lácteos"/>
    <s v="Queso de cabra"/>
    <n v="98"/>
    <n v="88"/>
    <n v="8624"/>
    <n v="0"/>
    <n v="1034.8799999999999"/>
    <n v="9658.8799999999992"/>
  </r>
  <r>
    <d v="2020-05-16T00:00:00"/>
    <s v="May"/>
    <n v="2020"/>
    <x v="32"/>
    <s v="Dulces"/>
    <s v="Maxilaku"/>
    <n v="45"/>
    <n v="84"/>
    <n v="3780"/>
    <n v="0"/>
    <n v="453.59999999999997"/>
    <n v="4233.6000000000004"/>
  </r>
  <r>
    <d v="2020-05-19T00:00:00"/>
    <s v="May"/>
    <n v="2020"/>
    <x v="21"/>
    <s v="Condimentos"/>
    <s v="Jarabe de anís"/>
    <n v="55"/>
    <n v="81"/>
    <n v="4455"/>
    <n v="0"/>
    <n v="534.6"/>
    <n v="4989.6000000000004"/>
  </r>
  <r>
    <d v="2020-05-19T00:00:00"/>
    <s v="May"/>
    <n v="2020"/>
    <x v="21"/>
    <s v="Dulces"/>
    <s v="Gummär Gummibärchen"/>
    <n v="100"/>
    <n v="18"/>
    <n v="1800"/>
    <n v="0"/>
    <n v="216"/>
    <n v="2016"/>
  </r>
  <r>
    <d v="2020-05-19T00:00:00"/>
    <s v="May"/>
    <n v="2020"/>
    <x v="21"/>
    <s v="Bebidas"/>
    <s v="Côte de Blaye"/>
    <n v="48"/>
    <n v="19"/>
    <n v="912"/>
    <n v="0"/>
    <n v="109.44"/>
    <n v="1021.44"/>
  </r>
  <r>
    <d v="2020-05-19T00:00:00"/>
    <s v="May"/>
    <n v="2020"/>
    <x v="21"/>
    <s v="Dulces"/>
    <s v="Pan largo escocés"/>
    <n v="32"/>
    <n v="100"/>
    <n v="3200"/>
    <n v="0"/>
    <n v="384"/>
    <n v="3584"/>
  </r>
  <r>
    <d v="2020-05-19T00:00:00"/>
    <s v="May"/>
    <n v="2020"/>
    <x v="2"/>
    <s v="Bebidas"/>
    <s v="Guaraná Fantástica"/>
    <n v="9"/>
    <n v="83"/>
    <n v="747"/>
    <n v="0.10000000149011599"/>
    <n v="89.64"/>
    <n v="836.53999999850987"/>
  </r>
  <r>
    <d v="2020-05-19T00:00:00"/>
    <s v="May"/>
    <n v="2020"/>
    <x v="2"/>
    <s v="Bebidas"/>
    <s v="Côte de Blaye"/>
    <n v="26"/>
    <n v="93"/>
    <n v="2418"/>
    <n v="0.10000000149011599"/>
    <n v="290.15999999999997"/>
    <n v="2708.0599999985097"/>
  </r>
  <r>
    <d v="2020-05-19T00:00:00"/>
    <s v="May"/>
    <n v="2020"/>
    <x v="2"/>
    <s v="Condimentos"/>
    <s v="Salsa de pimiento picante de Luisiana"/>
    <n v="5"/>
    <n v="86"/>
    <n v="430"/>
    <n v="0.10000000149011599"/>
    <n v="51.6"/>
    <n v="481.49999999850991"/>
  </r>
  <r>
    <d v="2020-05-19T00:00:00"/>
    <s v="May"/>
    <n v="2020"/>
    <x v="2"/>
    <s v="Productos Lácteos"/>
    <s v="Queso crema"/>
    <n v="60"/>
    <n v="88"/>
    <n v="5280"/>
    <n v="0.10000000149011599"/>
    <n v="633.6"/>
    <n v="5913.4999999985102"/>
  </r>
  <r>
    <d v="2020-05-20T00:00:00"/>
    <s v="May"/>
    <n v="2020"/>
    <x v="43"/>
    <s v="Productos Lácteos"/>
    <s v="Queso Cabrales"/>
    <n v="76"/>
    <n v="87"/>
    <n v="6612"/>
    <n v="5.0000000745058101E-2"/>
    <n v="793.43999999999994"/>
    <n v="7405.3899999992545"/>
  </r>
  <r>
    <d v="2020-05-20T00:00:00"/>
    <s v="May"/>
    <n v="2020"/>
    <x v="43"/>
    <s v="Carnes y Aves"/>
    <s v="Tourtière"/>
    <n v="41"/>
    <n v="94"/>
    <n v="3854"/>
    <n v="5.0000000745058101E-2"/>
    <n v="462.47999999999996"/>
    <n v="4316.4299999992545"/>
  </r>
  <r>
    <d v="2020-05-21T00:00:00"/>
    <s v="May"/>
    <n v="2020"/>
    <x v="29"/>
    <s v="Productos Lácteos"/>
    <s v="Queso Manchego La Pastora"/>
    <n v="77"/>
    <n v="61"/>
    <n v="4697"/>
    <n v="0.15000000596046401"/>
    <n v="563.64"/>
    <n v="5260.4899999940399"/>
  </r>
  <r>
    <d v="2020-05-21T00:00:00"/>
    <s v="May"/>
    <n v="2020"/>
    <x v="29"/>
    <s v="Granos y Cereales"/>
    <s v="Pan plano"/>
    <n v="99"/>
    <n v="15"/>
    <n v="1485"/>
    <n v="0.15000000596046401"/>
    <n v="178.2"/>
    <n v="1663.0499999940396"/>
  </r>
  <r>
    <d v="2020-05-21T00:00:00"/>
    <s v="May"/>
    <n v="2020"/>
    <x v="37"/>
    <s v="Productos Alimenticios"/>
    <s v="Chucrut Rössle"/>
    <n v="100"/>
    <n v="42"/>
    <n v="4200"/>
    <n v="0"/>
    <n v="504"/>
    <n v="4704"/>
  </r>
  <r>
    <d v="2020-05-21T00:00:00"/>
    <s v="May"/>
    <n v="2020"/>
    <x v="37"/>
    <s v="Bebidas"/>
    <s v="Lager de leñador riendo"/>
    <n v="21"/>
    <n v="64"/>
    <n v="1344"/>
    <n v="0"/>
    <n v="161.28"/>
    <n v="1505.28"/>
  </r>
  <r>
    <d v="2020-05-22T00:00:00"/>
    <s v="May"/>
    <n v="2020"/>
    <x v="75"/>
    <s v="Productos Lácteos"/>
    <s v="Queso Cabrales"/>
    <n v="23"/>
    <n v="26"/>
    <n v="598"/>
    <n v="0"/>
    <n v="71.759999999999991"/>
    <n v="669.76"/>
  </r>
  <r>
    <d v="2020-05-23T00:00:00"/>
    <s v="May"/>
    <n v="2020"/>
    <x v="3"/>
    <s v="Productos Alimenticios"/>
    <s v="Peras secas orgánicas del tío Bob"/>
    <n v="93"/>
    <n v="49"/>
    <n v="4557"/>
    <n v="0"/>
    <n v="546.84"/>
    <n v="5103.84"/>
  </r>
  <r>
    <d v="2020-05-23T00:00:00"/>
    <s v="May"/>
    <n v="2020"/>
    <x v="3"/>
    <s v="Bebidas"/>
    <s v="Steeleye Stout"/>
    <n v="42"/>
    <n v="28"/>
    <n v="1176"/>
    <n v="0"/>
    <n v="141.12"/>
    <n v="1317.12"/>
  </r>
  <r>
    <d v="2020-05-23T00:00:00"/>
    <s v="May"/>
    <n v="2020"/>
    <x v="3"/>
    <s v="Dulces"/>
    <s v="Tarta de azúcar"/>
    <n v="84"/>
    <n v="48"/>
    <n v="4032"/>
    <n v="0"/>
    <n v="483.84"/>
    <n v="4515.84"/>
  </r>
  <r>
    <d v="2020-05-23T00:00:00"/>
    <s v="May"/>
    <n v="2020"/>
    <x v="55"/>
    <s v="Productos Lácteos"/>
    <s v="Mascarpone Fabioli"/>
    <n v="18"/>
    <n v="48"/>
    <n v="864"/>
    <n v="0.15000000596046401"/>
    <n v="103.67999999999999"/>
    <n v="967.52999999403949"/>
  </r>
  <r>
    <d v="2020-05-23T00:00:00"/>
    <s v="May"/>
    <n v="2020"/>
    <x v="55"/>
    <s v="Mariscos"/>
    <s v="Arenque en escabeche"/>
    <n v="59"/>
    <n v="11"/>
    <n v="649"/>
    <n v="0"/>
    <n v="77.88"/>
    <n v="726.88"/>
  </r>
  <r>
    <d v="2020-05-26T00:00:00"/>
    <s v="May"/>
    <n v="2020"/>
    <x v="73"/>
    <s v="Bebidas"/>
    <s v="Sasquatch Ale"/>
    <n v="23"/>
    <n v="13"/>
    <n v="299"/>
    <n v="0.25"/>
    <n v="35.879999999999995"/>
    <n v="334.63"/>
  </r>
  <r>
    <d v="2020-05-26T00:00:00"/>
    <s v="May"/>
    <n v="2020"/>
    <x v="73"/>
    <s v="Mariscos"/>
    <s v="Sopa de almejas de Nueva Inglaterra de Jack"/>
    <n v="87"/>
    <n v="11"/>
    <n v="957"/>
    <n v="0"/>
    <n v="114.83999999999999"/>
    <n v="1071.8399999999999"/>
  </r>
  <r>
    <d v="2020-05-27T00:00:00"/>
    <s v="May"/>
    <n v="2020"/>
    <x v="21"/>
    <s v="Productos Lácteos"/>
    <s v="Gorgonzola Telino"/>
    <n v="3"/>
    <n v="53"/>
    <n v="159"/>
    <n v="0.15000000596046401"/>
    <n v="19.079999999999998"/>
    <n v="177.92999999403952"/>
  </r>
  <r>
    <d v="2020-05-27T00:00:00"/>
    <s v="May"/>
    <n v="2020"/>
    <x v="21"/>
    <s v="Mariscos"/>
    <s v="Arenque ahumado"/>
    <n v="84"/>
    <n v="47"/>
    <n v="3948"/>
    <n v="0.15000000596046401"/>
    <n v="473.76"/>
    <n v="4421.6099999940398"/>
  </r>
  <r>
    <d v="2020-05-27T00:00:00"/>
    <s v="May"/>
    <n v="2020"/>
    <x v="21"/>
    <s v="Productos Alimenticios"/>
    <s v="Manjimup Dry Apples"/>
    <n v="62"/>
    <n v="53"/>
    <n v="3286"/>
    <n v="0.15000000596046401"/>
    <n v="394.32"/>
    <n v="3680.1699999940397"/>
  </r>
  <r>
    <d v="2020-05-28T00:00:00"/>
    <s v="May"/>
    <n v="2020"/>
    <x v="36"/>
    <s v="Carnes y Aves"/>
    <s v="Alice Cordero"/>
    <n v="57"/>
    <n v="66"/>
    <n v="3762"/>
    <n v="0.10000000149011599"/>
    <n v="451.44"/>
    <n v="4213.3399999985095"/>
  </r>
  <r>
    <d v="2020-05-28T00:00:00"/>
    <s v="May"/>
    <n v="2020"/>
    <x v="36"/>
    <s v="Dulces"/>
    <s v="Galletas de chocolate a la hora del té"/>
    <n v="31"/>
    <n v="55"/>
    <n v="1705"/>
    <n v="0"/>
    <n v="204.6"/>
    <n v="1909.6"/>
  </r>
  <r>
    <d v="2020-05-28T00:00:00"/>
    <s v="May"/>
    <n v="2020"/>
    <x v="36"/>
    <s v="Dulces"/>
    <s v="Scones de Sir Rodney"/>
    <n v="94"/>
    <n v="59"/>
    <n v="5546"/>
    <n v="0.10000000149011599"/>
    <n v="665.52"/>
    <n v="6211.4199999985103"/>
  </r>
  <r>
    <d v="2020-05-28T00:00:00"/>
    <s v="May"/>
    <n v="2020"/>
    <x v="36"/>
    <s v="Condimentos"/>
    <s v="miel de maple"/>
    <n v="63"/>
    <n v="87"/>
    <n v="5481"/>
    <n v="0.10000000149011599"/>
    <n v="657.72"/>
    <n v="6138.6199999985101"/>
  </r>
  <r>
    <d v="2020-05-28T00:00:00"/>
    <s v="May"/>
    <n v="2020"/>
    <x v="46"/>
    <s v="Dulces"/>
    <s v="Pavlova"/>
    <n v="95"/>
    <n v="87"/>
    <n v="8265"/>
    <n v="0.15000000596046401"/>
    <n v="991.8"/>
    <n v="9256.6499999940388"/>
  </r>
  <r>
    <d v="2020-05-28T00:00:00"/>
    <s v="May"/>
    <n v="2020"/>
    <x v="46"/>
    <s v="Bebidas"/>
    <s v="Steeleye Stout"/>
    <n v="57"/>
    <n v="49"/>
    <n v="2793"/>
    <n v="0.15000000596046401"/>
    <n v="335.15999999999997"/>
    <n v="3128.0099999940394"/>
  </r>
  <r>
    <d v="2020-05-28T00:00:00"/>
    <s v="May"/>
    <n v="2020"/>
    <x v="46"/>
    <s v="Condimentos"/>
    <s v="Gula Malacca"/>
    <n v="41"/>
    <n v="71"/>
    <n v="2911"/>
    <n v="0"/>
    <n v="349.32"/>
    <n v="3260.32"/>
  </r>
  <r>
    <d v="2020-05-29T00:00:00"/>
    <s v="May"/>
    <n v="2020"/>
    <x v="8"/>
    <s v="Productos Lácteos"/>
    <s v="Gudbrandsdalsost"/>
    <n v="57"/>
    <n v="84"/>
    <n v="4788"/>
    <n v="0"/>
    <n v="574.55999999999995"/>
    <n v="5362.5599999999995"/>
  </r>
  <r>
    <d v="2020-05-29T00:00:00"/>
    <s v="May"/>
    <n v="2020"/>
    <x v="8"/>
    <s v="Bebidas"/>
    <s v="Rhönbräu Klosterbier"/>
    <n v="99"/>
    <n v="100"/>
    <n v="9900"/>
    <n v="0"/>
    <n v="1188"/>
    <n v="11088"/>
  </r>
  <r>
    <d v="2020-05-30T00:00:00"/>
    <s v="May"/>
    <n v="2020"/>
    <x v="16"/>
    <s v="Productos Lácteos"/>
    <s v="Queso Cabrales"/>
    <n v="61"/>
    <n v="40"/>
    <n v="2440"/>
    <n v="0"/>
    <n v="292.8"/>
    <n v="2732.8"/>
  </r>
  <r>
    <d v="2020-05-30T00:00:00"/>
    <s v="May"/>
    <n v="2020"/>
    <x v="16"/>
    <s v="Dulces"/>
    <s v="Pavlova"/>
    <n v="18"/>
    <n v="10"/>
    <n v="180"/>
    <n v="0"/>
    <n v="21.599999999999998"/>
    <n v="201.6"/>
  </r>
  <r>
    <d v="2020-05-30T00:00:00"/>
    <s v="May"/>
    <n v="2020"/>
    <x v="16"/>
    <s v="Granos y Cereales"/>
    <s v="Pan crujiente de Gustaf"/>
    <n v="97"/>
    <n v="89"/>
    <n v="8633"/>
    <n v="0"/>
    <n v="1035.96"/>
    <n v="9668.9599999999991"/>
  </r>
  <r>
    <d v="2020-05-30T00:00:00"/>
    <s v="May"/>
    <n v="2020"/>
    <x v="16"/>
    <s v="Productos Lácteos"/>
    <s v="Gorgonzola Telino"/>
    <n v="21"/>
    <n v="35"/>
    <n v="735"/>
    <n v="0"/>
    <n v="88.2"/>
    <n v="823.2"/>
  </r>
  <r>
    <d v="2020-05-30T00:00:00"/>
    <s v="May"/>
    <n v="2020"/>
    <x v="16"/>
    <s v="Bebidas"/>
    <s v="Steeleye Stout"/>
    <n v="88"/>
    <n v="59"/>
    <n v="5192"/>
    <n v="0"/>
    <n v="623.04"/>
    <n v="5815.04"/>
  </r>
  <r>
    <d v="2020-05-30T00:00:00"/>
    <s v="May"/>
    <n v="2020"/>
    <x v="67"/>
    <s v="Dulces"/>
    <s v="Pavlova"/>
    <n v="55"/>
    <n v="59"/>
    <n v="3245"/>
    <n v="5.0000000745058101E-2"/>
    <n v="389.4"/>
    <n v="3634.349999999255"/>
  </r>
  <r>
    <d v="2020-05-30T00:00:00"/>
    <s v="May"/>
    <n v="2020"/>
    <x v="67"/>
    <s v="Granos y Cereales"/>
    <s v="Pan plano"/>
    <n v="50"/>
    <n v="41"/>
    <n v="2050"/>
    <n v="5.0000000745058101E-2"/>
    <n v="246"/>
    <n v="2295.9499999992549"/>
  </r>
  <r>
    <d v="2020-05-30T00:00:00"/>
    <s v="May"/>
    <n v="2020"/>
    <x v="67"/>
    <s v="Dulces"/>
    <s v="Tarta de azúcar"/>
    <n v="83"/>
    <n v="28"/>
    <n v="2324"/>
    <n v="5.0000000745058101E-2"/>
    <n v="278.88"/>
    <n v="2602.8299999992551"/>
  </r>
  <r>
    <d v="2020-05-30T00:00:00"/>
    <s v="May"/>
    <n v="2020"/>
    <x v="67"/>
    <s v="Condimentos"/>
    <s v="Salsa verde original de Frankfurt"/>
    <n v="73"/>
    <n v="74"/>
    <n v="5402"/>
    <n v="5.0000000745058101E-2"/>
    <n v="648.24"/>
    <n v="6050.1899999992547"/>
  </r>
  <r>
    <d v="2020-06-02T00:00:00"/>
    <s v="Jun"/>
    <n v="2020"/>
    <x v="44"/>
    <s v="Productos Alimenticios"/>
    <s v="tofu"/>
    <n v="89"/>
    <n v="74"/>
    <n v="6586"/>
    <n v="0.20000000298023199"/>
    <n v="790.31999999999994"/>
    <n v="7376.1199999970195"/>
  </r>
  <r>
    <d v="2020-06-02T00:00:00"/>
    <s v="Jun"/>
    <n v="2020"/>
    <x v="44"/>
    <s v="Dulces"/>
    <s v="Galletas de chocolate a la hora del té"/>
    <n v="91"/>
    <n v="26"/>
    <n v="2366"/>
    <n v="0.20000000298023199"/>
    <n v="283.92"/>
    <n v="2649.7199999970198"/>
  </r>
  <r>
    <d v="2020-06-02T00:00:00"/>
    <s v="Jun"/>
    <n v="2020"/>
    <x v="44"/>
    <s v="Bebidas"/>
    <s v="Guaraná Fantástica"/>
    <n v="74"/>
    <n v="25"/>
    <n v="1850"/>
    <n v="0.20000000298023199"/>
    <n v="222"/>
    <n v="2071.7999999970198"/>
  </r>
  <r>
    <d v="2020-06-02T00:00:00"/>
    <s v="Jun"/>
    <n v="2020"/>
    <x v="44"/>
    <s v="Productos Alimenticios"/>
    <s v="Manjimup Dry Apples"/>
    <n v="9"/>
    <n v="63"/>
    <n v="567"/>
    <n v="0.20000000298023199"/>
    <n v="68.039999999999992"/>
    <n v="634.83999999701973"/>
  </r>
  <r>
    <d v="2020-06-02T00:00:00"/>
    <s v="Jun"/>
    <n v="2020"/>
    <x v="44"/>
    <s v="Granos y Cereales"/>
    <s v="Gnocchi di nonna Alice"/>
    <n v="6"/>
    <n v="35"/>
    <n v="210"/>
    <n v="0.20000000298023199"/>
    <n v="25.2"/>
    <n v="234.99999999701976"/>
  </r>
  <r>
    <d v="2020-06-03T00:00:00"/>
    <s v="Jun"/>
    <n v="2020"/>
    <x v="50"/>
    <s v="Productos Lácteos"/>
    <s v="Mozzarella di Giovanni"/>
    <n v="51"/>
    <n v="49"/>
    <n v="2499"/>
    <n v="0"/>
    <n v="299.88"/>
    <n v="2798.88"/>
  </r>
  <r>
    <d v="2020-06-03T00:00:00"/>
    <s v="Jun"/>
    <n v="2020"/>
    <x v="27"/>
    <s v="Granos y Cereales"/>
    <s v="El buen Semmelknödel de Wimmer"/>
    <n v="48"/>
    <n v="16"/>
    <n v="768"/>
    <n v="0"/>
    <n v="92.16"/>
    <n v="860.16"/>
  </r>
  <r>
    <d v="2020-06-03T00:00:00"/>
    <s v="Jun"/>
    <n v="2020"/>
    <x v="27"/>
    <s v="Bebidas"/>
    <s v="Rhönbräu Klosterbier"/>
    <n v="89"/>
    <n v="20"/>
    <n v="1780"/>
    <n v="0"/>
    <n v="213.6"/>
    <n v="1993.6"/>
  </r>
  <r>
    <d v="2020-06-04T00:00:00"/>
    <s v="Jun"/>
    <n v="2020"/>
    <x v="54"/>
    <s v="Dulces"/>
    <s v="Tortas Zaanse"/>
    <n v="85"/>
    <n v="60"/>
    <n v="5100"/>
    <n v="0"/>
    <n v="612"/>
    <n v="5712"/>
  </r>
  <r>
    <d v="2020-06-04T00:00:00"/>
    <s v="Jun"/>
    <n v="2020"/>
    <x v="54"/>
    <s v="Productos Alimenticios"/>
    <s v="Manjimup Dry Apples"/>
    <n v="64"/>
    <n v="78"/>
    <n v="4992"/>
    <n v="0"/>
    <n v="599.04"/>
    <n v="5591.04"/>
  </r>
  <r>
    <d v="2020-06-04T00:00:00"/>
    <s v="Jun"/>
    <n v="2020"/>
    <x v="54"/>
    <s v="Granos y Cereales"/>
    <s v="Filo Mix"/>
    <n v="48"/>
    <n v="28"/>
    <n v="1344"/>
    <n v="0"/>
    <n v="161.28"/>
    <n v="1505.28"/>
  </r>
  <r>
    <d v="2020-06-04T00:00:00"/>
    <s v="Jun"/>
    <n v="2020"/>
    <x v="54"/>
    <s v="Carnes y Aves"/>
    <s v="Empanadas de Perth"/>
    <n v="44"/>
    <n v="48"/>
    <n v="2112"/>
    <n v="0"/>
    <n v="253.44"/>
    <n v="2365.44"/>
  </r>
  <r>
    <d v="2020-06-04T00:00:00"/>
    <s v="Jun"/>
    <n v="2020"/>
    <x v="54"/>
    <s v="Mariscos"/>
    <s v="Caviar rojo"/>
    <n v="29"/>
    <n v="58"/>
    <n v="1682"/>
    <n v="0"/>
    <n v="201.84"/>
    <n v="1883.84"/>
  </r>
  <r>
    <d v="2020-06-05T00:00:00"/>
    <s v="Jun"/>
    <n v="2020"/>
    <x v="15"/>
    <s v="Mariscos"/>
    <s v="Sopa de almejas de Nueva Inglaterra de Jack"/>
    <n v="80"/>
    <n v="57"/>
    <n v="4560"/>
    <n v="5.0000000745058101E-2"/>
    <n v="547.19999999999993"/>
    <n v="5107.1499999992548"/>
  </r>
  <r>
    <d v="2020-06-05T00:00:00"/>
    <s v="Jun"/>
    <n v="2020"/>
    <x v="15"/>
    <s v="Carnes y Aves"/>
    <s v="Paté chino"/>
    <n v="57"/>
    <n v="59"/>
    <n v="3363"/>
    <n v="5.0000000745058101E-2"/>
    <n v="403.56"/>
    <n v="3766.5099999992549"/>
  </r>
  <r>
    <d v="2020-06-06T00:00:00"/>
    <s v="Jun"/>
    <n v="2020"/>
    <x v="17"/>
    <s v="Mariscos"/>
    <s v="Nord-Ost Matjeshering"/>
    <n v="17"/>
    <n v="74"/>
    <n v="1258"/>
    <n v="0"/>
    <n v="150.96"/>
    <n v="1408.96"/>
  </r>
  <r>
    <d v="2020-06-06T00:00:00"/>
    <s v="Jun"/>
    <n v="2020"/>
    <x v="17"/>
    <s v="Dulces"/>
    <s v="Tarta de azúcar"/>
    <n v="95"/>
    <n v="84"/>
    <n v="7980"/>
    <n v="0.25"/>
    <n v="957.59999999999991"/>
    <n v="8937.35"/>
  </r>
  <r>
    <d v="2020-06-06T00:00:00"/>
    <s v="Jun"/>
    <n v="2020"/>
    <x v="14"/>
    <s v="Condimentos"/>
    <s v="Gula Malacca"/>
    <n v="47"/>
    <n v="87"/>
    <n v="4089"/>
    <n v="0"/>
    <n v="490.68"/>
    <n v="4579.68"/>
  </r>
  <r>
    <d v="2020-06-06T00:00:00"/>
    <s v="Jun"/>
    <n v="2020"/>
    <x v="14"/>
    <s v="Productos Alimenticios"/>
    <s v="Manjimup Dry Apples"/>
    <n v="45"/>
    <n v="15"/>
    <n v="675"/>
    <n v="0"/>
    <n v="81"/>
    <n v="756"/>
  </r>
  <r>
    <d v="2020-06-09T00:00:00"/>
    <s v="Jun"/>
    <n v="2020"/>
    <x v="31"/>
    <s v="Productos Lácteos"/>
    <s v="Queso de cabra"/>
    <n v="10"/>
    <n v="16"/>
    <n v="160"/>
    <n v="0.10000000149011599"/>
    <n v="19.2"/>
    <n v="179.09999999850987"/>
  </r>
  <r>
    <d v="2020-06-09T00:00:00"/>
    <s v="Jun"/>
    <n v="2020"/>
    <x v="31"/>
    <s v="Dulces"/>
    <s v="Tarta de azúcar"/>
    <n v="10"/>
    <n v="37"/>
    <n v="370"/>
    <n v="0.10000000149011599"/>
    <n v="44.4"/>
    <n v="414.29999999850986"/>
  </r>
  <r>
    <d v="2020-06-10T00:00:00"/>
    <s v="Jun"/>
    <n v="2020"/>
    <x v="30"/>
    <s v="Mariscos"/>
    <s v="Arenque en escabeche"/>
    <n v="5"/>
    <n v="45"/>
    <n v="225"/>
    <n v="0"/>
    <n v="27"/>
    <n v="252"/>
  </r>
  <r>
    <d v="2020-06-10T00:00:00"/>
    <s v="Jun"/>
    <n v="2020"/>
    <x v="30"/>
    <s v="Granos y Cereales"/>
    <s v="Filo Mix"/>
    <n v="74"/>
    <n v="48"/>
    <n v="3552"/>
    <n v="0"/>
    <n v="426.24"/>
    <n v="3978.24"/>
  </r>
  <r>
    <d v="2020-06-10T00:00:00"/>
    <s v="Jun"/>
    <n v="2020"/>
    <x v="13"/>
    <s v="Carnes y Aves"/>
    <s v="Alice Cordero"/>
    <n v="84"/>
    <n v="62"/>
    <n v="5208"/>
    <n v="5.0000000745058101E-2"/>
    <n v="624.95999999999992"/>
    <n v="5832.909999999255"/>
  </r>
  <r>
    <d v="2020-06-10T00:00:00"/>
    <s v="Jun"/>
    <n v="2020"/>
    <x v="13"/>
    <s v="Productos Lácteos"/>
    <s v="Gorgonzola Telino"/>
    <n v="81"/>
    <n v="83"/>
    <n v="6723"/>
    <n v="5.0000000745058101E-2"/>
    <n v="806.76"/>
    <n v="7529.7099999992552"/>
  </r>
  <r>
    <d v="2020-06-10T00:00:00"/>
    <s v="Jun"/>
    <n v="2020"/>
    <x v="13"/>
    <s v="Carnes y Aves"/>
    <s v="Paté chino"/>
    <n v="12"/>
    <n v="35"/>
    <n v="420"/>
    <n v="5.0000000745058101E-2"/>
    <n v="50.4"/>
    <n v="470.34999999925492"/>
  </r>
  <r>
    <d v="2020-06-11T00:00:00"/>
    <s v="Jun"/>
    <n v="2020"/>
    <x v="48"/>
    <s v="Bebidas"/>
    <s v="Guaraná Fantástica"/>
    <n v="9"/>
    <n v="12"/>
    <n v="108"/>
    <n v="0.10000000149011599"/>
    <n v="12.959999999999999"/>
    <n v="120.85999999850988"/>
  </r>
  <r>
    <d v="2020-06-11T00:00:00"/>
    <s v="Jun"/>
    <n v="2020"/>
    <x v="48"/>
    <s v="Granos y Cereales"/>
    <s v="El buen Semmelknödel de Wimmer"/>
    <n v="98"/>
    <n v="37"/>
    <n v="3626"/>
    <n v="0.10000000149011599"/>
    <n v="435.12"/>
    <n v="4061.0199999985098"/>
  </r>
  <r>
    <d v="2020-06-12T00:00:00"/>
    <s v="Jun"/>
    <n v="2020"/>
    <x v="15"/>
    <s v="Productos Lácteos"/>
    <s v="Queso Cabrales"/>
    <n v="54"/>
    <n v="65"/>
    <n v="3510"/>
    <n v="0.15000000596046401"/>
    <n v="421.2"/>
    <n v="3931.0499999940394"/>
  </r>
  <r>
    <d v="2020-06-12T00:00:00"/>
    <s v="Jun"/>
    <n v="2020"/>
    <x v="15"/>
    <s v="Mariscos"/>
    <s v="Tigres de Carnarvon"/>
    <n v="50"/>
    <n v="61"/>
    <n v="3050"/>
    <n v="0.15000000596046401"/>
    <n v="366"/>
    <n v="3415.8499999940395"/>
  </r>
  <r>
    <d v="2020-06-12T00:00:00"/>
    <s v="Jun"/>
    <n v="2020"/>
    <x v="15"/>
    <s v="Bebidas"/>
    <s v="Lakkalikööri"/>
    <n v="6"/>
    <n v="66"/>
    <n v="396"/>
    <n v="0"/>
    <n v="47.519999999999996"/>
    <n v="443.52"/>
  </r>
  <r>
    <d v="2020-06-12T00:00:00"/>
    <s v="Jun"/>
    <n v="2020"/>
    <x v="34"/>
    <s v="Productos Lácteos"/>
    <s v="Gorgonzola Telino"/>
    <n v="62"/>
    <n v="71"/>
    <n v="4402"/>
    <n v="0.20000000298023199"/>
    <n v="528.24"/>
    <n v="4930.0399999970195"/>
  </r>
  <r>
    <d v="2020-06-12T00:00:00"/>
    <s v="Jun"/>
    <n v="2020"/>
    <x v="34"/>
    <s v="Productos Alimenticios"/>
    <s v="Manjimup Dry Apples"/>
    <n v="20"/>
    <n v="79"/>
    <n v="1580"/>
    <n v="0"/>
    <n v="189.6"/>
    <n v="1769.6"/>
  </r>
  <r>
    <d v="2020-06-12T00:00:00"/>
    <s v="Jun"/>
    <n v="2020"/>
    <x v="34"/>
    <s v="Productos Lácteos"/>
    <s v="Raclette Courdavault"/>
    <n v="70"/>
    <n v="14"/>
    <n v="980"/>
    <n v="0.20000000298023199"/>
    <n v="117.6"/>
    <n v="1097.3999999970197"/>
  </r>
  <r>
    <d v="2020-06-13T00:00:00"/>
    <s v="Jun"/>
    <n v="2020"/>
    <x v="59"/>
    <s v="Mariscos"/>
    <s v="Ikura"/>
    <n v="36"/>
    <n v="38"/>
    <n v="1368"/>
    <n v="0"/>
    <n v="164.16"/>
    <n v="1532.16"/>
  </r>
  <r>
    <d v="2020-06-16T00:00:00"/>
    <s v="Jun"/>
    <n v="2020"/>
    <x v="13"/>
    <s v="Productos Lácteos"/>
    <s v="Gorgonzola Telino"/>
    <n v="47"/>
    <n v="58"/>
    <n v="2726"/>
    <n v="0.20000000298023199"/>
    <n v="327.12"/>
    <n v="3052.9199999970197"/>
  </r>
  <r>
    <d v="2020-06-16T00:00:00"/>
    <s v="Jun"/>
    <n v="2020"/>
    <x v="13"/>
    <s v="Bebidas"/>
    <s v="Lakkalikööri"/>
    <n v="2"/>
    <n v="44"/>
    <n v="88"/>
    <n v="0"/>
    <n v="10.559999999999999"/>
    <n v="98.56"/>
  </r>
  <r>
    <d v="2020-06-17T00:00:00"/>
    <s v="Jun"/>
    <n v="2020"/>
    <x v="48"/>
    <s v="Productos Lácteos"/>
    <s v="Queso Cabrales"/>
    <n v="31"/>
    <n v="26"/>
    <n v="806"/>
    <n v="5.0000000745058101E-2"/>
    <n v="96.72"/>
    <n v="902.66999999925497"/>
  </r>
  <r>
    <d v="2020-06-17T00:00:00"/>
    <s v="Jun"/>
    <n v="2020"/>
    <x v="48"/>
    <s v="Granos y Cereales"/>
    <s v="Gnocchi di nonna Alice"/>
    <n v="44"/>
    <n v="58"/>
    <n v="2552"/>
    <n v="5.0000000745058101E-2"/>
    <n v="306.24"/>
    <n v="2858.1899999992547"/>
  </r>
  <r>
    <d v="2020-06-17T00:00:00"/>
    <s v="Jun"/>
    <n v="2020"/>
    <x v="9"/>
    <s v="Productos Alimenticios"/>
    <s v="tofu"/>
    <n v="31"/>
    <n v="74"/>
    <n v="2294"/>
    <n v="0.15000000596046401"/>
    <n v="275.27999999999997"/>
    <n v="2569.1299999940393"/>
  </r>
  <r>
    <d v="2020-06-17T00:00:00"/>
    <s v="Jun"/>
    <n v="2020"/>
    <x v="9"/>
    <s v="Granos y Cereales"/>
    <s v="Fried Mee de hockey de Singapur"/>
    <n v="14"/>
    <n v="28"/>
    <n v="392"/>
    <n v="0.15000000596046401"/>
    <n v="47.04"/>
    <n v="438.88999999403956"/>
  </r>
  <r>
    <d v="2020-06-18T00:00:00"/>
    <s v="Jun"/>
    <n v="2020"/>
    <x v="26"/>
    <s v="Dulces"/>
    <s v="Pavlova"/>
    <n v="16"/>
    <n v="23"/>
    <n v="368"/>
    <n v="0.10000000149011599"/>
    <n v="44.16"/>
    <n v="412.05999999850985"/>
  </r>
  <r>
    <d v="2020-06-18T00:00:00"/>
    <s v="Jun"/>
    <n v="2020"/>
    <x v="26"/>
    <s v="Productos Lácteos"/>
    <s v="Mascarpone Fabioli"/>
    <n v="94"/>
    <n v="83"/>
    <n v="7802"/>
    <n v="0.10000000149011599"/>
    <n v="936.24"/>
    <n v="8738.1399999985097"/>
  </r>
  <r>
    <d v="2020-06-18T00:00:00"/>
    <s v="Jun"/>
    <n v="2020"/>
    <x v="26"/>
    <s v="Mariscos"/>
    <s v="Carne de cangrejo de Boston"/>
    <n v="15"/>
    <n v="77"/>
    <n v="1155"/>
    <n v="0"/>
    <n v="138.6"/>
    <n v="1293.5999999999999"/>
  </r>
  <r>
    <d v="2020-06-18T00:00:00"/>
    <s v="Jun"/>
    <n v="2020"/>
    <x v="26"/>
    <s v="Bebidas"/>
    <s v="Rhönbräu Klosterbier"/>
    <n v="13"/>
    <n v="47"/>
    <n v="611"/>
    <n v="0.10000000149011599"/>
    <n v="73.319999999999993"/>
    <n v="684.21999999850982"/>
  </r>
  <r>
    <d v="2020-06-19T00:00:00"/>
    <s v="Jun"/>
    <n v="2020"/>
    <x v="58"/>
    <s v="Carnes y Aves"/>
    <s v="Alice Cordero"/>
    <n v="23"/>
    <n v="93"/>
    <n v="2139"/>
    <n v="0"/>
    <n v="256.68"/>
    <n v="2395.6799999999998"/>
  </r>
  <r>
    <d v="2020-06-19T00:00:00"/>
    <s v="Jun"/>
    <n v="2020"/>
    <x v="58"/>
    <s v="Bebidas"/>
    <s v="Sasquatch Ale"/>
    <n v="65"/>
    <n v="42"/>
    <n v="2730"/>
    <n v="0"/>
    <n v="327.59999999999997"/>
    <n v="3057.6"/>
  </r>
  <r>
    <d v="2020-06-19T00:00:00"/>
    <s v="Jun"/>
    <n v="2020"/>
    <x v="58"/>
    <s v="Carnes y Aves"/>
    <s v="Empanadas de Perth"/>
    <n v="81"/>
    <n v="20"/>
    <n v="1620"/>
    <n v="0"/>
    <n v="194.4"/>
    <n v="1814.4"/>
  </r>
  <r>
    <d v="2020-06-19T00:00:00"/>
    <s v="Jun"/>
    <n v="2020"/>
    <x v="82"/>
    <s v="Productos Lácteos"/>
    <s v="Queso de cabra"/>
    <n v="63"/>
    <n v="30"/>
    <n v="1890"/>
    <n v="0"/>
    <n v="226.79999999999998"/>
    <n v="2116.8000000000002"/>
  </r>
  <r>
    <d v="2020-06-19T00:00:00"/>
    <s v="Jun"/>
    <n v="2020"/>
    <x v="82"/>
    <s v="Mariscos"/>
    <s v="Carne de cangrejo de Boston"/>
    <n v="69"/>
    <n v="48"/>
    <n v="3312"/>
    <n v="0"/>
    <n v="397.44"/>
    <n v="3709.44"/>
  </r>
  <r>
    <d v="2020-06-19T00:00:00"/>
    <s v="Jun"/>
    <n v="2020"/>
    <x v="82"/>
    <s v="Dulces"/>
    <s v="Tarta de azúcar"/>
    <n v="23"/>
    <n v="41"/>
    <n v="943"/>
    <n v="0"/>
    <n v="113.16"/>
    <n v="1056.1600000000001"/>
  </r>
  <r>
    <d v="2020-06-19T00:00:00"/>
    <s v="Jun"/>
    <n v="2020"/>
    <x v="82"/>
    <s v="Granos y Cereales"/>
    <s v="El buen Semmelknödel de Wimmer"/>
    <n v="74"/>
    <n v="29"/>
    <n v="2146"/>
    <n v="0"/>
    <n v="257.52"/>
    <n v="2403.52"/>
  </r>
  <r>
    <d v="2020-06-20T00:00:00"/>
    <s v="Jun"/>
    <n v="2020"/>
    <x v="25"/>
    <s v="Productos Lácteos"/>
    <s v="Raclette Courdavault"/>
    <n v="66"/>
    <n v="24"/>
    <n v="1584"/>
    <n v="0"/>
    <n v="190.07999999999998"/>
    <n v="1774.08"/>
  </r>
  <r>
    <d v="2020-06-20T00:00:00"/>
    <s v="Jun"/>
    <n v="2020"/>
    <x v="25"/>
    <s v="Condimentos"/>
    <s v="Crema de verduras"/>
    <n v="65"/>
    <n v="53"/>
    <n v="3445"/>
    <n v="0"/>
    <n v="413.4"/>
    <n v="3858.4"/>
  </r>
  <r>
    <d v="2020-06-20T00:00:00"/>
    <s v="Jun"/>
    <n v="2020"/>
    <x v="25"/>
    <s v="Productos Lácteos"/>
    <s v="Mozzarella di Giovanni"/>
    <n v="19"/>
    <n v="83"/>
    <n v="1577"/>
    <n v="0"/>
    <n v="189.23999999999998"/>
    <n v="1766.24"/>
  </r>
  <r>
    <d v="2020-06-20T00:00:00"/>
    <s v="Jun"/>
    <n v="2020"/>
    <x v="25"/>
    <s v="Bebidas"/>
    <s v="Lakkalikööri"/>
    <n v="30"/>
    <n v="78"/>
    <n v="2340"/>
    <n v="0"/>
    <n v="280.8"/>
    <n v="2620.8000000000002"/>
  </r>
  <r>
    <d v="2020-06-23T00:00:00"/>
    <s v="Jun"/>
    <n v="2020"/>
    <x v="24"/>
    <s v="Bebidas"/>
    <s v="Chai"/>
    <n v="19"/>
    <n v="64"/>
    <n v="1216"/>
    <n v="0"/>
    <n v="145.91999999999999"/>
    <n v="1361.92"/>
  </r>
  <r>
    <d v="2020-06-23T00:00:00"/>
    <s v="Jun"/>
    <n v="2020"/>
    <x v="24"/>
    <s v="Productos Lácteos"/>
    <s v="Gorgonzola Telino"/>
    <n v="38"/>
    <n v="39"/>
    <n v="1482"/>
    <n v="0"/>
    <n v="177.84"/>
    <n v="1659.84"/>
  </r>
  <r>
    <d v="2020-06-23T00:00:00"/>
    <s v="Jun"/>
    <n v="2020"/>
    <x v="24"/>
    <s v="Condimentos"/>
    <s v="Gula Malacca"/>
    <n v="76"/>
    <n v="31"/>
    <n v="2356"/>
    <n v="0"/>
    <n v="282.71999999999997"/>
    <n v="2638.72"/>
  </r>
  <r>
    <d v="2020-06-23T00:00:00"/>
    <s v="Jun"/>
    <n v="2020"/>
    <x v="82"/>
    <s v="Bebidas"/>
    <s v="Chartreuse verde"/>
    <n v="28"/>
    <n v="50"/>
    <n v="1400"/>
    <n v="0"/>
    <n v="168"/>
    <n v="1568"/>
  </r>
  <r>
    <d v="2020-06-23T00:00:00"/>
    <s v="Jun"/>
    <n v="2020"/>
    <x v="82"/>
    <s v="Bebidas"/>
    <s v="Rhönbräu Klosterbier"/>
    <n v="3"/>
    <n v="29"/>
    <n v="87"/>
    <n v="0"/>
    <n v="10.44"/>
    <n v="97.44"/>
  </r>
  <r>
    <d v="2020-06-23T00:00:00"/>
    <s v="Jun"/>
    <n v="2020"/>
    <x v="82"/>
    <s v="Condimentos"/>
    <s v="Salsa verde original de Frankfurt"/>
    <n v="66"/>
    <n v="66"/>
    <n v="4356"/>
    <n v="0"/>
    <n v="522.72"/>
    <n v="4878.72"/>
  </r>
  <r>
    <d v="2020-06-24T00:00:00"/>
    <s v="Jun"/>
    <n v="2020"/>
    <x v="32"/>
    <s v="Bebidas"/>
    <s v="Steeleye Stout"/>
    <n v="98"/>
    <n v="89"/>
    <n v="8722"/>
    <n v="0"/>
    <n v="1046.6399999999999"/>
    <n v="9768.64"/>
  </r>
  <r>
    <d v="2020-06-24T00:00:00"/>
    <s v="Jun"/>
    <n v="2020"/>
    <x v="32"/>
    <s v="Granos y Cereales"/>
    <s v="Ravioli Angelo"/>
    <n v="57"/>
    <n v="33"/>
    <n v="1881"/>
    <n v="0"/>
    <n v="225.72"/>
    <n v="2106.7199999999998"/>
  </r>
  <r>
    <d v="2020-06-25T00:00:00"/>
    <s v="Jun"/>
    <n v="2020"/>
    <x v="83"/>
    <s v="Condimentos"/>
    <s v="Genes Shouyu"/>
    <n v="62"/>
    <n v="28"/>
    <n v="1736"/>
    <n v="0"/>
    <n v="208.32"/>
    <n v="1944.32"/>
  </r>
  <r>
    <d v="2020-06-25T00:00:00"/>
    <s v="Jun"/>
    <n v="2020"/>
    <x v="83"/>
    <s v="Bebidas"/>
    <s v="Rhönbräu Klosterbier"/>
    <n v="15"/>
    <n v="45"/>
    <n v="675"/>
    <n v="0"/>
    <n v="81"/>
    <n v="756"/>
  </r>
  <r>
    <d v="2020-06-26T00:00:00"/>
    <s v="Jun"/>
    <n v="2020"/>
    <x v="67"/>
    <s v="Productos Alimenticios"/>
    <s v="tofu"/>
    <n v="44"/>
    <n v="59"/>
    <n v="2596"/>
    <n v="5.0000000745058101E-2"/>
    <n v="311.52"/>
    <n v="2907.4699999992549"/>
  </r>
  <r>
    <d v="2020-06-26T00:00:00"/>
    <s v="Jun"/>
    <n v="2020"/>
    <x v="67"/>
    <s v="Mariscos"/>
    <s v="Sopa de almejas de Nueva Inglaterra de Jack"/>
    <n v="68"/>
    <n v="49"/>
    <n v="3332"/>
    <n v="5.0000000745058101E-2"/>
    <n v="399.84"/>
    <n v="3731.7899999992551"/>
  </r>
  <r>
    <d v="2020-06-26T00:00:00"/>
    <s v="Jun"/>
    <n v="2020"/>
    <x v="67"/>
    <s v="Condimentos"/>
    <s v="Salsa de pimiento picante de Luisiana"/>
    <n v="66"/>
    <n v="77"/>
    <n v="5082"/>
    <n v="5.0000000745058101E-2"/>
    <n v="609.84"/>
    <n v="5691.7899999992551"/>
  </r>
  <r>
    <d v="2020-06-26T00:00:00"/>
    <s v="Jun"/>
    <n v="2020"/>
    <x v="51"/>
    <s v="Bebidas"/>
    <s v="Rhönbräu Klosterbier"/>
    <n v="68"/>
    <n v="21"/>
    <n v="1428"/>
    <n v="0.20000000298023199"/>
    <n v="171.35999999999999"/>
    <n v="1599.1599999970197"/>
  </r>
  <r>
    <d v="2020-06-27T00:00:00"/>
    <s v="Jun"/>
    <n v="2020"/>
    <x v="77"/>
    <s v="Granos y Cereales"/>
    <s v="Ravioli Angelo"/>
    <n v="33"/>
    <n v="52"/>
    <n v="1716"/>
    <n v="0"/>
    <n v="205.92"/>
    <n v="1921.92"/>
  </r>
  <r>
    <d v="2020-06-27T00:00:00"/>
    <s v="Jun"/>
    <n v="2020"/>
    <x v="77"/>
    <s v="Bebidas"/>
    <s v="Lakkalikööri"/>
    <n v="13"/>
    <n v="21"/>
    <n v="273"/>
    <n v="0"/>
    <n v="32.76"/>
    <n v="305.76"/>
  </r>
  <r>
    <d v="2020-06-30T00:00:00"/>
    <s v="Jun"/>
    <n v="2020"/>
    <x v="16"/>
    <s v="Carnes y Aves"/>
    <s v="Salchicha asada de Turingia"/>
    <n v="9"/>
    <n v="48"/>
    <n v="432"/>
    <n v="0"/>
    <n v="51.839999999999996"/>
    <n v="483.84"/>
  </r>
  <r>
    <d v="2020-06-30T00:00:00"/>
    <s v="Jun"/>
    <n v="2020"/>
    <x v="16"/>
    <s v="Productos Lácteos"/>
    <s v="Pierrot camembert"/>
    <n v="54"/>
    <n v="17"/>
    <n v="918"/>
    <n v="0.15000000596046401"/>
    <n v="110.16"/>
    <n v="1028.0099999940396"/>
  </r>
  <r>
    <d v="2020-06-30T00:00:00"/>
    <s v="Jun"/>
    <n v="2020"/>
    <x v="16"/>
    <s v="Productos Lácteos"/>
    <s v="Gudbrandsdalsost"/>
    <n v="100"/>
    <n v="29"/>
    <n v="2900"/>
    <n v="0.15000000596046401"/>
    <n v="348"/>
    <n v="3247.8499999940395"/>
  </r>
  <r>
    <d v="2020-06-30T00:00:00"/>
    <s v="Jun"/>
    <n v="2020"/>
    <x v="15"/>
    <s v="Productos Lácteos"/>
    <s v="Gorgonzola Telino"/>
    <n v="53"/>
    <n v="22"/>
    <n v="1166"/>
    <n v="5.0000000745058101E-2"/>
    <n v="139.91999999999999"/>
    <n v="1305.869999999255"/>
  </r>
  <r>
    <d v="2020-07-01T00:00:00"/>
    <s v="Jul"/>
    <n v="2020"/>
    <x v="7"/>
    <s v="Dulces"/>
    <s v="Tortas Zaanse"/>
    <n v="6"/>
    <n v="77"/>
    <n v="462"/>
    <n v="0"/>
    <n v="55.44"/>
    <n v="517.44000000000005"/>
  </r>
  <r>
    <d v="2020-07-02T00:00:00"/>
    <s v="Jul"/>
    <n v="2020"/>
    <x v="31"/>
    <s v="Granos y Cereales"/>
    <s v="Filo Mix"/>
    <n v="2"/>
    <n v="29"/>
    <n v="58"/>
    <n v="0.15000000596046401"/>
    <n v="6.96"/>
    <n v="64.809999994039529"/>
  </r>
  <r>
    <d v="2020-07-02T00:00:00"/>
    <s v="Jul"/>
    <n v="2020"/>
    <x v="12"/>
    <s v="Dulces"/>
    <s v="Gummär Gummibärchen"/>
    <n v="48"/>
    <n v="23"/>
    <n v="1104"/>
    <n v="0"/>
    <n v="132.47999999999999"/>
    <n v="1236.48"/>
  </r>
  <r>
    <d v="2020-07-02T00:00:00"/>
    <s v="Jul"/>
    <n v="2020"/>
    <x v="12"/>
    <s v="Bebidas"/>
    <s v="Steeleye Stout"/>
    <n v="40"/>
    <n v="28"/>
    <n v="1120"/>
    <n v="0"/>
    <n v="134.4"/>
    <n v="1254.4000000000001"/>
  </r>
  <r>
    <d v="2020-07-02T00:00:00"/>
    <s v="Jul"/>
    <n v="2020"/>
    <x v="12"/>
    <s v="Condimentos"/>
    <s v="Salsa verde original de Frankfurt"/>
    <n v="94"/>
    <n v="36"/>
    <n v="3384"/>
    <n v="0"/>
    <n v="406.08"/>
    <n v="3790.08"/>
  </r>
  <r>
    <d v="2020-07-03T00:00:00"/>
    <s v="Jul"/>
    <n v="2020"/>
    <x v="21"/>
    <s v="Mariscos"/>
    <s v="Tigres de Carnarvon"/>
    <n v="4"/>
    <n v="96"/>
    <n v="384"/>
    <n v="0.20000000298023199"/>
    <n v="46.08"/>
    <n v="429.87999999701975"/>
  </r>
  <r>
    <d v="2020-07-03T00:00:00"/>
    <s v="Jul"/>
    <n v="2020"/>
    <x v="21"/>
    <s v="Granos y Cereales"/>
    <s v="Fried Mee de hockey de Singapur"/>
    <n v="73"/>
    <n v="64"/>
    <n v="4672"/>
    <n v="0.20000000298023199"/>
    <n v="560.64"/>
    <n v="5232.4399999970201"/>
  </r>
  <r>
    <d v="2020-07-04T00:00:00"/>
    <s v="Jul"/>
    <n v="2020"/>
    <x v="80"/>
    <s v="Bebidas"/>
    <s v="Steeleye Stout"/>
    <n v="69"/>
    <n v="47"/>
    <n v="3243"/>
    <n v="0"/>
    <n v="389.15999999999997"/>
    <n v="3632.16"/>
  </r>
  <r>
    <d v="2020-07-07T00:00:00"/>
    <s v="Jul"/>
    <n v="2020"/>
    <x v="48"/>
    <s v="Bebidas"/>
    <s v="Chai"/>
    <n v="18"/>
    <n v="69"/>
    <n v="1242"/>
    <n v="0"/>
    <n v="149.04"/>
    <n v="1391.04"/>
  </r>
  <r>
    <d v="2020-07-07T00:00:00"/>
    <s v="Jul"/>
    <n v="2020"/>
    <x v="48"/>
    <s v="Condimentos"/>
    <s v="Salsa verde original de Frankfurt"/>
    <n v="27"/>
    <n v="11"/>
    <n v="297"/>
    <n v="5.0000000745058101E-2"/>
    <n v="35.64"/>
    <n v="332.58999999925493"/>
  </r>
  <r>
    <d v="2020-07-07T00:00:00"/>
    <s v="Jul"/>
    <n v="2020"/>
    <x v="60"/>
    <s v="Condimentos"/>
    <s v="Jarabe de anís"/>
    <n v="79"/>
    <n v="33"/>
    <n v="2607"/>
    <n v="0"/>
    <n v="312.83999999999997"/>
    <n v="2919.84"/>
  </r>
  <r>
    <d v="2020-07-07T00:00:00"/>
    <s v="Jul"/>
    <n v="2020"/>
    <x v="60"/>
    <s v="Productos Alimenticios"/>
    <s v="Peras secas orgánicas del tío Bob"/>
    <n v="39"/>
    <n v="82"/>
    <n v="3198"/>
    <n v="0"/>
    <n v="383.76"/>
    <n v="3581.76"/>
  </r>
  <r>
    <d v="2020-07-07T00:00:00"/>
    <s v="Jul"/>
    <n v="2020"/>
    <x v="60"/>
    <s v="Carnes y Aves"/>
    <s v="Tourtière"/>
    <n v="56"/>
    <n v="99"/>
    <n v="5544"/>
    <n v="0"/>
    <n v="665.28"/>
    <n v="6209.28"/>
  </r>
  <r>
    <d v="2020-07-08T00:00:00"/>
    <s v="Jul"/>
    <n v="2020"/>
    <x v="27"/>
    <s v="Condimentos"/>
    <s v="Genes Shouyu"/>
    <n v="5"/>
    <n v="17"/>
    <n v="85"/>
    <n v="5.0000000745058101E-2"/>
    <n v="10.199999999999999"/>
    <n v="95.149999999254945"/>
  </r>
  <r>
    <d v="2020-07-08T00:00:00"/>
    <s v="Jul"/>
    <n v="2020"/>
    <x v="27"/>
    <s v="Dulces"/>
    <s v="Gummär Gummibärchen"/>
    <n v="73"/>
    <n v="94"/>
    <n v="6862"/>
    <n v="5.0000000745058101E-2"/>
    <n v="823.43999999999994"/>
    <n v="7685.3899999992545"/>
  </r>
  <r>
    <d v="2020-07-09T00:00:00"/>
    <s v="Jul"/>
    <n v="2020"/>
    <x v="27"/>
    <s v="Dulces"/>
    <s v="Mermelada de Sir Rodney"/>
    <n v="46"/>
    <n v="54"/>
    <n v="2484"/>
    <n v="0.20000000298023199"/>
    <n v="298.08"/>
    <n v="2781.8799999970197"/>
  </r>
  <r>
    <d v="2020-07-09T00:00:00"/>
    <s v="Jul"/>
    <n v="2020"/>
    <x v="27"/>
    <s v="Productos Lácteos"/>
    <s v="Gudbrandsdalsost"/>
    <n v="51"/>
    <n v="95"/>
    <n v="4845"/>
    <n v="0.20000000298023199"/>
    <n v="581.4"/>
    <n v="5426.1999999970194"/>
  </r>
  <r>
    <d v="2020-07-09T00:00:00"/>
    <s v="Jul"/>
    <n v="2020"/>
    <x v="27"/>
    <s v="Bebidas"/>
    <s v="Lakkalikööri"/>
    <n v="94"/>
    <n v="32"/>
    <n v="3008"/>
    <n v="0.20000000298023199"/>
    <n v="360.96"/>
    <n v="3368.7599999970198"/>
  </r>
  <r>
    <d v="2020-07-09T00:00:00"/>
    <s v="Jul"/>
    <n v="2020"/>
    <x v="11"/>
    <s v="Granos y Cereales"/>
    <s v="Filo Mix"/>
    <n v="71"/>
    <n v="61"/>
    <n v="4331"/>
    <n v="0"/>
    <n v="519.72"/>
    <n v="4850.72"/>
  </r>
  <r>
    <d v="2020-07-09T00:00:00"/>
    <s v="Jul"/>
    <n v="2020"/>
    <x v="11"/>
    <s v="Mariscos"/>
    <s v="Escorts borgoña"/>
    <n v="37"/>
    <n v="40"/>
    <n v="1480"/>
    <n v="0"/>
    <n v="177.6"/>
    <n v="1657.6"/>
  </r>
  <r>
    <d v="2020-07-10T00:00:00"/>
    <s v="Jul"/>
    <n v="2020"/>
    <x v="9"/>
    <s v="Bebidas"/>
    <s v="Steeleye Stout"/>
    <n v="92"/>
    <n v="63"/>
    <n v="5796"/>
    <n v="0.25"/>
    <n v="695.52"/>
    <n v="6491.27"/>
  </r>
  <r>
    <d v="2020-07-10T00:00:00"/>
    <s v="Jul"/>
    <n v="2020"/>
    <x v="9"/>
    <s v="Condimentos"/>
    <s v="miel de maple"/>
    <n v="57"/>
    <n v="77"/>
    <n v="4389"/>
    <n v="0.25"/>
    <n v="526.67999999999995"/>
    <n v="4915.43"/>
  </r>
  <r>
    <d v="2020-07-10T00:00:00"/>
    <s v="Jul"/>
    <n v="2020"/>
    <x v="9"/>
    <s v="Productos Lácteos"/>
    <s v="Gudbrandsdalsost"/>
    <n v="29"/>
    <n v="41"/>
    <n v="1189"/>
    <n v="0.25"/>
    <n v="142.68"/>
    <n v="1331.43"/>
  </r>
  <r>
    <d v="2020-07-11T00:00:00"/>
    <s v="Jul"/>
    <n v="2020"/>
    <x v="19"/>
    <s v="Granos y Cereales"/>
    <s v="Gnocchi di nonna Alice"/>
    <n v="76"/>
    <n v="34"/>
    <n v="2584"/>
    <n v="0.20000000298023199"/>
    <n v="310.08"/>
    <n v="2893.8799999970197"/>
  </r>
  <r>
    <d v="2020-07-11T00:00:00"/>
    <s v="Jul"/>
    <n v="2020"/>
    <x v="19"/>
    <s v="Condimentos"/>
    <s v="Crema de verduras"/>
    <n v="53"/>
    <n v="93"/>
    <n v="4929"/>
    <n v="0.20000000298023199"/>
    <n v="591.48"/>
    <n v="5520.2799999970193"/>
  </r>
  <r>
    <d v="2020-07-11T00:00:00"/>
    <s v="Jul"/>
    <n v="2020"/>
    <x v="19"/>
    <s v="Bebidas"/>
    <s v="Rhönbräu Klosterbier"/>
    <n v="12"/>
    <n v="42"/>
    <n v="504"/>
    <n v="0.20000000298023199"/>
    <n v="60.48"/>
    <n v="564.27999999701979"/>
  </r>
  <r>
    <d v="2020-07-11T00:00:00"/>
    <s v="Jul"/>
    <n v="2020"/>
    <x v="53"/>
    <s v="Bebidas"/>
    <s v="Guaraná Fantástica"/>
    <n v="60"/>
    <n v="42"/>
    <n v="2520"/>
    <n v="0.20000000298023199"/>
    <n v="302.39999999999998"/>
    <n v="2822.1999999970199"/>
  </r>
  <r>
    <d v="2020-07-11T00:00:00"/>
    <s v="Jul"/>
    <n v="2020"/>
    <x v="53"/>
    <s v="Granos y Cereales"/>
    <s v="Ravioli Angelo"/>
    <n v="92"/>
    <n v="77"/>
    <n v="7084"/>
    <n v="0"/>
    <n v="850.07999999999993"/>
    <n v="7934.08"/>
  </r>
  <r>
    <d v="2020-07-11T00:00:00"/>
    <s v="Jul"/>
    <n v="2020"/>
    <x v="53"/>
    <s v="Condimentos"/>
    <s v="Salsa de pimiento picante de Luisiana"/>
    <n v="68"/>
    <n v="53"/>
    <n v="3604"/>
    <n v="0.20000000298023199"/>
    <n v="432.47999999999996"/>
    <n v="4036.2799999970198"/>
  </r>
  <r>
    <d v="2020-07-14T00:00:00"/>
    <s v="Jul"/>
    <n v="2020"/>
    <x v="13"/>
    <s v="Dulces"/>
    <s v="Chocolate Schoggi"/>
    <n v="95"/>
    <n v="40"/>
    <n v="3800"/>
    <n v="0"/>
    <n v="456"/>
    <n v="4256"/>
  </r>
  <r>
    <d v="2020-07-14T00:00:00"/>
    <s v="Jul"/>
    <n v="2020"/>
    <x v="13"/>
    <s v="Productos Lácteos"/>
    <s v="Queso crema"/>
    <n v="53"/>
    <n v="68"/>
    <n v="3604"/>
    <n v="0"/>
    <n v="432.47999999999996"/>
    <n v="4036.48"/>
  </r>
  <r>
    <d v="2020-07-15T00:00:00"/>
    <s v="Jul"/>
    <n v="2020"/>
    <x v="32"/>
    <s v="Dulces"/>
    <s v="Tarta de azúcar"/>
    <n v="9"/>
    <n v="42"/>
    <n v="378"/>
    <n v="0"/>
    <n v="45.36"/>
    <n v="423.36"/>
  </r>
  <r>
    <d v="2020-07-16T00:00:00"/>
    <s v="Jul"/>
    <n v="2020"/>
    <x v="63"/>
    <s v="Carnes y Aves"/>
    <s v="Tourtière"/>
    <n v="20"/>
    <n v="49"/>
    <n v="980"/>
    <n v="0"/>
    <n v="117.6"/>
    <n v="1097.5999999999999"/>
  </r>
  <r>
    <d v="2020-07-16T00:00:00"/>
    <s v="Jul"/>
    <n v="2020"/>
    <x v="63"/>
    <s v="Mariscos"/>
    <s v="Caviar rojo"/>
    <n v="53"/>
    <n v="100"/>
    <n v="5300"/>
    <n v="0"/>
    <n v="636"/>
    <n v="5936"/>
  </r>
  <r>
    <d v="2020-07-16T00:00:00"/>
    <s v="Jul"/>
    <n v="2020"/>
    <x v="8"/>
    <s v="Mariscos"/>
    <s v="Konbu"/>
    <n v="28"/>
    <n v="12"/>
    <n v="336"/>
    <n v="0"/>
    <n v="40.32"/>
    <n v="376.32"/>
  </r>
  <r>
    <d v="2020-07-16T00:00:00"/>
    <s v="Jul"/>
    <n v="2020"/>
    <x v="8"/>
    <s v="Productos Lácteos"/>
    <s v="Raclette Courdavault"/>
    <n v="19"/>
    <n v="83"/>
    <n v="1577"/>
    <n v="0"/>
    <n v="189.23999999999998"/>
    <n v="1766.24"/>
  </r>
  <r>
    <d v="2020-07-17T00:00:00"/>
    <s v="Jul"/>
    <n v="2020"/>
    <x v="60"/>
    <s v="Condimentos"/>
    <s v="Salsa verde original de Frankfurt"/>
    <n v="87"/>
    <n v="27"/>
    <n v="2349"/>
    <n v="0.25"/>
    <n v="281.88"/>
    <n v="2630.63"/>
  </r>
  <r>
    <d v="2020-07-18T00:00:00"/>
    <s v="Jul"/>
    <n v="2020"/>
    <x v="44"/>
    <s v="Granos y Cereales"/>
    <s v="Pan crujiente de Gustaf"/>
    <n v="43"/>
    <n v="88"/>
    <n v="3784"/>
    <n v="0"/>
    <n v="454.08"/>
    <n v="4238.08"/>
  </r>
  <r>
    <d v="2020-07-18T00:00:00"/>
    <s v="Jul"/>
    <n v="2020"/>
    <x v="44"/>
    <s v="Dulces"/>
    <s v="Maxilaku"/>
    <n v="66"/>
    <n v="32"/>
    <n v="2112"/>
    <n v="5.0000000745058101E-2"/>
    <n v="253.44"/>
    <n v="2365.389999999255"/>
  </r>
  <r>
    <d v="2020-07-18T00:00:00"/>
    <s v="Jul"/>
    <n v="2020"/>
    <x v="46"/>
    <s v="Dulces"/>
    <s v="Chocolate"/>
    <n v="66"/>
    <n v="88"/>
    <n v="5808"/>
    <n v="0.10000000149011599"/>
    <n v="696.95999999999992"/>
    <n v="6504.8599999985099"/>
  </r>
  <r>
    <d v="2020-07-18T00:00:00"/>
    <s v="Jul"/>
    <n v="2020"/>
    <x v="46"/>
    <s v="Bebidas"/>
    <s v="Lakkalikööri"/>
    <n v="64"/>
    <n v="34"/>
    <n v="2176"/>
    <n v="0.10000000149011599"/>
    <n v="261.12"/>
    <n v="2437.0199999985098"/>
  </r>
  <r>
    <d v="2020-07-21T00:00:00"/>
    <s v="Jul"/>
    <n v="2020"/>
    <x v="48"/>
    <s v="Dulces"/>
    <s v="Pavlova"/>
    <n v="72"/>
    <n v="60"/>
    <n v="4320"/>
    <n v="5.0000000745058101E-2"/>
    <n v="518.4"/>
    <n v="4838.3499999992546"/>
  </r>
  <r>
    <d v="2020-07-21T00:00:00"/>
    <s v="Jul"/>
    <n v="2020"/>
    <x v="48"/>
    <s v="Productos Lácteos"/>
    <s v="Raclette Courdavault"/>
    <n v="83"/>
    <n v="36"/>
    <n v="2988"/>
    <n v="5.0000000745058101E-2"/>
    <n v="358.56"/>
    <n v="3346.5099999992549"/>
  </r>
  <r>
    <d v="2020-07-21T00:00:00"/>
    <s v="Jul"/>
    <n v="2020"/>
    <x v="48"/>
    <s v="Productos Lácteos"/>
    <s v="Pierrot camembert"/>
    <n v="1"/>
    <n v="13"/>
    <n v="13"/>
    <n v="5.0000000745058101E-2"/>
    <n v="1.56"/>
    <n v="14.509999999254942"/>
  </r>
  <r>
    <d v="2020-07-21T00:00:00"/>
    <s v="Jul"/>
    <n v="2020"/>
    <x v="48"/>
    <s v="Productos Lácteos"/>
    <s v="Queso crema"/>
    <n v="9"/>
    <n v="67"/>
    <n v="603"/>
    <n v="5.0000000745058101E-2"/>
    <n v="72.36"/>
    <n v="675.30999999925496"/>
  </r>
  <r>
    <d v="2020-07-22T00:00:00"/>
    <s v="Jul"/>
    <n v="2020"/>
    <x v="1"/>
    <s v="Condimentos"/>
    <s v="Condimento Cajún del Chef Anton"/>
    <n v="47"/>
    <n v="69"/>
    <n v="3243"/>
    <n v="0.20000000298023199"/>
    <n v="389.15999999999997"/>
    <n v="3631.9599999970196"/>
  </r>
  <r>
    <d v="2020-07-22T00:00:00"/>
    <s v="Jul"/>
    <n v="2020"/>
    <x v="1"/>
    <s v="Carnes y Aves"/>
    <s v="Paté chino"/>
    <n v="71"/>
    <n v="67"/>
    <n v="4757"/>
    <n v="0.20000000298023199"/>
    <n v="570.84"/>
    <n v="5327.6399999970199"/>
  </r>
  <r>
    <d v="2020-07-22T00:00:00"/>
    <s v="Jul"/>
    <n v="2020"/>
    <x v="1"/>
    <s v="Dulces"/>
    <s v="Tarta de azúcar"/>
    <n v="11"/>
    <n v="86"/>
    <n v="946"/>
    <n v="0.20000000298023199"/>
    <n v="113.52"/>
    <n v="1059.3199999970197"/>
  </r>
  <r>
    <d v="2020-07-22T00:00:00"/>
    <s v="Jul"/>
    <n v="2020"/>
    <x v="44"/>
    <s v="Productos Alimenticios"/>
    <s v="Peras secas orgánicas del tío Bob"/>
    <n v="94"/>
    <n v="94"/>
    <n v="8836"/>
    <n v="0"/>
    <n v="1060.32"/>
    <n v="9896.32"/>
  </r>
  <r>
    <d v="2020-07-22T00:00:00"/>
    <s v="Jul"/>
    <n v="2020"/>
    <x v="44"/>
    <s v="Carnes y Aves"/>
    <s v="Alice Cordero"/>
    <n v="43"/>
    <n v="31"/>
    <n v="1333"/>
    <n v="0"/>
    <n v="159.96"/>
    <n v="1492.96"/>
  </r>
  <r>
    <d v="2020-07-22T00:00:00"/>
    <s v="Jul"/>
    <n v="2020"/>
    <x v="44"/>
    <s v="Productos Lácteos"/>
    <s v="Queso de cabra"/>
    <n v="93"/>
    <n v="41"/>
    <n v="3813"/>
    <n v="0"/>
    <n v="457.56"/>
    <n v="4270.5600000000004"/>
  </r>
  <r>
    <d v="2020-07-22T00:00:00"/>
    <s v="Jul"/>
    <n v="2020"/>
    <x v="44"/>
    <s v="Mariscos"/>
    <s v="Carne de cangrejo de Boston"/>
    <n v="16"/>
    <n v="30"/>
    <n v="480"/>
    <n v="0"/>
    <n v="57.599999999999994"/>
    <n v="537.6"/>
  </r>
  <r>
    <d v="2020-07-22T00:00:00"/>
    <s v="Jul"/>
    <n v="2020"/>
    <x v="44"/>
    <s v="Productos Lácteos"/>
    <s v="Mozzarella di Giovanni"/>
    <n v="43"/>
    <n v="66"/>
    <n v="2838"/>
    <n v="0"/>
    <n v="340.56"/>
    <n v="3178.56"/>
  </r>
  <r>
    <d v="2020-07-23T00:00:00"/>
    <s v="Jul"/>
    <n v="2020"/>
    <x v="73"/>
    <s v="Granos y Cereales"/>
    <s v="Gnocchi di nonna Alice"/>
    <n v="19"/>
    <n v="78"/>
    <n v="1482"/>
    <n v="0"/>
    <n v="177.84"/>
    <n v="1659.84"/>
  </r>
  <r>
    <d v="2020-07-24T00:00:00"/>
    <s v="Jul"/>
    <n v="2020"/>
    <x v="40"/>
    <s v="Bebidas"/>
    <s v="Chai"/>
    <n v="17"/>
    <n v="23"/>
    <n v="391"/>
    <n v="0"/>
    <n v="46.92"/>
    <n v="437.92"/>
  </r>
  <r>
    <d v="2020-07-24T00:00:00"/>
    <s v="Jul"/>
    <n v="2020"/>
    <x v="40"/>
    <s v="Mariscos"/>
    <s v="Ikura"/>
    <n v="5"/>
    <n v="27"/>
    <n v="135"/>
    <n v="0"/>
    <n v="16.2"/>
    <n v="151.19999999999999"/>
  </r>
  <r>
    <d v="2020-07-24T00:00:00"/>
    <s v="Jul"/>
    <n v="2020"/>
    <x v="40"/>
    <s v="Dulces"/>
    <s v="Scones de Sir Rodney"/>
    <n v="36"/>
    <n v="35"/>
    <n v="1260"/>
    <n v="0"/>
    <n v="151.19999999999999"/>
    <n v="1411.2"/>
  </r>
  <r>
    <d v="2020-07-25T00:00:00"/>
    <s v="Jul"/>
    <n v="2020"/>
    <x v="52"/>
    <s v="Mariscos"/>
    <s v="Arenque en escabeche"/>
    <n v="45"/>
    <n v="21"/>
    <n v="945"/>
    <n v="0.25"/>
    <n v="113.39999999999999"/>
    <n v="1058.1500000000001"/>
  </r>
  <r>
    <d v="2020-07-25T00:00:00"/>
    <s v="Jul"/>
    <n v="2020"/>
    <x v="62"/>
    <s v="Bebidas"/>
    <s v="Chai"/>
    <n v="17"/>
    <n v="42"/>
    <n v="714"/>
    <n v="0"/>
    <n v="85.679999999999993"/>
    <n v="799.68"/>
  </r>
  <r>
    <d v="2020-07-25T00:00:00"/>
    <s v="Jul"/>
    <n v="2020"/>
    <x v="62"/>
    <s v="Bebidas"/>
    <s v="Chang"/>
    <n v="26"/>
    <n v="55"/>
    <n v="1430"/>
    <n v="0"/>
    <n v="171.6"/>
    <n v="1601.6"/>
  </r>
  <r>
    <d v="2020-07-25T00:00:00"/>
    <s v="Jul"/>
    <n v="2020"/>
    <x v="62"/>
    <s v="Productos Lácteos"/>
    <s v="Pierrot camembert"/>
    <n v="90"/>
    <n v="47"/>
    <n v="4230"/>
    <n v="0"/>
    <n v="507.59999999999997"/>
    <n v="4737.6000000000004"/>
  </r>
  <r>
    <d v="2020-07-28T00:00:00"/>
    <s v="Jul"/>
    <n v="2020"/>
    <x v="44"/>
    <s v="Mariscos"/>
    <s v="Ikura"/>
    <n v="95"/>
    <n v="28"/>
    <n v="2660"/>
    <n v="0"/>
    <n v="319.2"/>
    <n v="2979.2"/>
  </r>
  <r>
    <d v="2020-07-28T00:00:00"/>
    <s v="Jul"/>
    <n v="2020"/>
    <x v="44"/>
    <s v="Mariscos"/>
    <s v="Arenque en escabeche"/>
    <n v="68"/>
    <n v="30"/>
    <n v="2040"/>
    <n v="0"/>
    <n v="244.79999999999998"/>
    <n v="2284.8000000000002"/>
  </r>
  <r>
    <d v="2020-07-28T00:00:00"/>
    <s v="Jul"/>
    <n v="2020"/>
    <x v="44"/>
    <s v="Dulces"/>
    <s v="Maxilaku"/>
    <n v="78"/>
    <n v="32"/>
    <n v="2496"/>
    <n v="0"/>
    <n v="299.52"/>
    <n v="2795.52"/>
  </r>
  <r>
    <d v="2020-07-28T00:00:00"/>
    <s v="Jul"/>
    <n v="2020"/>
    <x v="44"/>
    <s v="Productos Lácteos"/>
    <s v="Pierrot camembert"/>
    <n v="4"/>
    <n v="16"/>
    <n v="64"/>
    <n v="0"/>
    <n v="7.68"/>
    <n v="71.680000000000007"/>
  </r>
  <r>
    <d v="2020-07-28T00:00:00"/>
    <s v="Jul"/>
    <n v="2020"/>
    <x v="44"/>
    <s v="Bebidas"/>
    <s v="Lakkalikööri"/>
    <n v="81"/>
    <n v="17"/>
    <n v="1377"/>
    <n v="0"/>
    <n v="165.23999999999998"/>
    <n v="1542.24"/>
  </r>
  <r>
    <d v="2020-07-29T00:00:00"/>
    <s v="Jul"/>
    <n v="2020"/>
    <x v="8"/>
    <s v="Mariscos"/>
    <s v="Konbu"/>
    <n v="94"/>
    <n v="90"/>
    <n v="8460"/>
    <n v="0.10000000149011599"/>
    <n v="1015.1999999999999"/>
    <n v="9475.0999999985106"/>
  </r>
  <r>
    <d v="2020-07-29T00:00:00"/>
    <s v="Jul"/>
    <n v="2020"/>
    <x v="8"/>
    <s v="Bebidas"/>
    <s v="Rhönbräu Klosterbier"/>
    <n v="85"/>
    <n v="57"/>
    <n v="4845"/>
    <n v="0"/>
    <n v="581.4"/>
    <n v="5426.4"/>
  </r>
  <r>
    <d v="2020-07-29T00:00:00"/>
    <s v="Jul"/>
    <n v="2020"/>
    <x v="77"/>
    <s v="Productos Lácteos"/>
    <s v="Queso Cabrales"/>
    <n v="55"/>
    <n v="62"/>
    <n v="3410"/>
    <n v="0"/>
    <n v="409.2"/>
    <n v="3819.2"/>
  </r>
  <r>
    <d v="2020-07-29T00:00:00"/>
    <s v="Jul"/>
    <n v="2020"/>
    <x v="77"/>
    <s v="Dulces"/>
    <s v="Scones de Sir Rodney"/>
    <n v="25"/>
    <n v="11"/>
    <n v="275"/>
    <n v="0"/>
    <n v="33"/>
    <n v="308"/>
  </r>
  <r>
    <d v="2020-07-29T00:00:00"/>
    <s v="Jul"/>
    <n v="2020"/>
    <x v="77"/>
    <s v="Bebidas"/>
    <s v="Chartreuse verde"/>
    <n v="72"/>
    <n v="33"/>
    <n v="2376"/>
    <n v="0"/>
    <n v="285.12"/>
    <n v="2661.12"/>
  </r>
  <r>
    <d v="2020-07-30T00:00:00"/>
    <s v="Jul"/>
    <n v="2020"/>
    <x v="0"/>
    <s v="Carnes y Aves"/>
    <s v="Paté chino"/>
    <n v="10"/>
    <n v="66"/>
    <n v="660"/>
    <n v="0"/>
    <n v="79.2"/>
    <n v="739.2"/>
  </r>
  <r>
    <d v="2020-07-31T00:00:00"/>
    <s v="Jul"/>
    <n v="2020"/>
    <x v="80"/>
    <s v="Bebidas"/>
    <s v="Côte de Blaye"/>
    <n v="48"/>
    <n v="49"/>
    <n v="2352"/>
    <n v="5.0000000745058101E-2"/>
    <n v="282.24"/>
    <n v="2634.1899999992547"/>
  </r>
  <r>
    <d v="2020-07-31T00:00:00"/>
    <s v="Jul"/>
    <n v="2020"/>
    <x v="80"/>
    <s v="Granos y Cereales"/>
    <s v="Gnocchi di nonna Alice"/>
    <n v="35"/>
    <n v="85"/>
    <n v="2975"/>
    <n v="0"/>
    <n v="357"/>
    <n v="3332"/>
  </r>
  <r>
    <d v="2020-07-31T00:00:00"/>
    <s v="Jul"/>
    <n v="2020"/>
    <x v="80"/>
    <s v="Bebidas"/>
    <s v="Outback Lager"/>
    <n v="64"/>
    <n v="79"/>
    <n v="5056"/>
    <n v="5.0000000745058101E-2"/>
    <n v="606.72"/>
    <n v="5662.6699999992552"/>
  </r>
  <r>
    <d v="2020-07-31T00:00:00"/>
    <s v="Jul"/>
    <n v="2020"/>
    <x v="80"/>
    <s v="Productos Lácteos"/>
    <s v="Queso crema"/>
    <n v="46"/>
    <n v="31"/>
    <n v="1426"/>
    <n v="5.0000000745058101E-2"/>
    <n v="171.12"/>
    <n v="1597.0699999992548"/>
  </r>
  <r>
    <d v="2020-07-31T00:00:00"/>
    <s v="Jul"/>
    <n v="2020"/>
    <x v="80"/>
    <s v="Productos Lácteos"/>
    <s v="Raclette Courdavault"/>
    <n v="50"/>
    <n v="63"/>
    <n v="3150"/>
    <n v="0.15000000596046401"/>
    <n v="378"/>
    <n v="3527.8499999940395"/>
  </r>
  <r>
    <d v="2020-08-01T00:00:00"/>
    <s v="Ago"/>
    <n v="2020"/>
    <x v="48"/>
    <s v="Condimentos"/>
    <s v="Crema de arándanos de la abuela"/>
    <n v="16"/>
    <n v="68"/>
    <n v="1088"/>
    <n v="0"/>
    <n v="130.56"/>
    <n v="1218.56"/>
  </r>
  <r>
    <d v="2020-08-01T00:00:00"/>
    <s v="Ago"/>
    <n v="2020"/>
    <x v="48"/>
    <s v="Granos y Cereales"/>
    <s v="Gnocchi di nonna Alice"/>
    <n v="28"/>
    <n v="30"/>
    <n v="840"/>
    <n v="0"/>
    <n v="100.8"/>
    <n v="940.8"/>
  </r>
  <r>
    <d v="2020-08-01T00:00:00"/>
    <s v="Ago"/>
    <n v="2020"/>
    <x v="48"/>
    <s v="Dulces"/>
    <s v="Pan largo escocés"/>
    <n v="91"/>
    <n v="27"/>
    <n v="2457"/>
    <n v="0"/>
    <n v="294.83999999999997"/>
    <n v="2751.84"/>
  </r>
  <r>
    <d v="2020-08-04T00:00:00"/>
    <s v="Ago"/>
    <n v="2020"/>
    <x v="48"/>
    <s v="Dulces"/>
    <s v="Scones de Sir Rodney"/>
    <n v="23"/>
    <n v="55"/>
    <n v="1265"/>
    <n v="0"/>
    <n v="151.79999999999998"/>
    <n v="1416.8"/>
  </r>
  <r>
    <d v="2020-08-04T00:00:00"/>
    <s v="Ago"/>
    <n v="2020"/>
    <x v="48"/>
    <s v="Granos y Cereales"/>
    <s v="Pan crujiente de Gustaf"/>
    <n v="70"/>
    <n v="48"/>
    <n v="3360"/>
    <n v="0"/>
    <n v="403.2"/>
    <n v="3763.2"/>
  </r>
  <r>
    <d v="2020-08-05T00:00:00"/>
    <s v="Ago"/>
    <n v="2020"/>
    <x v="76"/>
    <s v="Bebidas"/>
    <s v="Guaraná Fantástica"/>
    <n v="87"/>
    <n v="60"/>
    <n v="5220"/>
    <n v="0"/>
    <n v="626.4"/>
    <n v="5846.4"/>
  </r>
  <r>
    <d v="2020-08-05T00:00:00"/>
    <s v="Ago"/>
    <n v="2020"/>
    <x v="76"/>
    <s v="Granos y Cereales"/>
    <s v="Filo Mix"/>
    <n v="4"/>
    <n v="34"/>
    <n v="136"/>
    <n v="0"/>
    <n v="16.32"/>
    <n v="152.32"/>
  </r>
  <r>
    <d v="2020-08-05T00:00:00"/>
    <s v="Ago"/>
    <n v="2020"/>
    <x v="41"/>
    <s v="Dulces"/>
    <s v="Galletas de chocolate a la hora del té"/>
    <n v="50"/>
    <n v="69"/>
    <n v="3450"/>
    <n v="0"/>
    <n v="414"/>
    <n v="3864"/>
  </r>
  <r>
    <d v="2020-08-05T00:00:00"/>
    <s v="Ago"/>
    <n v="2020"/>
    <x v="41"/>
    <s v="Granos y Cereales"/>
    <s v="Pan plano"/>
    <n v="23"/>
    <n v="56"/>
    <n v="1288"/>
    <n v="0"/>
    <n v="154.56"/>
    <n v="1442.56"/>
  </r>
  <r>
    <d v="2020-08-05T00:00:00"/>
    <s v="Ago"/>
    <n v="2020"/>
    <x v="41"/>
    <s v="Bebidas"/>
    <s v="Outback Lager"/>
    <n v="26"/>
    <n v="64"/>
    <n v="1664"/>
    <n v="0"/>
    <n v="199.68"/>
    <n v="1863.68"/>
  </r>
  <r>
    <d v="2020-08-05T00:00:00"/>
    <s v="Ago"/>
    <n v="2020"/>
    <x v="41"/>
    <s v="Productos Lácteos"/>
    <s v="Queso crema"/>
    <n v="33"/>
    <n v="60"/>
    <n v="1980"/>
    <n v="0"/>
    <n v="237.6"/>
    <n v="2217.6"/>
  </r>
  <r>
    <d v="2020-08-06T00:00:00"/>
    <s v="Ago"/>
    <n v="2020"/>
    <x v="30"/>
    <s v="Bebidas"/>
    <s v="Chang"/>
    <n v="2"/>
    <n v="85"/>
    <n v="170"/>
    <n v="0"/>
    <n v="20.399999999999999"/>
    <n v="190.4"/>
  </r>
  <r>
    <d v="2020-08-06T00:00:00"/>
    <s v="Ago"/>
    <n v="2020"/>
    <x v="30"/>
    <s v="Dulces"/>
    <s v="Pan largo escocés"/>
    <n v="12"/>
    <n v="14"/>
    <n v="168"/>
    <n v="0.20000000298023199"/>
    <n v="20.16"/>
    <n v="187.95999999701976"/>
  </r>
  <r>
    <d v="2020-08-07T00:00:00"/>
    <s v="Ago"/>
    <n v="2020"/>
    <x v="17"/>
    <s v="Productos Alimenticios"/>
    <s v="tofu"/>
    <n v="52"/>
    <n v="43"/>
    <n v="2236"/>
    <n v="0"/>
    <n v="268.32"/>
    <n v="2504.3200000000002"/>
  </r>
  <r>
    <d v="2020-08-07T00:00:00"/>
    <s v="Ago"/>
    <n v="2020"/>
    <x v="17"/>
    <s v="Dulces"/>
    <s v="Galletas de chocolate a la hora del té"/>
    <n v="87"/>
    <n v="68"/>
    <n v="5916"/>
    <n v="0.10000000149011599"/>
    <n v="709.92"/>
    <n v="6625.81999999851"/>
  </r>
  <r>
    <d v="2020-08-07T00:00:00"/>
    <s v="Ago"/>
    <n v="2020"/>
    <x v="17"/>
    <s v="Dulces"/>
    <s v="Scones de Sir Rodney"/>
    <n v="47"/>
    <n v="56"/>
    <n v="2632"/>
    <n v="0.10000000149011599"/>
    <n v="315.83999999999997"/>
    <n v="2947.73999999851"/>
  </r>
  <r>
    <d v="2020-08-07T00:00:00"/>
    <s v="Ago"/>
    <n v="2020"/>
    <x v="17"/>
    <s v="Bebidas"/>
    <s v="Guaraná Fantástica"/>
    <n v="75"/>
    <n v="100"/>
    <n v="7500"/>
    <n v="0"/>
    <n v="900"/>
    <n v="8400"/>
  </r>
  <r>
    <d v="2020-08-07T00:00:00"/>
    <s v="Ago"/>
    <n v="2020"/>
    <x v="17"/>
    <s v="Bebidas"/>
    <s v="Steeleye Stout"/>
    <n v="33"/>
    <n v="93"/>
    <n v="3069"/>
    <n v="0.10000000149011599"/>
    <n v="368.28"/>
    <n v="3437.1799999985096"/>
  </r>
  <r>
    <d v="2020-08-07T00:00:00"/>
    <s v="Ago"/>
    <n v="2020"/>
    <x v="84"/>
    <s v="Productos Alimenticios"/>
    <s v="Chucrut Rössle"/>
    <n v="46"/>
    <n v="21"/>
    <n v="966"/>
    <n v="0"/>
    <n v="115.92"/>
    <n v="1081.92"/>
  </r>
  <r>
    <d v="2020-08-07T00:00:00"/>
    <s v="Ago"/>
    <n v="2020"/>
    <x v="84"/>
    <s v="Carnes y Aves"/>
    <s v="Salchicha asada de Turingia"/>
    <n v="61"/>
    <n v="59"/>
    <n v="3599"/>
    <n v="0"/>
    <n v="431.88"/>
    <n v="4030.88"/>
  </r>
  <r>
    <d v="2020-08-07T00:00:00"/>
    <s v="Ago"/>
    <n v="2020"/>
    <x v="84"/>
    <s v="Condimentos"/>
    <s v="Gula Malacca"/>
    <n v="74"/>
    <n v="85"/>
    <n v="6290"/>
    <n v="0"/>
    <n v="754.8"/>
    <n v="7044.8"/>
  </r>
  <r>
    <d v="2020-08-08T00:00:00"/>
    <s v="Ago"/>
    <n v="2020"/>
    <x v="38"/>
    <s v="Productos Alimenticios"/>
    <s v="tofu"/>
    <n v="37"/>
    <n v="57"/>
    <n v="2109"/>
    <n v="0"/>
    <n v="253.07999999999998"/>
    <n v="2362.08"/>
  </r>
  <r>
    <d v="2020-08-08T00:00:00"/>
    <s v="Ago"/>
    <n v="2020"/>
    <x v="38"/>
    <s v="Granos y Cereales"/>
    <s v="Fried Mee de hockey de Singapur"/>
    <n v="73"/>
    <n v="46"/>
    <n v="3358"/>
    <n v="0"/>
    <n v="402.96"/>
    <n v="3760.96"/>
  </r>
  <r>
    <d v="2020-08-08T00:00:00"/>
    <s v="Ago"/>
    <n v="2020"/>
    <x v="38"/>
    <s v="Productos Lácteos"/>
    <s v="Pierrot camembert"/>
    <n v="83"/>
    <n v="68"/>
    <n v="5644"/>
    <n v="0"/>
    <n v="677.28"/>
    <n v="6321.28"/>
  </r>
  <r>
    <d v="2020-08-11T00:00:00"/>
    <s v="Ago"/>
    <n v="2020"/>
    <x v="26"/>
    <s v="Carnes y Aves"/>
    <s v="Empanadas de Perth"/>
    <n v="75"/>
    <n v="16"/>
    <n v="1200"/>
    <n v="0"/>
    <n v="144"/>
    <n v="1344"/>
  </r>
  <r>
    <d v="2020-08-11T00:00:00"/>
    <s v="Ago"/>
    <n v="2020"/>
    <x v="26"/>
    <s v="Productos Lácteos"/>
    <s v="Pierrot camembert"/>
    <n v="46"/>
    <n v="77"/>
    <n v="3542"/>
    <n v="0"/>
    <n v="425.03999999999996"/>
    <n v="3967.04"/>
  </r>
  <r>
    <d v="2020-08-11T00:00:00"/>
    <s v="Ago"/>
    <n v="2020"/>
    <x v="26"/>
    <s v="Productos Lácteos"/>
    <s v="Queso crema"/>
    <n v="38"/>
    <n v="38"/>
    <n v="1444"/>
    <n v="0"/>
    <n v="173.28"/>
    <n v="1617.28"/>
  </r>
  <r>
    <d v="2020-08-11T00:00:00"/>
    <s v="Ago"/>
    <n v="2020"/>
    <x v="44"/>
    <s v="Dulces"/>
    <s v="Tarta de azúcar"/>
    <n v="55"/>
    <n v="87"/>
    <n v="4785"/>
    <n v="0"/>
    <n v="574.19999999999993"/>
    <n v="5359.2"/>
  </r>
  <r>
    <d v="2020-08-11T00:00:00"/>
    <s v="Ago"/>
    <n v="2020"/>
    <x v="44"/>
    <s v="Mariscos"/>
    <s v="Caviar rojo"/>
    <n v="20"/>
    <n v="21"/>
    <n v="420"/>
    <n v="0.15000000596046401"/>
    <n v="50.4"/>
    <n v="470.24999999403951"/>
  </r>
  <r>
    <d v="2020-08-12T00:00:00"/>
    <s v="Ago"/>
    <n v="2020"/>
    <x v="15"/>
    <s v="Bebidas"/>
    <s v="Chai"/>
    <n v="73"/>
    <n v="96"/>
    <n v="7008"/>
    <n v="0"/>
    <n v="840.95999999999992"/>
    <n v="7848.96"/>
  </r>
  <r>
    <d v="2020-08-12T00:00:00"/>
    <s v="Ago"/>
    <n v="2020"/>
    <x v="36"/>
    <s v="Carnes y Aves"/>
    <s v="Salchicha asada de Turingia"/>
    <n v="64"/>
    <n v="78"/>
    <n v="4992"/>
    <n v="0"/>
    <n v="599.04"/>
    <n v="5591.04"/>
  </r>
  <r>
    <d v="2020-08-12T00:00:00"/>
    <s v="Ago"/>
    <n v="2020"/>
    <x v="36"/>
    <s v="Granos y Cereales"/>
    <s v="El buen Semmelknödel de Wimmer"/>
    <n v="50"/>
    <n v="39"/>
    <n v="1950"/>
    <n v="0"/>
    <n v="234"/>
    <n v="2184"/>
  </r>
  <r>
    <d v="2020-08-13T00:00:00"/>
    <s v="Ago"/>
    <n v="2020"/>
    <x v="43"/>
    <s v="Carnes y Aves"/>
    <s v="Paté chino"/>
    <n v="24"/>
    <n v="40"/>
    <n v="960"/>
    <n v="5.0000000745058101E-2"/>
    <n v="115.19999999999999"/>
    <n v="1075.149999999255"/>
  </r>
  <r>
    <d v="2020-08-13T00:00:00"/>
    <s v="Ago"/>
    <n v="2020"/>
    <x v="43"/>
    <s v="Bebidas"/>
    <s v="Lakkalikööri"/>
    <n v="90"/>
    <n v="57"/>
    <n v="5130"/>
    <n v="0"/>
    <n v="615.6"/>
    <n v="5745.6"/>
  </r>
  <r>
    <d v="2020-08-14T00:00:00"/>
    <s v="Ago"/>
    <n v="2020"/>
    <x v="52"/>
    <s v="Bebidas"/>
    <s v="Rhönbräu Klosterbier"/>
    <n v="21"/>
    <n v="76"/>
    <n v="1596"/>
    <n v="0.10000000149011599"/>
    <n v="191.51999999999998"/>
    <n v="1787.4199999985099"/>
  </r>
  <r>
    <d v="2020-08-14T00:00:00"/>
    <s v="Ago"/>
    <n v="2020"/>
    <x v="35"/>
    <s v="Bebidas"/>
    <s v="Chang"/>
    <n v="47"/>
    <n v="60"/>
    <n v="2820"/>
    <n v="5.0000000745058101E-2"/>
    <n v="338.4"/>
    <n v="3158.349999999255"/>
  </r>
  <r>
    <d v="2020-08-14T00:00:00"/>
    <s v="Ago"/>
    <n v="2020"/>
    <x v="35"/>
    <s v="Productos Lácteos"/>
    <s v="Queso de cabra"/>
    <n v="23"/>
    <n v="79"/>
    <n v="1817"/>
    <n v="5.0000000745058101E-2"/>
    <n v="218.04"/>
    <n v="2034.9899999992549"/>
  </r>
  <r>
    <d v="2020-08-15T00:00:00"/>
    <s v="Ago"/>
    <n v="2020"/>
    <x v="9"/>
    <s v="Productos Lácteos"/>
    <s v="Queso Manchego La Pastora"/>
    <n v="37"/>
    <n v="29"/>
    <n v="1073"/>
    <n v="0.15000000596046401"/>
    <n v="128.76"/>
    <n v="1201.6099999940395"/>
  </r>
  <r>
    <d v="2020-08-15T00:00:00"/>
    <s v="Ago"/>
    <n v="2020"/>
    <x v="9"/>
    <s v="Mariscos"/>
    <s v="Konbu"/>
    <n v="50"/>
    <n v="42"/>
    <n v="2100"/>
    <n v="0.15000000596046401"/>
    <n v="252"/>
    <n v="2351.8499999940395"/>
  </r>
  <r>
    <d v="2020-08-15T00:00:00"/>
    <s v="Ago"/>
    <n v="2020"/>
    <x v="9"/>
    <s v="Dulces"/>
    <s v="Gummär Gummibärchen"/>
    <n v="45"/>
    <n v="86"/>
    <n v="3870"/>
    <n v="0.15000000596046401"/>
    <n v="464.4"/>
    <n v="4334.2499999940392"/>
  </r>
  <r>
    <d v="2020-08-15T00:00:00"/>
    <s v="Ago"/>
    <n v="2020"/>
    <x v="9"/>
    <s v="Dulces"/>
    <s v="Tarta de azúcar"/>
    <n v="66"/>
    <n v="78"/>
    <n v="5148"/>
    <n v="0.15000000596046401"/>
    <n v="617.76"/>
    <n v="5765.6099999940398"/>
  </r>
  <r>
    <d v="2020-08-15T00:00:00"/>
    <s v="Ago"/>
    <n v="2020"/>
    <x v="68"/>
    <s v="Productos Alimenticios"/>
    <s v="Peras secas orgánicas del tío Bob"/>
    <n v="62"/>
    <n v="88"/>
    <n v="5456"/>
    <n v="0"/>
    <n v="654.72"/>
    <n v="6110.72"/>
  </r>
  <r>
    <d v="2020-08-15T00:00:00"/>
    <s v="Ago"/>
    <n v="2020"/>
    <x v="68"/>
    <s v="Mariscos"/>
    <s v="Tigres de Carnarvon"/>
    <n v="77"/>
    <n v="92"/>
    <n v="7084"/>
    <n v="0"/>
    <n v="850.07999999999993"/>
    <n v="7934.08"/>
  </r>
  <r>
    <d v="2020-08-15T00:00:00"/>
    <s v="Ago"/>
    <n v="2020"/>
    <x v="68"/>
    <s v="Productos Alimenticios"/>
    <s v="Manjimup Dry Apples"/>
    <n v="20"/>
    <n v="32"/>
    <n v="640"/>
    <n v="0"/>
    <n v="76.8"/>
    <n v="716.8"/>
  </r>
  <r>
    <d v="2020-08-15T00:00:00"/>
    <s v="Ago"/>
    <n v="2020"/>
    <x v="68"/>
    <s v="Bebidas"/>
    <s v="Rhönbräu Klosterbier"/>
    <n v="63"/>
    <n v="38"/>
    <n v="2394"/>
    <n v="0"/>
    <n v="287.27999999999997"/>
    <n v="2681.2799999999997"/>
  </r>
  <r>
    <d v="2020-08-18T00:00:00"/>
    <s v="Ago"/>
    <n v="2020"/>
    <x v="23"/>
    <s v="Condimentos"/>
    <s v="Condimento Cajún del Chef Anton"/>
    <n v="43"/>
    <n v="97"/>
    <n v="4171"/>
    <n v="0.10000000149011599"/>
    <n v="500.52"/>
    <n v="4671.4199999985103"/>
  </r>
  <r>
    <d v="2020-08-18T00:00:00"/>
    <s v="Ago"/>
    <n v="2020"/>
    <x v="23"/>
    <s v="Condimentos"/>
    <s v="Mezcla de Gumbo del Chef Anton"/>
    <n v="19"/>
    <n v="20"/>
    <n v="380"/>
    <n v="0.10000000149011599"/>
    <n v="45.6"/>
    <n v="425.49999999850991"/>
  </r>
  <r>
    <d v="2020-08-18T00:00:00"/>
    <s v="Ago"/>
    <n v="2020"/>
    <x v="23"/>
    <s v="Granos y Cereales"/>
    <s v="Pan crujiente de Gustaf"/>
    <n v="66"/>
    <n v="43"/>
    <n v="2838"/>
    <n v="0"/>
    <n v="340.56"/>
    <n v="3178.56"/>
  </r>
  <r>
    <d v="2020-08-19T00:00:00"/>
    <s v="Ago"/>
    <n v="2020"/>
    <x v="16"/>
    <s v="Condimentos"/>
    <s v="Condimento Cajún del Chef Anton"/>
    <n v="17"/>
    <n v="49"/>
    <n v="833"/>
    <n v="0"/>
    <n v="99.96"/>
    <n v="932.96"/>
  </r>
  <r>
    <d v="2020-08-19T00:00:00"/>
    <s v="Ago"/>
    <n v="2020"/>
    <x v="16"/>
    <s v="Mariscos"/>
    <s v="Escorts borgoña"/>
    <n v="100"/>
    <n v="45"/>
    <n v="4500"/>
    <n v="0"/>
    <n v="540"/>
    <n v="5040"/>
  </r>
  <r>
    <d v="2020-08-19T00:00:00"/>
    <s v="Ago"/>
    <n v="2020"/>
    <x v="61"/>
    <s v="Productos Lácteos"/>
    <s v="Queso Cabrales"/>
    <n v="30"/>
    <n v="18"/>
    <n v="540"/>
    <n v="0"/>
    <n v="64.8"/>
    <n v="604.79999999999995"/>
  </r>
  <r>
    <d v="2020-08-19T00:00:00"/>
    <s v="Ago"/>
    <n v="2020"/>
    <x v="61"/>
    <s v="Dulces"/>
    <s v="Valkoinen suklaa"/>
    <n v="53"/>
    <n v="35"/>
    <n v="1855"/>
    <n v="5.0000000745058101E-2"/>
    <n v="222.6"/>
    <n v="2077.5499999992549"/>
  </r>
  <r>
    <d v="2020-08-19T00:00:00"/>
    <s v="Ago"/>
    <n v="2020"/>
    <x v="61"/>
    <s v="Granos y Cereales"/>
    <s v="Gnocchi di nonna Alice"/>
    <n v="28"/>
    <n v="64"/>
    <n v="1792"/>
    <n v="5.0000000745058101E-2"/>
    <n v="215.04"/>
    <n v="2006.9899999992549"/>
  </r>
  <r>
    <d v="2020-08-20T00:00:00"/>
    <s v="Ago"/>
    <n v="2020"/>
    <x v="66"/>
    <s v="Mariscos"/>
    <s v="Arenque ahumado"/>
    <n v="27"/>
    <n v="60"/>
    <n v="1620"/>
    <n v="0"/>
    <n v="194.4"/>
    <n v="1814.4"/>
  </r>
  <r>
    <d v="2020-08-20T00:00:00"/>
    <s v="Ago"/>
    <n v="2020"/>
    <x v="66"/>
    <s v="Condimentos"/>
    <s v="Salsa de pimiento picante de Luisiana"/>
    <n v="12"/>
    <n v="64"/>
    <n v="768"/>
    <n v="0"/>
    <n v="92.16"/>
    <n v="860.16"/>
  </r>
  <r>
    <d v="2020-08-20T00:00:00"/>
    <s v="Ago"/>
    <n v="2020"/>
    <x v="66"/>
    <s v="Productos Lácteos"/>
    <s v="Mozzarella di Giovanni"/>
    <n v="9"/>
    <n v="18"/>
    <n v="162"/>
    <n v="0"/>
    <n v="19.439999999999998"/>
    <n v="181.44"/>
  </r>
  <r>
    <d v="2020-08-20T00:00:00"/>
    <s v="Ago"/>
    <n v="2020"/>
    <x v="64"/>
    <s v="Mariscos"/>
    <s v="Tigres de Carnarvon"/>
    <n v="59"/>
    <n v="61"/>
    <n v="3599"/>
    <n v="0"/>
    <n v="431.88"/>
    <n v="4030.88"/>
  </r>
  <r>
    <d v="2020-08-21T00:00:00"/>
    <s v="Ago"/>
    <n v="2020"/>
    <x v="35"/>
    <s v="Productos Lácteos"/>
    <s v="Gudbrandsdalsost"/>
    <n v="3"/>
    <n v="13"/>
    <n v="39"/>
    <n v="0.25"/>
    <n v="4.68"/>
    <n v="43.43"/>
  </r>
  <r>
    <d v="2020-08-21T00:00:00"/>
    <s v="Ago"/>
    <n v="2020"/>
    <x v="35"/>
    <s v="Bebidas"/>
    <s v="Outback Lager"/>
    <n v="80"/>
    <n v="44"/>
    <n v="3520"/>
    <n v="0.25"/>
    <n v="422.4"/>
    <n v="3942.15"/>
  </r>
  <r>
    <d v="2020-08-22T00:00:00"/>
    <s v="Ago"/>
    <n v="2020"/>
    <x v="8"/>
    <s v="Bebidas"/>
    <s v="Chang"/>
    <n v="18"/>
    <n v="96"/>
    <n v="1728"/>
    <n v="0"/>
    <n v="207.35999999999999"/>
    <n v="1935.36"/>
  </r>
  <r>
    <d v="2020-08-22T00:00:00"/>
    <s v="Ago"/>
    <n v="2020"/>
    <x v="8"/>
    <s v="Mariscos"/>
    <s v="Carne de cangrejo de Boston"/>
    <n v="10"/>
    <n v="26"/>
    <n v="260"/>
    <n v="0"/>
    <n v="31.2"/>
    <n v="291.2"/>
  </r>
  <r>
    <d v="2020-08-22T00:00:00"/>
    <s v="Ago"/>
    <n v="2020"/>
    <x v="50"/>
    <s v="Dulces"/>
    <s v="Scones de Sir Rodney"/>
    <n v="92"/>
    <n v="82"/>
    <n v="7544"/>
    <n v="0.20000000298023199"/>
    <n v="905.28"/>
    <n v="8449.0799999970204"/>
  </r>
  <r>
    <d v="2020-08-22T00:00:00"/>
    <s v="Ago"/>
    <n v="2020"/>
    <x v="50"/>
    <s v="Condimentos"/>
    <s v="miel de maple"/>
    <n v="26"/>
    <n v="44"/>
    <n v="1144"/>
    <n v="0.20000000298023199"/>
    <n v="137.28"/>
    <n v="1281.0799999970197"/>
  </r>
  <r>
    <d v="2020-08-25T00:00:00"/>
    <s v="Ago"/>
    <n v="2020"/>
    <x v="85"/>
    <s v="Productos Alimenticios"/>
    <s v="Chucrut Rössle"/>
    <n v="6"/>
    <n v="88"/>
    <n v="528"/>
    <n v="0.25"/>
    <n v="63.36"/>
    <n v="591.11"/>
  </r>
  <r>
    <d v="2020-08-25T00:00:00"/>
    <s v="Ago"/>
    <n v="2020"/>
    <x v="85"/>
    <s v="Bebidas"/>
    <s v="Chartreuse verde"/>
    <n v="91"/>
    <n v="80"/>
    <n v="7280"/>
    <n v="0.25"/>
    <n v="873.6"/>
    <n v="8153.35"/>
  </r>
  <r>
    <d v="2020-08-25T00:00:00"/>
    <s v="Ago"/>
    <n v="2020"/>
    <x v="85"/>
    <s v="Mariscos"/>
    <s v="arenque"/>
    <n v="66"/>
    <n v="33"/>
    <n v="2178"/>
    <n v="0.25"/>
    <n v="261.36"/>
    <n v="2439.11"/>
  </r>
  <r>
    <d v="2020-08-25T00:00:00"/>
    <s v="Ago"/>
    <n v="2020"/>
    <x v="7"/>
    <s v="Mariscos"/>
    <s v="Tigres de Carnarvon"/>
    <n v="28"/>
    <n v="54"/>
    <n v="1512"/>
    <n v="0.10000000149011599"/>
    <n v="181.44"/>
    <n v="1693.3399999985099"/>
  </r>
  <r>
    <d v="2020-08-25T00:00:00"/>
    <s v="Ago"/>
    <n v="2020"/>
    <x v="7"/>
    <s v="Bebidas"/>
    <s v="Café Ipoh"/>
    <n v="88"/>
    <n v="29"/>
    <n v="2552"/>
    <n v="0"/>
    <n v="306.24"/>
    <n v="2858.24"/>
  </r>
  <r>
    <d v="2020-08-25T00:00:00"/>
    <s v="Ago"/>
    <n v="2020"/>
    <x v="7"/>
    <s v="Mariscos"/>
    <s v="arenque"/>
    <n v="28"/>
    <n v="70"/>
    <n v="1960"/>
    <n v="0.10000000149011599"/>
    <n v="235.2"/>
    <n v="2195.0999999985097"/>
  </r>
  <r>
    <d v="2020-08-26T00:00:00"/>
    <s v="Ago"/>
    <n v="2020"/>
    <x v="2"/>
    <s v="Mariscos"/>
    <s v="Tigres de Carnarvon"/>
    <n v="53"/>
    <n v="92"/>
    <n v="4876"/>
    <n v="0"/>
    <n v="585.12"/>
    <n v="5461.12"/>
  </r>
  <r>
    <d v="2020-08-26T00:00:00"/>
    <s v="Ago"/>
    <n v="2020"/>
    <x v="2"/>
    <s v="Mariscos"/>
    <s v="Arenque en escabeche"/>
    <n v="59"/>
    <n v="56"/>
    <n v="3304"/>
    <n v="0"/>
    <n v="396.47999999999996"/>
    <n v="3700.48"/>
  </r>
  <r>
    <d v="2020-08-27T00:00:00"/>
    <s v="Ago"/>
    <n v="2020"/>
    <x v="34"/>
    <s v="Bebidas"/>
    <s v="Chai"/>
    <n v="25"/>
    <n v="95"/>
    <n v="2375"/>
    <n v="0.25"/>
    <n v="285"/>
    <n v="2659.75"/>
  </r>
  <r>
    <d v="2020-08-27T00:00:00"/>
    <s v="Ago"/>
    <n v="2020"/>
    <x v="34"/>
    <s v="Mariscos"/>
    <s v="Ikura"/>
    <n v="49"/>
    <n v="45"/>
    <n v="2205"/>
    <n v="0.25"/>
    <n v="264.59999999999997"/>
    <n v="2469.35"/>
  </r>
  <r>
    <d v="2020-08-27T00:00:00"/>
    <s v="Ago"/>
    <n v="2020"/>
    <x v="34"/>
    <s v="Productos Lácteos"/>
    <s v="Queso crema"/>
    <n v="85"/>
    <n v="37"/>
    <n v="3145"/>
    <n v="0.25"/>
    <n v="377.4"/>
    <n v="3522.15"/>
  </r>
  <r>
    <d v="2020-08-27T00:00:00"/>
    <s v="Ago"/>
    <n v="2020"/>
    <x v="34"/>
    <s v="Condimentos"/>
    <s v="Salsa verde original de Frankfurt"/>
    <n v="61"/>
    <n v="24"/>
    <n v="1464"/>
    <n v="0.25"/>
    <n v="175.68"/>
    <n v="1639.43"/>
  </r>
  <r>
    <d v="2020-08-27T00:00:00"/>
    <s v="Ago"/>
    <n v="2020"/>
    <x v="12"/>
    <s v="Dulces"/>
    <s v="Galletas de chocolate a la hora del té"/>
    <n v="10"/>
    <n v="22"/>
    <n v="220"/>
    <n v="0"/>
    <n v="26.4"/>
    <n v="246.4"/>
  </r>
  <r>
    <d v="2020-08-27T00:00:00"/>
    <s v="Ago"/>
    <n v="2020"/>
    <x v="12"/>
    <s v="Bebidas"/>
    <s v="Chartreuse verde"/>
    <n v="88"/>
    <n v="65"/>
    <n v="5720"/>
    <n v="0"/>
    <n v="686.4"/>
    <n v="6406.4"/>
  </r>
  <r>
    <d v="2020-08-28T00:00:00"/>
    <s v="Ago"/>
    <n v="2020"/>
    <x v="30"/>
    <s v="Granos y Cereales"/>
    <s v="Pan crujiente de Gustaf"/>
    <n v="29"/>
    <n v="99"/>
    <n v="2871"/>
    <n v="0"/>
    <n v="344.52"/>
    <n v="3215.52"/>
  </r>
  <r>
    <d v="2020-08-28T00:00:00"/>
    <s v="Ago"/>
    <n v="2020"/>
    <x v="30"/>
    <s v="Bebidas"/>
    <s v="Guaraná Fantástica"/>
    <n v="66"/>
    <n v="83"/>
    <n v="5478"/>
    <n v="0.15000000596046401"/>
    <n v="657.36"/>
    <n v="6135.2099999940392"/>
  </r>
  <r>
    <d v="2020-08-28T00:00:00"/>
    <s v="Ago"/>
    <n v="2020"/>
    <x v="81"/>
    <s v="Productos Alimenticios"/>
    <s v="Chucrut Rössle"/>
    <n v="83"/>
    <n v="31"/>
    <n v="2573"/>
    <n v="0"/>
    <n v="308.76"/>
    <n v="2881.76"/>
  </r>
  <r>
    <d v="2020-08-28T00:00:00"/>
    <s v="Ago"/>
    <n v="2020"/>
    <x v="81"/>
    <s v="Productos Lácteos"/>
    <s v="Mozzarella di Giovanni"/>
    <n v="85"/>
    <n v="53"/>
    <n v="4505"/>
    <n v="0"/>
    <n v="540.6"/>
    <n v="5045.6000000000004"/>
  </r>
  <r>
    <d v="2020-08-29T00:00:00"/>
    <s v="Ago"/>
    <n v="2020"/>
    <x v="51"/>
    <s v="Mariscos"/>
    <s v="Nord-Ost Matjeshering"/>
    <n v="15"/>
    <n v="74"/>
    <n v="1110"/>
    <n v="0"/>
    <n v="133.19999999999999"/>
    <n v="1243.2"/>
  </r>
  <r>
    <d v="2020-08-29T00:00:00"/>
    <s v="Ago"/>
    <n v="2020"/>
    <x v="51"/>
    <s v="Carnes y Aves"/>
    <s v="Empanadas de Perth"/>
    <n v="23"/>
    <n v="50"/>
    <n v="1150"/>
    <n v="5.0000000745058101E-2"/>
    <n v="138"/>
    <n v="1287.9499999992549"/>
  </r>
  <r>
    <d v="2020-08-29T00:00:00"/>
    <s v="Ago"/>
    <n v="2020"/>
    <x v="51"/>
    <s v="Carnes y Aves"/>
    <s v="Tourtière"/>
    <n v="29"/>
    <n v="16"/>
    <n v="464"/>
    <n v="0"/>
    <n v="55.68"/>
    <n v="519.67999999999995"/>
  </r>
  <r>
    <d v="2020-09-01T00:00:00"/>
    <s v="Sep"/>
    <n v="2020"/>
    <x v="35"/>
    <s v="Dulces"/>
    <s v="Galletas de chocolate a la hora del té"/>
    <n v="21"/>
    <n v="69"/>
    <n v="1449"/>
    <n v="0.25"/>
    <n v="173.88"/>
    <n v="1622.63"/>
  </r>
  <r>
    <d v="2020-09-01T00:00:00"/>
    <s v="Sep"/>
    <n v="2020"/>
    <x v="35"/>
    <s v="Granos y Cereales"/>
    <s v="Pan crujiente de Gustaf"/>
    <n v="91"/>
    <n v="86"/>
    <n v="7826"/>
    <n v="0.25"/>
    <n v="939.12"/>
    <n v="8764.8700000000008"/>
  </r>
  <r>
    <d v="2020-09-01T00:00:00"/>
    <s v="Sep"/>
    <n v="2020"/>
    <x v="71"/>
    <s v="Mariscos"/>
    <s v="Nord-Ost Matjeshering"/>
    <n v="80"/>
    <n v="16"/>
    <n v="1280"/>
    <n v="0.25"/>
    <n v="153.6"/>
    <n v="1433.35"/>
  </r>
  <r>
    <d v="2020-09-01T00:00:00"/>
    <s v="Sep"/>
    <n v="2020"/>
    <x v="71"/>
    <s v="Granos y Cereales"/>
    <s v="Fried Mee de hockey de Singapur"/>
    <n v="37"/>
    <n v="85"/>
    <n v="3145"/>
    <n v="0"/>
    <n v="377.4"/>
    <n v="3522.4"/>
  </r>
  <r>
    <d v="2020-09-02T00:00:00"/>
    <s v="Sep"/>
    <n v="2020"/>
    <x v="17"/>
    <s v="Dulces"/>
    <s v="Pavlova"/>
    <n v="89"/>
    <n v="81"/>
    <n v="7209"/>
    <n v="0.10000000149011599"/>
    <n v="865.07999999999993"/>
    <n v="8073.9799999985098"/>
  </r>
  <r>
    <d v="2020-09-02T00:00:00"/>
    <s v="Sep"/>
    <n v="2020"/>
    <x v="17"/>
    <s v="Productos Lácteos"/>
    <s v="Pierrot camembert"/>
    <n v="45"/>
    <n v="59"/>
    <n v="2655"/>
    <n v="0.10000000149011599"/>
    <n v="318.59999999999997"/>
    <n v="2973.4999999985098"/>
  </r>
  <r>
    <d v="2020-09-02T00:00:00"/>
    <s v="Sep"/>
    <n v="2020"/>
    <x v="26"/>
    <s v="Condimentos"/>
    <s v="Condimento Cajún del Chef Anton"/>
    <n v="99"/>
    <n v="63"/>
    <n v="6237"/>
    <n v="0.10000000149011599"/>
    <n v="748.43999999999994"/>
    <n v="6985.3399999985095"/>
  </r>
  <r>
    <d v="2020-09-02T00:00:00"/>
    <s v="Sep"/>
    <n v="2020"/>
    <x v="26"/>
    <s v="Bebidas"/>
    <s v="Chartreuse verde"/>
    <n v="56"/>
    <n v="27"/>
    <n v="1512"/>
    <n v="0.10000000149011599"/>
    <n v="181.44"/>
    <n v="1693.3399999985099"/>
  </r>
  <r>
    <d v="2020-09-02T00:00:00"/>
    <s v="Sep"/>
    <n v="2020"/>
    <x v="26"/>
    <s v="Carnes y Aves"/>
    <s v="Tourtière"/>
    <n v="16"/>
    <n v="32"/>
    <n v="512"/>
    <n v="0.10000000149011599"/>
    <n v="61.44"/>
    <n v="573.33999999850994"/>
  </r>
  <r>
    <d v="2020-09-03T00:00:00"/>
    <s v="Sep"/>
    <n v="2020"/>
    <x v="31"/>
    <s v="Mariscos"/>
    <s v="Sopa de almejas de Nueva Inglaterra de Jack"/>
    <n v="93"/>
    <n v="88"/>
    <n v="8184"/>
    <n v="0.20000000298023199"/>
    <n v="982.07999999999993"/>
    <n v="9165.8799999970197"/>
  </r>
  <r>
    <d v="2020-09-04T00:00:00"/>
    <s v="Sep"/>
    <n v="2020"/>
    <x v="80"/>
    <s v="Productos Alimenticios"/>
    <s v="tofu"/>
    <n v="33"/>
    <n v="43"/>
    <n v="1419"/>
    <n v="0.10000000149011599"/>
    <n v="170.28"/>
    <n v="1589.1799999985099"/>
  </r>
  <r>
    <d v="2020-09-04T00:00:00"/>
    <s v="Sep"/>
    <n v="2020"/>
    <x v="80"/>
    <s v="Condimentos"/>
    <s v="Gula Malacca"/>
    <n v="2"/>
    <n v="67"/>
    <n v="134"/>
    <n v="0.10000000149011599"/>
    <n v="16.079999999999998"/>
    <n v="149.97999999850987"/>
  </r>
  <r>
    <d v="2020-09-04T00:00:00"/>
    <s v="Sep"/>
    <n v="2020"/>
    <x v="80"/>
    <s v="Dulces"/>
    <s v="Tortas Zaanse"/>
    <n v="82"/>
    <n v="52"/>
    <n v="4264"/>
    <n v="0.10000000149011599"/>
    <n v="511.68"/>
    <n v="4775.5799999985102"/>
  </r>
  <r>
    <d v="2020-09-04T00:00:00"/>
    <s v="Sep"/>
    <n v="2020"/>
    <x v="44"/>
    <s v="Condimentos"/>
    <s v="Genes Shouyu"/>
    <n v="51"/>
    <n v="36"/>
    <n v="1836"/>
    <n v="0"/>
    <n v="220.32"/>
    <n v="2056.3200000000002"/>
  </r>
  <r>
    <d v="2020-09-04T00:00:00"/>
    <s v="Sep"/>
    <n v="2020"/>
    <x v="44"/>
    <s v="Mariscos"/>
    <s v="Sopa de almejas de Nueva Inglaterra de Jack"/>
    <n v="5"/>
    <n v="11"/>
    <n v="55"/>
    <n v="0"/>
    <n v="6.6"/>
    <n v="61.6"/>
  </r>
  <r>
    <d v="2020-09-04T00:00:00"/>
    <s v="Sep"/>
    <n v="2020"/>
    <x v="44"/>
    <s v="Mariscos"/>
    <s v="arenque"/>
    <n v="25"/>
    <n v="14"/>
    <n v="350"/>
    <n v="0"/>
    <n v="42"/>
    <n v="392"/>
  </r>
  <r>
    <d v="2020-09-04T00:00:00"/>
    <s v="Sep"/>
    <n v="2020"/>
    <x v="44"/>
    <s v="Dulces"/>
    <s v="Tortas Zaanse"/>
    <n v="72"/>
    <n v="48"/>
    <n v="3456"/>
    <n v="0"/>
    <n v="414.71999999999997"/>
    <n v="3870.72"/>
  </r>
  <r>
    <d v="2020-09-04T00:00:00"/>
    <s v="Sep"/>
    <n v="2020"/>
    <x v="44"/>
    <s v="Granos y Cereales"/>
    <s v="Gnocchi di nonna Alice"/>
    <n v="33"/>
    <n v="99"/>
    <n v="3267"/>
    <n v="0"/>
    <n v="392.03999999999996"/>
    <n v="3659.04"/>
  </r>
  <r>
    <d v="2020-09-04T00:00:00"/>
    <s v="Sep"/>
    <n v="2020"/>
    <x v="44"/>
    <s v="Productos Lácteos"/>
    <s v="Pierrot camembert"/>
    <n v="23"/>
    <n v="92"/>
    <n v="2116"/>
    <n v="0"/>
    <n v="253.92"/>
    <n v="2369.92"/>
  </r>
  <r>
    <d v="2020-09-05T00:00:00"/>
    <s v="Sep"/>
    <n v="2020"/>
    <x v="21"/>
    <s v="Dulces"/>
    <s v="Scones de Sir Rodney"/>
    <n v="70"/>
    <n v="100"/>
    <n v="7000"/>
    <n v="0"/>
    <n v="840"/>
    <n v="7840"/>
  </r>
  <r>
    <d v="2020-09-05T00:00:00"/>
    <s v="Sep"/>
    <n v="2020"/>
    <x v="21"/>
    <s v="Mariscos"/>
    <s v="Carne de cangrejo de Boston"/>
    <n v="5"/>
    <n v="33"/>
    <n v="165"/>
    <n v="5.0000000745058101E-2"/>
    <n v="19.8"/>
    <n v="184.74999999925495"/>
  </r>
  <r>
    <d v="2020-09-05T00:00:00"/>
    <s v="Sep"/>
    <n v="2020"/>
    <x v="21"/>
    <s v="Productos Lácteos"/>
    <s v="Pierrot camembert"/>
    <n v="67"/>
    <n v="40"/>
    <n v="2680"/>
    <n v="5.0000000745058101E-2"/>
    <n v="321.59999999999997"/>
    <n v="3001.5499999992549"/>
  </r>
  <r>
    <d v="2020-09-05T00:00:00"/>
    <s v="Sep"/>
    <n v="2020"/>
    <x v="21"/>
    <s v="Condimentos"/>
    <s v="Salsa verde original de Frankfurt"/>
    <n v="58"/>
    <n v="55"/>
    <n v="3190"/>
    <n v="5.0000000745058101E-2"/>
    <n v="382.8"/>
    <n v="3572.7499999992551"/>
  </r>
  <r>
    <d v="2020-09-05T00:00:00"/>
    <s v="Sep"/>
    <n v="2020"/>
    <x v="61"/>
    <s v="Productos Lácteos"/>
    <s v="Gorgonzola Telino"/>
    <n v="86"/>
    <n v="24"/>
    <n v="2064"/>
    <n v="5.0000000745058101E-2"/>
    <n v="247.67999999999998"/>
    <n v="2311.6299999992548"/>
  </r>
  <r>
    <d v="2020-09-05T00:00:00"/>
    <s v="Sep"/>
    <n v="2020"/>
    <x v="61"/>
    <s v="Mariscos"/>
    <s v="Carne de cangrejo de Boston"/>
    <n v="52"/>
    <n v="58"/>
    <n v="3016"/>
    <n v="5.0000000745058101E-2"/>
    <n v="361.91999999999996"/>
    <n v="3377.869999999255"/>
  </r>
  <r>
    <d v="2020-09-05T00:00:00"/>
    <s v="Sep"/>
    <n v="2020"/>
    <x v="61"/>
    <s v="Bebidas"/>
    <s v="Outback Lager"/>
    <n v="99"/>
    <n v="35"/>
    <n v="3465"/>
    <n v="5.0000000745058101E-2"/>
    <n v="415.8"/>
    <n v="3880.7499999992551"/>
  </r>
  <r>
    <d v="2020-09-08T00:00:00"/>
    <s v="Sep"/>
    <n v="2020"/>
    <x v="63"/>
    <s v="Dulces"/>
    <s v="Mermelada de Sir Rodney"/>
    <n v="45"/>
    <n v="39"/>
    <n v="1755"/>
    <n v="0"/>
    <n v="210.6"/>
    <n v="1965.6"/>
  </r>
  <r>
    <d v="2020-09-09T00:00:00"/>
    <s v="Sep"/>
    <n v="2020"/>
    <x v="34"/>
    <s v="Bebidas"/>
    <s v="Chartreuse verde"/>
    <n v="21"/>
    <n v="91"/>
    <n v="1911"/>
    <n v="0.20000000298023199"/>
    <n v="229.32"/>
    <n v="2140.1199999970199"/>
  </r>
  <r>
    <d v="2020-09-09T00:00:00"/>
    <s v="Sep"/>
    <n v="2020"/>
    <x v="34"/>
    <s v="Mariscos"/>
    <s v="Escorts borgoña"/>
    <n v="53"/>
    <n v="86"/>
    <n v="4558"/>
    <n v="0.20000000298023199"/>
    <n v="546.96"/>
    <n v="5104.7599999970198"/>
  </r>
  <r>
    <d v="2020-09-09T00:00:00"/>
    <s v="Sep"/>
    <n v="2020"/>
    <x v="37"/>
    <s v="Dulces"/>
    <s v="Pan largo escocés"/>
    <n v="80"/>
    <n v="38"/>
    <n v="3040"/>
    <n v="0"/>
    <n v="364.8"/>
    <n v="3404.8"/>
  </r>
  <r>
    <d v="2020-09-10T00:00:00"/>
    <s v="Sep"/>
    <n v="2020"/>
    <x v="47"/>
    <s v="Mariscos"/>
    <s v="Carne de cangrejo de Boston"/>
    <n v="39"/>
    <n v="35"/>
    <n v="1365"/>
    <n v="5.0000000745058101E-2"/>
    <n v="163.79999999999998"/>
    <n v="1528.7499999992549"/>
  </r>
  <r>
    <d v="2020-09-10T00:00:00"/>
    <s v="Sep"/>
    <n v="2020"/>
    <x v="47"/>
    <s v="Granos y Cereales"/>
    <s v="Fried Mee de hockey de Singapur"/>
    <n v="77"/>
    <n v="67"/>
    <n v="5159"/>
    <n v="5.0000000745058101E-2"/>
    <n v="619.07999999999993"/>
    <n v="5778.0299999992549"/>
  </r>
  <r>
    <d v="2020-09-10T00:00:00"/>
    <s v="Sep"/>
    <n v="2020"/>
    <x v="47"/>
    <s v="Productos Alimenticios"/>
    <s v="Manjimup Dry Apples"/>
    <n v="84"/>
    <n v="77"/>
    <n v="6468"/>
    <n v="5.0000000745058101E-2"/>
    <n v="776.16"/>
    <n v="7244.1099999992548"/>
  </r>
  <r>
    <d v="2020-09-10T00:00:00"/>
    <s v="Sep"/>
    <n v="2020"/>
    <x v="46"/>
    <s v="Mariscos"/>
    <s v="Ikura"/>
    <n v="66"/>
    <n v="89"/>
    <n v="5874"/>
    <n v="0.15000000596046401"/>
    <n v="704.88"/>
    <n v="6578.7299999940396"/>
  </r>
  <r>
    <d v="2020-09-10T00:00:00"/>
    <s v="Sep"/>
    <n v="2020"/>
    <x v="46"/>
    <s v="Granos y Cereales"/>
    <s v="Gnocchi di nonna Alice"/>
    <n v="58"/>
    <n v="70"/>
    <n v="4060"/>
    <n v="0.15000000596046401"/>
    <n v="487.2"/>
    <n v="4547.0499999940394"/>
  </r>
  <r>
    <d v="2020-09-10T00:00:00"/>
    <s v="Sep"/>
    <n v="2020"/>
    <x v="46"/>
    <s v="Condimentos"/>
    <s v="Salsa de pimiento picante de Luisiana"/>
    <n v="73"/>
    <n v="74"/>
    <n v="5402"/>
    <n v="0.15000000596046401"/>
    <n v="648.24"/>
    <n v="6050.0899999940393"/>
  </r>
  <r>
    <d v="2020-09-11T00:00:00"/>
    <s v="Sep"/>
    <n v="2020"/>
    <x v="37"/>
    <s v="Productos Alimenticios"/>
    <s v="Manjimup Dry Apples"/>
    <n v="3"/>
    <n v="15"/>
    <n v="45"/>
    <n v="0"/>
    <n v="5.3999999999999995"/>
    <n v="50.4"/>
  </r>
  <r>
    <d v="2020-09-11T00:00:00"/>
    <s v="Sep"/>
    <n v="2020"/>
    <x v="37"/>
    <s v="Productos Lácteos"/>
    <s v="Raclette Courdavault"/>
    <n v="36"/>
    <n v="58"/>
    <n v="2088"/>
    <n v="0"/>
    <n v="250.56"/>
    <n v="2338.56"/>
  </r>
  <r>
    <d v="2020-09-11T00:00:00"/>
    <s v="Sep"/>
    <n v="2020"/>
    <x v="37"/>
    <s v="Bebidas"/>
    <s v="Lakkalikööri"/>
    <n v="54"/>
    <n v="73"/>
    <n v="3942"/>
    <n v="0"/>
    <n v="473.03999999999996"/>
    <n v="4415.04"/>
  </r>
  <r>
    <d v="2020-09-12T00:00:00"/>
    <s v="Sep"/>
    <n v="2020"/>
    <x v="6"/>
    <s v="Carnes y Aves"/>
    <s v="Salchicha asada de Turingia"/>
    <n v="68"/>
    <n v="54"/>
    <n v="3672"/>
    <n v="0"/>
    <n v="440.64"/>
    <n v="4112.6400000000003"/>
  </r>
  <r>
    <d v="2020-09-12T00:00:00"/>
    <s v="Sep"/>
    <n v="2020"/>
    <x v="6"/>
    <s v="Condimentos"/>
    <s v="Salsa de pimiento picante de Luisiana"/>
    <n v="8"/>
    <n v="21"/>
    <n v="168"/>
    <n v="0"/>
    <n v="20.16"/>
    <n v="188.16"/>
  </r>
  <r>
    <d v="2020-09-12T00:00:00"/>
    <s v="Sep"/>
    <n v="2020"/>
    <x v="9"/>
    <s v="Productos Lácteos"/>
    <s v="Gudbrandsdalsost"/>
    <n v="15"/>
    <n v="35"/>
    <n v="525"/>
    <n v="0.20000000298023199"/>
    <n v="63"/>
    <n v="587.79999999701977"/>
  </r>
  <r>
    <d v="2020-09-12T00:00:00"/>
    <s v="Sep"/>
    <n v="2020"/>
    <x v="9"/>
    <s v="Productos Lácteos"/>
    <s v="Queso crema"/>
    <n v="5"/>
    <n v="29"/>
    <n v="145"/>
    <n v="0.20000000298023199"/>
    <n v="17.399999999999999"/>
    <n v="162.19999999701977"/>
  </r>
  <r>
    <d v="2020-09-15T00:00:00"/>
    <s v="Sep"/>
    <n v="2020"/>
    <x v="35"/>
    <s v="Productos Lácteos"/>
    <s v="Gorgonzola Telino"/>
    <n v="64"/>
    <n v="97"/>
    <n v="6208"/>
    <n v="0.10000000149011599"/>
    <n v="744.95999999999992"/>
    <n v="6952.8599999985099"/>
  </r>
  <r>
    <d v="2020-09-15T00:00:00"/>
    <s v="Sep"/>
    <n v="2020"/>
    <x v="35"/>
    <s v="Carnes y Aves"/>
    <s v="Paté chino"/>
    <n v="4"/>
    <n v="18"/>
    <n v="72"/>
    <n v="0.10000000149011599"/>
    <n v="8.64"/>
    <n v="80.539999998509884"/>
  </r>
  <r>
    <d v="2020-09-15T00:00:00"/>
    <s v="Sep"/>
    <n v="2020"/>
    <x v="35"/>
    <s v="Granos y Cereales"/>
    <s v="El buen Semmelknödel de Wimmer"/>
    <n v="89"/>
    <n v="72"/>
    <n v="6408"/>
    <n v="0.10000000149011599"/>
    <n v="768.95999999999992"/>
    <n v="7176.8599999985099"/>
  </r>
  <r>
    <d v="2020-09-15T00:00:00"/>
    <s v="Sep"/>
    <n v="2020"/>
    <x v="50"/>
    <s v="Mariscos"/>
    <s v="Arenque en escabeche"/>
    <n v="35"/>
    <n v="89"/>
    <n v="3115"/>
    <n v="0"/>
    <n v="373.8"/>
    <n v="3488.8"/>
  </r>
  <r>
    <d v="2020-09-16T00:00:00"/>
    <s v="Sep"/>
    <n v="2020"/>
    <x v="17"/>
    <s v="Granos y Cereales"/>
    <s v="Pan plano"/>
    <n v="36"/>
    <n v="63"/>
    <n v="2268"/>
    <n v="0"/>
    <n v="272.15999999999997"/>
    <n v="2540.16"/>
  </r>
  <r>
    <d v="2020-09-16T00:00:00"/>
    <s v="Sep"/>
    <n v="2020"/>
    <x v="17"/>
    <s v="Mariscos"/>
    <s v="arenque"/>
    <n v="97"/>
    <n v="48"/>
    <n v="4656"/>
    <n v="0"/>
    <n v="558.72"/>
    <n v="5214.72"/>
  </r>
  <r>
    <d v="2020-09-16T00:00:00"/>
    <s v="Sep"/>
    <n v="2020"/>
    <x v="17"/>
    <s v="Bebidas"/>
    <s v="Lager de leñador riendo"/>
    <n v="49"/>
    <n v="83"/>
    <n v="4067"/>
    <n v="0"/>
    <n v="488.03999999999996"/>
    <n v="4555.04"/>
  </r>
  <r>
    <d v="2020-09-16T00:00:00"/>
    <s v="Sep"/>
    <n v="2020"/>
    <x v="17"/>
    <s v="Mariscos"/>
    <s v="Caviar rojo"/>
    <n v="27"/>
    <n v="51"/>
    <n v="1377"/>
    <n v="0"/>
    <n v="165.23999999999998"/>
    <n v="1542.24"/>
  </r>
  <r>
    <d v="2020-09-16T00:00:00"/>
    <s v="Sep"/>
    <n v="2020"/>
    <x v="17"/>
    <s v="Bebidas"/>
    <s v="Rhönbräu Klosterbier"/>
    <n v="78"/>
    <n v="75"/>
    <n v="5850"/>
    <n v="0"/>
    <n v="702"/>
    <n v="6552"/>
  </r>
  <r>
    <d v="2020-09-17T00:00:00"/>
    <s v="Sep"/>
    <n v="2020"/>
    <x v="86"/>
    <s v="Dulces"/>
    <s v="Pavlova"/>
    <n v="2"/>
    <n v="37"/>
    <n v="74"/>
    <n v="0"/>
    <n v="8.879999999999999"/>
    <n v="82.88"/>
  </r>
  <r>
    <d v="2020-09-17T00:00:00"/>
    <s v="Sep"/>
    <n v="2020"/>
    <x v="86"/>
    <s v="Dulces"/>
    <s v="Tarta de azúcar"/>
    <n v="64"/>
    <n v="85"/>
    <n v="5440"/>
    <n v="0"/>
    <n v="652.79999999999995"/>
    <n v="6092.8"/>
  </r>
  <r>
    <d v="2020-09-17T00:00:00"/>
    <s v="Sep"/>
    <n v="2020"/>
    <x v="86"/>
    <s v="Condimentos"/>
    <s v="Salsa de pimiento picante de Luisiana"/>
    <n v="74"/>
    <n v="95"/>
    <n v="7030"/>
    <n v="0"/>
    <n v="843.6"/>
    <n v="7873.6"/>
  </r>
  <r>
    <d v="2020-09-17T00:00:00"/>
    <s v="Sep"/>
    <n v="2020"/>
    <x v="26"/>
    <s v="Bebidas"/>
    <s v="Côte de Blaye"/>
    <n v="4"/>
    <n v="83"/>
    <n v="332"/>
    <n v="0.10000000149011599"/>
    <n v="39.839999999999996"/>
    <n v="371.73999999850986"/>
  </r>
  <r>
    <d v="2020-09-17T00:00:00"/>
    <s v="Sep"/>
    <n v="2020"/>
    <x v="26"/>
    <s v="Productos Lácteos"/>
    <s v="Queso crema"/>
    <n v="71"/>
    <n v="55"/>
    <n v="3905"/>
    <n v="0"/>
    <n v="468.59999999999997"/>
    <n v="4373.6000000000004"/>
  </r>
  <r>
    <d v="2020-09-18T00:00:00"/>
    <s v="Sep"/>
    <n v="2020"/>
    <x v="0"/>
    <s v="Dulces"/>
    <s v="Pavlova"/>
    <n v="69"/>
    <n v="60"/>
    <n v="4140"/>
    <n v="0"/>
    <n v="496.79999999999995"/>
    <n v="4636.8"/>
  </r>
  <r>
    <d v="2020-09-18T00:00:00"/>
    <s v="Sep"/>
    <n v="2020"/>
    <x v="0"/>
    <s v="Granos y Cereales"/>
    <s v="Fried Mee de hockey de Singapur"/>
    <n v="60"/>
    <n v="81"/>
    <n v="4860"/>
    <n v="0"/>
    <n v="583.19999999999993"/>
    <n v="5443.2"/>
  </r>
  <r>
    <d v="2020-09-18T00:00:00"/>
    <s v="Sep"/>
    <n v="2020"/>
    <x v="0"/>
    <s v="Bebidas"/>
    <s v="Café Ipoh"/>
    <n v="10"/>
    <n v="46"/>
    <n v="460"/>
    <n v="0"/>
    <n v="55.199999999999996"/>
    <n v="515.20000000000005"/>
  </r>
  <r>
    <d v="2020-09-18T00:00:00"/>
    <s v="Sep"/>
    <n v="2020"/>
    <x v="41"/>
    <s v="Granos y Cereales"/>
    <s v="Pan plano"/>
    <n v="43"/>
    <n v="12"/>
    <n v="516"/>
    <n v="0"/>
    <n v="61.919999999999995"/>
    <n v="577.91999999999996"/>
  </r>
  <r>
    <d v="2020-09-19T00:00:00"/>
    <s v="Sep"/>
    <n v="2020"/>
    <x v="17"/>
    <s v="Productos Alimenticios"/>
    <s v="tofu"/>
    <n v="94"/>
    <n v="73"/>
    <n v="6862"/>
    <n v="0"/>
    <n v="823.43999999999994"/>
    <n v="7685.44"/>
  </r>
  <r>
    <d v="2020-09-19T00:00:00"/>
    <s v="Sep"/>
    <n v="2020"/>
    <x v="17"/>
    <s v="Carnes y Aves"/>
    <s v="Empanadas de Perth"/>
    <n v="5"/>
    <n v="88"/>
    <n v="440"/>
    <n v="0"/>
    <n v="52.8"/>
    <n v="492.8"/>
  </r>
  <r>
    <d v="2020-09-19T00:00:00"/>
    <s v="Sep"/>
    <n v="2020"/>
    <x v="17"/>
    <s v="Mariscos"/>
    <s v="Escorts borgoña"/>
    <n v="7"/>
    <n v="100"/>
    <n v="700"/>
    <n v="0"/>
    <n v="84"/>
    <n v="784"/>
  </r>
  <r>
    <d v="2020-09-22T00:00:00"/>
    <s v="Sep"/>
    <n v="2020"/>
    <x v="24"/>
    <s v="Mariscos"/>
    <s v="Ikura"/>
    <n v="5"/>
    <n v="20"/>
    <n v="100"/>
    <n v="0"/>
    <n v="12"/>
    <n v="112"/>
  </r>
  <r>
    <d v="2020-09-22T00:00:00"/>
    <s v="Sep"/>
    <n v="2020"/>
    <x v="24"/>
    <s v="Dulces"/>
    <s v="Galletas de chocolate a la hora del té"/>
    <n v="31"/>
    <n v="28"/>
    <n v="868"/>
    <n v="0"/>
    <n v="104.16"/>
    <n v="972.16"/>
  </r>
  <r>
    <d v="2020-09-22T00:00:00"/>
    <s v="Sep"/>
    <n v="2020"/>
    <x v="24"/>
    <s v="Condimentos"/>
    <s v="Gula Malacca"/>
    <n v="56"/>
    <n v="10"/>
    <n v="560"/>
    <n v="0"/>
    <n v="67.2"/>
    <n v="627.20000000000005"/>
  </r>
  <r>
    <d v="2020-09-22T00:00:00"/>
    <s v="Sep"/>
    <n v="2020"/>
    <x v="58"/>
    <s v="Dulces"/>
    <s v="Gummär Gummibärchen"/>
    <n v="94"/>
    <n v="30"/>
    <n v="2820"/>
    <n v="0.15000000596046401"/>
    <n v="338.4"/>
    <n v="3158.2499999940396"/>
  </r>
  <r>
    <d v="2020-09-22T00:00:00"/>
    <s v="Sep"/>
    <n v="2020"/>
    <x v="58"/>
    <s v="Productos Lácteos"/>
    <s v="Queso de cabra"/>
    <n v="98"/>
    <n v="59"/>
    <n v="5782"/>
    <n v="0.15000000596046401"/>
    <n v="693.83999999999992"/>
    <n v="6475.6899999940397"/>
  </r>
  <r>
    <d v="2020-09-23T00:00:00"/>
    <s v="Sep"/>
    <n v="2020"/>
    <x v="44"/>
    <s v="Productos Lácteos"/>
    <s v="Queso Manchego La Pastora"/>
    <n v="71"/>
    <n v="98"/>
    <n v="6958"/>
    <n v="0"/>
    <n v="834.95999999999992"/>
    <n v="7792.96"/>
  </r>
  <r>
    <d v="2020-09-23T00:00:00"/>
    <s v="Sep"/>
    <n v="2020"/>
    <x v="44"/>
    <s v="Productos Lácteos"/>
    <s v="Queso de cabra"/>
    <n v="10"/>
    <n v="38"/>
    <n v="380"/>
    <n v="0"/>
    <n v="45.6"/>
    <n v="425.6"/>
  </r>
  <r>
    <d v="2020-09-23T00:00:00"/>
    <s v="Sep"/>
    <n v="2020"/>
    <x v="44"/>
    <s v="Mariscos"/>
    <s v="Sopa de almejas de Nueva Inglaterra de Jack"/>
    <n v="55"/>
    <n v="80"/>
    <n v="4400"/>
    <n v="0"/>
    <n v="528"/>
    <n v="4928"/>
  </r>
  <r>
    <d v="2020-09-23T00:00:00"/>
    <s v="Sep"/>
    <n v="2020"/>
    <x v="44"/>
    <s v="Carnes y Aves"/>
    <s v="Tourtière"/>
    <n v="58"/>
    <n v="43"/>
    <n v="2494"/>
    <n v="0"/>
    <n v="299.27999999999997"/>
    <n v="2793.2799999999997"/>
  </r>
  <r>
    <d v="2020-09-23T00:00:00"/>
    <s v="Sep"/>
    <n v="2020"/>
    <x v="15"/>
    <s v="Productos Lácteos"/>
    <s v="Raclette Courdavault"/>
    <n v="47"/>
    <n v="12"/>
    <n v="564"/>
    <n v="0"/>
    <n v="67.679999999999993"/>
    <n v="631.67999999999995"/>
  </r>
  <r>
    <d v="2020-09-24T00:00:00"/>
    <s v="Sep"/>
    <n v="2020"/>
    <x v="11"/>
    <s v="Dulces"/>
    <s v="Pavlova"/>
    <n v="12"/>
    <n v="83"/>
    <n v="996"/>
    <n v="0.25"/>
    <n v="119.52"/>
    <n v="1115.27"/>
  </r>
  <r>
    <d v="2020-09-24T00:00:00"/>
    <s v="Sep"/>
    <n v="2020"/>
    <x v="11"/>
    <s v="Productos Lácteos"/>
    <s v="Gorgonzola Telino"/>
    <n v="90"/>
    <n v="75"/>
    <n v="6750"/>
    <n v="0.25"/>
    <n v="810"/>
    <n v="7559.75"/>
  </r>
  <r>
    <d v="2020-09-24T00:00:00"/>
    <s v="Sep"/>
    <n v="2020"/>
    <x v="11"/>
    <s v="Granos y Cereales"/>
    <s v="Fried Mee de hockey de Singapur"/>
    <n v="67"/>
    <n v="95"/>
    <n v="6365"/>
    <n v="0.25"/>
    <n v="763.8"/>
    <n v="7128.55"/>
  </r>
  <r>
    <d v="2020-09-25T00:00:00"/>
    <s v="Sep"/>
    <n v="2020"/>
    <x v="80"/>
    <s v="Dulces"/>
    <s v="Galletas de chocolate a la hora del té"/>
    <n v="45"/>
    <n v="73"/>
    <n v="3285"/>
    <n v="0.10000000149011599"/>
    <n v="394.2"/>
    <n v="3679.0999999985097"/>
  </r>
  <r>
    <d v="2020-09-25T00:00:00"/>
    <s v="Sep"/>
    <n v="2020"/>
    <x v="80"/>
    <s v="Dulces"/>
    <s v="Scones de Sir Rodney"/>
    <n v="75"/>
    <n v="67"/>
    <n v="5025"/>
    <n v="0.10000000149011599"/>
    <n v="603"/>
    <n v="5627.8999999985099"/>
  </r>
  <r>
    <d v="2020-09-25T00:00:00"/>
    <s v="Sep"/>
    <n v="2020"/>
    <x v="80"/>
    <s v="Granos y Cereales"/>
    <s v="El buen Semmelknödel de Wimmer"/>
    <n v="98"/>
    <n v="25"/>
    <n v="2450"/>
    <n v="0"/>
    <n v="294"/>
    <n v="2744"/>
  </r>
  <r>
    <d v="2020-09-25T00:00:00"/>
    <s v="Sep"/>
    <n v="2020"/>
    <x v="58"/>
    <s v="Productos Lácteos"/>
    <s v="Queso de cabra"/>
    <n v="71"/>
    <n v="82"/>
    <n v="5822"/>
    <n v="0"/>
    <n v="698.64"/>
    <n v="6520.64"/>
  </r>
  <r>
    <d v="2020-09-25T00:00:00"/>
    <s v="Sep"/>
    <n v="2020"/>
    <x v="58"/>
    <s v="Condimentos"/>
    <s v="Okra picante de Louisiana"/>
    <n v="84"/>
    <n v="33"/>
    <n v="2772"/>
    <n v="0"/>
    <n v="332.64"/>
    <n v="3104.64"/>
  </r>
  <r>
    <d v="2020-09-25T00:00:00"/>
    <s v="Sep"/>
    <n v="2020"/>
    <x v="58"/>
    <s v="Bebidas"/>
    <s v="Rhönbräu Klosterbier"/>
    <n v="53"/>
    <n v="50"/>
    <n v="2650"/>
    <n v="0"/>
    <n v="318"/>
    <n v="2968"/>
  </r>
  <r>
    <d v="2020-09-26T00:00:00"/>
    <s v="Sep"/>
    <n v="2020"/>
    <x v="40"/>
    <s v="Granos y Cereales"/>
    <s v="Filo Mix"/>
    <n v="51"/>
    <n v="13"/>
    <n v="663"/>
    <n v="0"/>
    <n v="79.56"/>
    <n v="742.56"/>
  </r>
  <r>
    <d v="2020-09-26T00:00:00"/>
    <s v="Sep"/>
    <n v="2020"/>
    <x v="67"/>
    <s v="Mariscos"/>
    <s v="Carne de cangrejo de Boston"/>
    <n v="12"/>
    <n v="34"/>
    <n v="408"/>
    <n v="0"/>
    <n v="48.96"/>
    <n v="456.96"/>
  </r>
  <r>
    <d v="2020-09-26T00:00:00"/>
    <s v="Sep"/>
    <n v="2020"/>
    <x v="67"/>
    <s v="Dulces"/>
    <s v="Tortas Zaanse"/>
    <n v="16"/>
    <n v="87"/>
    <n v="1392"/>
    <n v="0"/>
    <n v="167.04"/>
    <n v="1559.04"/>
  </r>
  <r>
    <d v="2020-09-26T00:00:00"/>
    <s v="Sep"/>
    <n v="2020"/>
    <x v="67"/>
    <s v="Productos Lácteos"/>
    <s v="Pierrot camembert"/>
    <n v="25"/>
    <n v="98"/>
    <n v="2450"/>
    <n v="0"/>
    <n v="294"/>
    <n v="2744"/>
  </r>
  <r>
    <d v="2020-09-29T00:00:00"/>
    <s v="Sep"/>
    <n v="2020"/>
    <x v="71"/>
    <s v="Mariscos"/>
    <s v="Ikura"/>
    <n v="100"/>
    <n v="56"/>
    <n v="5600"/>
    <n v="0"/>
    <n v="672"/>
    <n v="6272"/>
  </r>
  <r>
    <d v="2020-09-29T00:00:00"/>
    <s v="Sep"/>
    <n v="2020"/>
    <x v="71"/>
    <s v="Mariscos"/>
    <s v="Sopa de almejas de Nueva Inglaterra de Jack"/>
    <n v="20"/>
    <n v="89"/>
    <n v="1780"/>
    <n v="0"/>
    <n v="213.6"/>
    <n v="1993.6"/>
  </r>
  <r>
    <d v="2020-09-29T00:00:00"/>
    <s v="Sep"/>
    <n v="2020"/>
    <x v="71"/>
    <s v="Dulces"/>
    <s v="Tortas Zaanse"/>
    <n v="33"/>
    <n v="92"/>
    <n v="3036"/>
    <n v="0"/>
    <n v="364.32"/>
    <n v="3400.32"/>
  </r>
  <r>
    <d v="2020-09-30T00:00:00"/>
    <s v="Sep"/>
    <n v="2020"/>
    <x v="53"/>
    <s v="Carnes y Aves"/>
    <s v="Alice Cordero"/>
    <n v="45"/>
    <n v="97"/>
    <n v="4365"/>
    <n v="0.20000000298023199"/>
    <n v="523.79999999999995"/>
    <n v="4888.5999999970199"/>
  </r>
  <r>
    <d v="2020-09-30T00:00:00"/>
    <s v="Sep"/>
    <n v="2020"/>
    <x v="53"/>
    <s v="Dulces"/>
    <s v="Gummär Gummibärchen"/>
    <n v="5"/>
    <n v="78"/>
    <n v="390"/>
    <n v="0"/>
    <n v="46.8"/>
    <n v="436.8"/>
  </r>
  <r>
    <d v="2020-09-30T00:00:00"/>
    <s v="Sep"/>
    <n v="2020"/>
    <x v="34"/>
    <s v="Carnes y Aves"/>
    <s v="Mishi Kobe Niku"/>
    <n v="63"/>
    <n v="12"/>
    <n v="756"/>
    <n v="0.25"/>
    <n v="90.72"/>
    <n v="846.47"/>
  </r>
  <r>
    <d v="2020-09-30T00:00:00"/>
    <s v="Sep"/>
    <n v="2020"/>
    <x v="34"/>
    <s v="Carnes y Aves"/>
    <s v="Salchicha asada de Turingia"/>
    <n v="60"/>
    <n v="73"/>
    <n v="4380"/>
    <n v="0"/>
    <n v="525.6"/>
    <n v="4905.6000000000004"/>
  </r>
  <r>
    <d v="2020-09-30T00:00:00"/>
    <s v="Sep"/>
    <n v="2020"/>
    <x v="34"/>
    <s v="Mariscos"/>
    <s v="Arenque en escabeche"/>
    <n v="64"/>
    <n v="23"/>
    <n v="1472"/>
    <n v="0.25"/>
    <n v="176.64"/>
    <n v="1648.3899999999999"/>
  </r>
  <r>
    <d v="2020-10-01T00:00:00"/>
    <s v="Oct"/>
    <n v="2020"/>
    <x v="60"/>
    <s v="Mariscos"/>
    <s v="Ikura"/>
    <n v="2"/>
    <n v="45"/>
    <n v="90"/>
    <n v="0.10000000149011599"/>
    <n v="10.799999999999999"/>
    <n v="100.69999999850988"/>
  </r>
  <r>
    <d v="2020-10-01T00:00:00"/>
    <s v="Oct"/>
    <n v="2020"/>
    <x v="60"/>
    <s v="Productos Alimenticios"/>
    <s v="Chucrut Rössle"/>
    <n v="47"/>
    <n v="87"/>
    <n v="4089"/>
    <n v="0.10000000149011599"/>
    <n v="490.68"/>
    <n v="4579.5799999985102"/>
  </r>
  <r>
    <d v="2020-10-01T00:00:00"/>
    <s v="Oct"/>
    <n v="2020"/>
    <x v="60"/>
    <s v="Bebidas"/>
    <s v="Sasquatch Ale"/>
    <n v="17"/>
    <n v="10"/>
    <n v="170"/>
    <n v="0"/>
    <n v="20.399999999999999"/>
    <n v="190.4"/>
  </r>
  <r>
    <d v="2020-10-01T00:00:00"/>
    <s v="Oct"/>
    <n v="2020"/>
    <x v="26"/>
    <s v="Bebidas"/>
    <s v="Chai"/>
    <n v="5"/>
    <n v="77"/>
    <n v="385"/>
    <n v="0.25"/>
    <n v="46.199999999999996"/>
    <n v="430.95"/>
  </r>
  <r>
    <d v="2020-10-02T00:00:00"/>
    <s v="Oct"/>
    <n v="2020"/>
    <x v="2"/>
    <s v="Granos y Cereales"/>
    <s v="Gnocchi di nonna Alice"/>
    <n v="68"/>
    <n v="35"/>
    <n v="2380"/>
    <n v="0.25"/>
    <n v="285.59999999999997"/>
    <n v="2665.35"/>
  </r>
  <r>
    <d v="2020-10-02T00:00:00"/>
    <s v="Oct"/>
    <n v="2020"/>
    <x v="2"/>
    <s v="Condimentos"/>
    <s v="Salsa verde original de Frankfurt"/>
    <n v="76"/>
    <n v="16"/>
    <n v="1216"/>
    <n v="0.25"/>
    <n v="145.91999999999999"/>
    <n v="1361.67"/>
  </r>
  <r>
    <d v="2020-10-03T00:00:00"/>
    <s v="Oct"/>
    <n v="2020"/>
    <x v="21"/>
    <s v="Bebidas"/>
    <s v="Chai"/>
    <n v="16"/>
    <n v="78"/>
    <n v="1248"/>
    <n v="0"/>
    <n v="149.76"/>
    <n v="1397.76"/>
  </r>
  <r>
    <d v="2020-10-03T00:00:00"/>
    <s v="Oct"/>
    <n v="2020"/>
    <x v="21"/>
    <s v="Carnes y Aves"/>
    <s v="Salchicha asada de Turingia"/>
    <n v="12"/>
    <n v="100"/>
    <n v="1200"/>
    <n v="0"/>
    <n v="144"/>
    <n v="1344"/>
  </r>
  <r>
    <d v="2020-10-03T00:00:00"/>
    <s v="Oct"/>
    <n v="2020"/>
    <x v="21"/>
    <s v="Bebidas"/>
    <s v="Café Ipoh"/>
    <n v="96"/>
    <n v="45"/>
    <n v="4320"/>
    <n v="0"/>
    <n v="518.4"/>
    <n v="4838.3999999999996"/>
  </r>
  <r>
    <d v="2020-10-03T00:00:00"/>
    <s v="Oct"/>
    <n v="2020"/>
    <x v="21"/>
    <s v="Condimentos"/>
    <s v="Gula Malacca"/>
    <n v="61"/>
    <n v="58"/>
    <n v="3538"/>
    <n v="0"/>
    <n v="424.56"/>
    <n v="3962.56"/>
  </r>
  <r>
    <d v="2020-10-03T00:00:00"/>
    <s v="Oct"/>
    <n v="2020"/>
    <x v="21"/>
    <s v="Dulces"/>
    <s v="Tarta de azúcar"/>
    <n v="70"/>
    <n v="75"/>
    <n v="5250"/>
    <n v="0"/>
    <n v="630"/>
    <n v="5880"/>
  </r>
  <r>
    <d v="2020-10-03T00:00:00"/>
    <s v="Oct"/>
    <n v="2020"/>
    <x v="85"/>
    <s v="Condimentos"/>
    <s v="Crema de verduras"/>
    <n v="26"/>
    <n v="75"/>
    <n v="1950"/>
    <n v="0"/>
    <n v="234"/>
    <n v="2184"/>
  </r>
  <r>
    <d v="2020-10-06T00:00:00"/>
    <s v="Oct"/>
    <n v="2020"/>
    <x v="19"/>
    <s v="Carnes y Aves"/>
    <s v="Mishi Kobe Niku"/>
    <n v="50"/>
    <n v="87"/>
    <n v="4350"/>
    <n v="0"/>
    <n v="522"/>
    <n v="4872"/>
  </r>
  <r>
    <d v="2020-10-06T00:00:00"/>
    <s v="Oct"/>
    <n v="2020"/>
    <x v="19"/>
    <s v="Carnes y Aves"/>
    <s v="Tourtière"/>
    <n v="76"/>
    <n v="98"/>
    <n v="7448"/>
    <n v="0.15000000596046401"/>
    <n v="893.76"/>
    <n v="8341.6099999940398"/>
  </r>
  <r>
    <d v="2020-10-06T00:00:00"/>
    <s v="Oct"/>
    <n v="2020"/>
    <x v="19"/>
    <s v="Productos Lácteos"/>
    <s v="Gudbrandsdalsost"/>
    <n v="43"/>
    <n v="12"/>
    <n v="516"/>
    <n v="0.15000000596046401"/>
    <n v="61.919999999999995"/>
    <n v="577.76999999403949"/>
  </r>
  <r>
    <d v="2020-10-06T00:00:00"/>
    <s v="Oct"/>
    <n v="2020"/>
    <x v="19"/>
    <s v="Mariscos"/>
    <s v="Caviar rojo"/>
    <n v="48"/>
    <n v="62"/>
    <n v="2976"/>
    <n v="0.15000000596046401"/>
    <n v="357.12"/>
    <n v="3332.9699999940394"/>
  </r>
  <r>
    <d v="2020-10-06T00:00:00"/>
    <s v="Oct"/>
    <n v="2020"/>
    <x v="21"/>
    <s v="Productos Alimenticios"/>
    <s v="Peras secas orgánicas del tío Bob"/>
    <n v="20"/>
    <n v="14"/>
    <n v="280"/>
    <n v="0"/>
    <n v="33.6"/>
    <n v="313.60000000000002"/>
  </r>
  <r>
    <d v="2020-10-06T00:00:00"/>
    <s v="Oct"/>
    <n v="2020"/>
    <x v="21"/>
    <s v="Productos Lácteos"/>
    <s v="Raclette Courdavault"/>
    <n v="41"/>
    <n v="34"/>
    <n v="1394"/>
    <n v="0"/>
    <n v="167.28"/>
    <n v="1561.28"/>
  </r>
  <r>
    <d v="2020-10-06T00:00:00"/>
    <s v="Oct"/>
    <n v="2020"/>
    <x v="21"/>
    <s v="Bebidas"/>
    <s v="Outback Lager"/>
    <n v="51"/>
    <n v="17"/>
    <n v="867"/>
    <n v="0"/>
    <n v="104.03999999999999"/>
    <n v="971.04"/>
  </r>
  <r>
    <d v="2020-10-07T00:00:00"/>
    <s v="Oct"/>
    <n v="2020"/>
    <x v="0"/>
    <s v="Condimentos"/>
    <s v="Salsa de arándanos Northwoods"/>
    <n v="60"/>
    <n v="48"/>
    <n v="2880"/>
    <n v="0"/>
    <n v="345.59999999999997"/>
    <n v="3225.6"/>
  </r>
  <r>
    <d v="2020-10-07T00:00:00"/>
    <s v="Oct"/>
    <n v="2020"/>
    <x v="0"/>
    <s v="Productos Lácteos"/>
    <s v="Queso Manchego La Pastora"/>
    <n v="79"/>
    <n v="33"/>
    <n v="2607"/>
    <n v="0"/>
    <n v="312.83999999999997"/>
    <n v="2919.84"/>
  </r>
  <r>
    <d v="2020-10-07T00:00:00"/>
    <s v="Oct"/>
    <n v="2020"/>
    <x v="0"/>
    <s v="Bebidas"/>
    <s v="Guaraná Fantástica"/>
    <n v="48"/>
    <n v="75"/>
    <n v="3600"/>
    <n v="0"/>
    <n v="432"/>
    <n v="4032"/>
  </r>
  <r>
    <d v="2020-10-08T00:00:00"/>
    <s v="Oct"/>
    <n v="2020"/>
    <x v="19"/>
    <s v="Carnes y Aves"/>
    <s v="Alice Cordero"/>
    <n v="59"/>
    <n v="55"/>
    <n v="3245"/>
    <n v="0"/>
    <n v="389.4"/>
    <n v="3634.4"/>
  </r>
  <r>
    <d v="2020-10-08T00:00:00"/>
    <s v="Oct"/>
    <n v="2020"/>
    <x v="19"/>
    <s v="Mariscos"/>
    <s v="arenque"/>
    <n v="36"/>
    <n v="45"/>
    <n v="1620"/>
    <n v="0"/>
    <n v="194.4"/>
    <n v="1814.4"/>
  </r>
  <r>
    <d v="2020-10-08T00:00:00"/>
    <s v="Oct"/>
    <n v="2020"/>
    <x v="66"/>
    <s v="Dulces"/>
    <s v="Galletas de chocolate a la hora del té"/>
    <n v="27"/>
    <n v="97"/>
    <n v="2619"/>
    <n v="0.25"/>
    <n v="314.27999999999997"/>
    <n v="2933.0299999999997"/>
  </r>
  <r>
    <d v="2020-10-08T00:00:00"/>
    <s v="Oct"/>
    <n v="2020"/>
    <x v="66"/>
    <s v="Bebidas"/>
    <s v="Steeleye Stout"/>
    <n v="63"/>
    <n v="21"/>
    <n v="1323"/>
    <n v="0.25"/>
    <n v="158.76"/>
    <n v="1481.51"/>
  </r>
  <r>
    <d v="2020-10-08T00:00:00"/>
    <s v="Oct"/>
    <n v="2020"/>
    <x v="66"/>
    <s v="Mariscos"/>
    <s v="Escorts borgoña"/>
    <n v="18"/>
    <n v="83"/>
    <n v="1494"/>
    <n v="0.25"/>
    <n v="179.28"/>
    <n v="1673.03"/>
  </r>
  <r>
    <d v="2020-10-08T00:00:00"/>
    <s v="Oct"/>
    <n v="2020"/>
    <x v="66"/>
    <s v="Bebidas"/>
    <s v="Outback Lager"/>
    <n v="53"/>
    <n v="64"/>
    <n v="3392"/>
    <n v="0.25"/>
    <n v="407.03999999999996"/>
    <n v="3798.79"/>
  </r>
  <r>
    <d v="2020-10-09T00:00:00"/>
    <s v="Oct"/>
    <n v="2020"/>
    <x v="9"/>
    <s v="Productos Lácteos"/>
    <s v="Queso Cabrales"/>
    <n v="22"/>
    <n v="83"/>
    <n v="1826"/>
    <n v="0"/>
    <n v="219.12"/>
    <n v="2045.12"/>
  </r>
  <r>
    <d v="2020-10-09T00:00:00"/>
    <s v="Oct"/>
    <n v="2020"/>
    <x v="9"/>
    <s v="Carnes y Aves"/>
    <s v="Alice Cordero"/>
    <n v="22"/>
    <n v="62"/>
    <n v="1364"/>
    <n v="5.0000000745058101E-2"/>
    <n v="163.68"/>
    <n v="1527.629999999255"/>
  </r>
  <r>
    <d v="2020-10-09T00:00:00"/>
    <s v="Oct"/>
    <n v="2020"/>
    <x v="9"/>
    <s v="Carnes y Aves"/>
    <s v="Salchicha asada de Turingia"/>
    <n v="57"/>
    <n v="48"/>
    <n v="2736"/>
    <n v="5.0000000745058101E-2"/>
    <n v="328.32"/>
    <n v="3064.2699999992551"/>
  </r>
  <r>
    <d v="2020-10-09T00:00:00"/>
    <s v="Oct"/>
    <n v="2020"/>
    <x v="9"/>
    <s v="Condimentos"/>
    <s v="Salsa de pimiento picante de Luisiana"/>
    <n v="17"/>
    <n v="54"/>
    <n v="918"/>
    <n v="5.0000000745058101E-2"/>
    <n v="110.16"/>
    <n v="1028.109999999255"/>
  </r>
  <r>
    <d v="2020-10-09T00:00:00"/>
    <s v="Oct"/>
    <n v="2020"/>
    <x v="9"/>
    <s v="Bebidas"/>
    <s v="Outback Lager"/>
    <n v="57"/>
    <n v="30"/>
    <n v="1710"/>
    <n v="5.0000000745058101E-2"/>
    <n v="205.2"/>
    <n v="1915.149999999255"/>
  </r>
  <r>
    <d v="2020-10-09T00:00:00"/>
    <s v="Oct"/>
    <n v="2020"/>
    <x v="25"/>
    <s v="Dulces"/>
    <s v="Tortas Zaanse"/>
    <n v="15"/>
    <n v="36"/>
    <n v="540"/>
    <n v="0"/>
    <n v="64.8"/>
    <n v="604.79999999999995"/>
  </r>
  <r>
    <d v="2020-10-10T00:00:00"/>
    <s v="Oct"/>
    <n v="2020"/>
    <x v="44"/>
    <s v="Bebidas"/>
    <s v="Chai"/>
    <n v="15"/>
    <n v="74"/>
    <n v="1110"/>
    <n v="0.20000000298023199"/>
    <n v="133.19999999999999"/>
    <n v="1242.9999999970198"/>
  </r>
  <r>
    <d v="2020-10-10T00:00:00"/>
    <s v="Oct"/>
    <n v="2020"/>
    <x v="44"/>
    <s v="Bebidas"/>
    <s v="Sasquatch Ale"/>
    <n v="69"/>
    <n v="30"/>
    <n v="2070"/>
    <n v="0.20000000298023199"/>
    <n v="248.39999999999998"/>
    <n v="2318.1999999970199"/>
  </r>
  <r>
    <d v="2020-10-10T00:00:00"/>
    <s v="Oct"/>
    <n v="2020"/>
    <x v="44"/>
    <s v="Dulces"/>
    <s v="Pan largo escocés"/>
    <n v="1"/>
    <n v="38"/>
    <n v="38"/>
    <n v="0.20000000298023199"/>
    <n v="4.5599999999999996"/>
    <n v="42.35999999701977"/>
  </r>
  <r>
    <d v="2020-10-10T00:00:00"/>
    <s v="Oct"/>
    <n v="2020"/>
    <x v="44"/>
    <s v="Productos Lácteos"/>
    <s v="Queso crema"/>
    <n v="41"/>
    <n v="37"/>
    <n v="1517"/>
    <n v="0.20000000298023199"/>
    <n v="182.04"/>
    <n v="1698.8399999970197"/>
  </r>
  <r>
    <d v="2020-10-13T00:00:00"/>
    <s v="Oct"/>
    <n v="2020"/>
    <x v="34"/>
    <s v="Productos Lácteos"/>
    <s v="Raclette Courdavault"/>
    <n v="43"/>
    <n v="75"/>
    <n v="3225"/>
    <n v="0.15000000596046401"/>
    <n v="387"/>
    <n v="3611.8499999940395"/>
  </r>
  <r>
    <d v="2020-10-13T00:00:00"/>
    <s v="Oct"/>
    <n v="2020"/>
    <x v="34"/>
    <s v="Productos Lácteos"/>
    <s v="Queso crema"/>
    <n v="3"/>
    <n v="24"/>
    <n v="72"/>
    <n v="0.15000000596046401"/>
    <n v="8.64"/>
    <n v="80.489999994039536"/>
  </r>
  <r>
    <d v="2020-10-13T00:00:00"/>
    <s v="Oct"/>
    <n v="2020"/>
    <x v="34"/>
    <s v="Bebidas"/>
    <s v="Lakkalikööri"/>
    <n v="73"/>
    <n v="98"/>
    <n v="7154"/>
    <n v="0.15000000596046401"/>
    <n v="858.48"/>
    <n v="8012.3299999940391"/>
  </r>
  <r>
    <d v="2020-10-13T00:00:00"/>
    <s v="Oct"/>
    <n v="2020"/>
    <x v="85"/>
    <s v="Condimentos"/>
    <s v="Jarabe de anís"/>
    <n v="96"/>
    <n v="75"/>
    <n v="7200"/>
    <n v="0"/>
    <n v="864"/>
    <n v="8064"/>
  </r>
  <r>
    <d v="2020-10-13T00:00:00"/>
    <s v="Oct"/>
    <n v="2020"/>
    <x v="85"/>
    <s v="Bebidas"/>
    <s v="Lakkalikööri"/>
    <n v="63"/>
    <n v="85"/>
    <n v="5355"/>
    <n v="0"/>
    <n v="642.6"/>
    <n v="5997.6"/>
  </r>
  <r>
    <d v="2020-10-14T00:00:00"/>
    <s v="Oct"/>
    <n v="2020"/>
    <x v="14"/>
    <s v="Bebidas"/>
    <s v="Chang"/>
    <n v="34"/>
    <n v="87"/>
    <n v="2958"/>
    <n v="0"/>
    <n v="354.96"/>
    <n v="3312.96"/>
  </r>
  <r>
    <d v="2020-10-14T00:00:00"/>
    <s v="Oct"/>
    <n v="2020"/>
    <x v="14"/>
    <s v="Productos Lácteos"/>
    <s v="Raclette Courdavault"/>
    <n v="8"/>
    <n v="83"/>
    <n v="664"/>
    <n v="0"/>
    <n v="79.679999999999993"/>
    <n v="743.68"/>
  </r>
  <r>
    <d v="2020-10-14T00:00:00"/>
    <s v="Oct"/>
    <n v="2020"/>
    <x v="14"/>
    <s v="Mariscos"/>
    <s v="Caviar rojo"/>
    <n v="10"/>
    <n v="34"/>
    <n v="340"/>
    <n v="0"/>
    <n v="40.799999999999997"/>
    <n v="380.8"/>
  </r>
  <r>
    <d v="2020-10-14T00:00:00"/>
    <s v="Oct"/>
    <n v="2020"/>
    <x v="61"/>
    <s v="Condimentos"/>
    <s v="Condimento Cajún del Chef Anton"/>
    <n v="52"/>
    <n v="41"/>
    <n v="2132"/>
    <n v="0"/>
    <n v="255.84"/>
    <n v="2387.84"/>
  </r>
  <r>
    <d v="2020-10-14T00:00:00"/>
    <s v="Oct"/>
    <n v="2020"/>
    <x v="61"/>
    <s v="Bebidas"/>
    <s v="Guaraná Fantástica"/>
    <n v="83"/>
    <n v="73"/>
    <n v="6059"/>
    <n v="0"/>
    <n v="727.07999999999993"/>
    <n v="6786.08"/>
  </r>
  <r>
    <d v="2020-10-14T00:00:00"/>
    <s v="Oct"/>
    <n v="2020"/>
    <x v="61"/>
    <s v="Dulces"/>
    <s v="Chocolate"/>
    <n v="44"/>
    <n v="52"/>
    <n v="2288"/>
    <n v="0"/>
    <n v="274.56"/>
    <n v="2562.56"/>
  </r>
  <r>
    <d v="2020-10-15T00:00:00"/>
    <s v="Oct"/>
    <n v="2020"/>
    <x v="8"/>
    <s v="Productos Lácteos"/>
    <s v="Gorgonzola Telino"/>
    <n v="98"/>
    <n v="74"/>
    <n v="7252"/>
    <n v="0"/>
    <n v="870.24"/>
    <n v="8122.24"/>
  </r>
  <r>
    <d v="2020-10-15T00:00:00"/>
    <s v="Oct"/>
    <n v="2020"/>
    <x v="8"/>
    <s v="Productos Lácteos"/>
    <s v="Mascarpone Fabioli"/>
    <n v="49"/>
    <n v="32"/>
    <n v="1568"/>
    <n v="0"/>
    <n v="188.16"/>
    <n v="1756.16"/>
  </r>
  <r>
    <d v="2020-10-16T00:00:00"/>
    <s v="Oct"/>
    <n v="2020"/>
    <x v="11"/>
    <s v="Dulces"/>
    <s v="Pavlova"/>
    <n v="8"/>
    <n v="54"/>
    <n v="432"/>
    <n v="0"/>
    <n v="51.839999999999996"/>
    <n v="483.84"/>
  </r>
  <r>
    <d v="2020-10-16T00:00:00"/>
    <s v="Oct"/>
    <n v="2020"/>
    <x v="11"/>
    <s v="Bebidas"/>
    <s v="Café Ipoh"/>
    <n v="15"/>
    <n v="87"/>
    <n v="1305"/>
    <n v="0"/>
    <n v="156.6"/>
    <n v="1461.6"/>
  </r>
  <r>
    <d v="2020-10-16T00:00:00"/>
    <s v="Oct"/>
    <n v="2020"/>
    <x v="11"/>
    <s v="Productos Lácteos"/>
    <s v="Raclette Courdavault"/>
    <n v="12"/>
    <n v="69"/>
    <n v="828"/>
    <n v="0"/>
    <n v="99.36"/>
    <n v="927.36"/>
  </r>
  <r>
    <d v="2020-10-16T00:00:00"/>
    <s v="Oct"/>
    <n v="2020"/>
    <x v="54"/>
    <s v="Carnes y Aves"/>
    <s v="Paté chino"/>
    <n v="35"/>
    <n v="48"/>
    <n v="1680"/>
    <n v="0"/>
    <n v="201.6"/>
    <n v="1881.6"/>
  </r>
  <r>
    <d v="2020-10-16T00:00:00"/>
    <s v="Oct"/>
    <n v="2020"/>
    <x v="54"/>
    <s v="Granos y Cereales"/>
    <s v="Ravioli Angelo"/>
    <n v="68"/>
    <n v="42"/>
    <n v="2856"/>
    <n v="0"/>
    <n v="342.71999999999997"/>
    <n v="3198.72"/>
  </r>
  <r>
    <d v="2020-10-16T00:00:00"/>
    <s v="Oct"/>
    <n v="2020"/>
    <x v="54"/>
    <s v="Bebidas"/>
    <s v="Outback Lager"/>
    <n v="100"/>
    <n v="89"/>
    <n v="8900"/>
    <n v="0.15000000596046401"/>
    <n v="1068"/>
    <n v="9967.8499999940395"/>
  </r>
  <r>
    <d v="2020-10-17T00:00:00"/>
    <s v="Oct"/>
    <n v="2020"/>
    <x v="39"/>
    <s v="Condimentos"/>
    <s v="Mezcla de Gumbo del Chef Anton"/>
    <n v="74"/>
    <n v="86"/>
    <n v="6364"/>
    <n v="0"/>
    <n v="763.68"/>
    <n v="7127.68"/>
  </r>
  <r>
    <d v="2020-10-17T00:00:00"/>
    <s v="Oct"/>
    <n v="2020"/>
    <x v="39"/>
    <s v="Mariscos"/>
    <s v="Arenque en escabeche"/>
    <n v="8"/>
    <n v="32"/>
    <n v="256"/>
    <n v="0"/>
    <n v="30.72"/>
    <n v="286.72000000000003"/>
  </r>
  <r>
    <d v="2020-10-17T00:00:00"/>
    <s v="Oct"/>
    <n v="2020"/>
    <x v="71"/>
    <s v="Condimentos"/>
    <s v="Salsa de arándanos Northwoods"/>
    <n v="97"/>
    <n v="73"/>
    <n v="7081"/>
    <n v="0"/>
    <n v="849.71999999999991"/>
    <n v="7930.72"/>
  </r>
  <r>
    <d v="2020-10-17T00:00:00"/>
    <s v="Oct"/>
    <n v="2020"/>
    <x v="71"/>
    <s v="Productos Alimenticios"/>
    <s v="Manjimup Dry Apples"/>
    <n v="29"/>
    <n v="53"/>
    <n v="1537"/>
    <n v="0"/>
    <n v="184.44"/>
    <n v="1721.44"/>
  </r>
  <r>
    <d v="2020-10-17T00:00:00"/>
    <s v="Oct"/>
    <n v="2020"/>
    <x v="71"/>
    <s v="Productos Lácteos"/>
    <s v="Pierrot camembert"/>
    <n v="79"/>
    <n v="88"/>
    <n v="6952"/>
    <n v="0"/>
    <n v="834.24"/>
    <n v="7786.24"/>
  </r>
  <r>
    <d v="2020-10-20T00:00:00"/>
    <s v="Oct"/>
    <n v="2020"/>
    <x v="70"/>
    <s v="Dulces"/>
    <s v="Galletas de chocolate a la hora del té"/>
    <n v="65"/>
    <n v="33"/>
    <n v="2145"/>
    <n v="0"/>
    <n v="257.39999999999998"/>
    <n v="2402.4"/>
  </r>
  <r>
    <d v="2020-10-20T00:00:00"/>
    <s v="Oct"/>
    <n v="2020"/>
    <x v="70"/>
    <s v="Dulces"/>
    <s v="Tortas Zaanse"/>
    <n v="72"/>
    <n v="11"/>
    <n v="792"/>
    <n v="0"/>
    <n v="95.039999999999992"/>
    <n v="887.04"/>
  </r>
  <r>
    <d v="2020-10-21T00:00:00"/>
    <s v="Oct"/>
    <n v="2020"/>
    <x v="44"/>
    <s v="Dulces"/>
    <s v="Galletas de chocolate a la hora del té"/>
    <n v="48"/>
    <n v="33"/>
    <n v="1584"/>
    <n v="0"/>
    <n v="190.07999999999998"/>
    <n v="1774.08"/>
  </r>
  <r>
    <d v="2020-10-21T00:00:00"/>
    <s v="Oct"/>
    <n v="2020"/>
    <x v="44"/>
    <s v="Mariscos"/>
    <s v="Sopa de almejas de Nueva Inglaterra de Jack"/>
    <n v="77"/>
    <n v="80"/>
    <n v="6160"/>
    <n v="0"/>
    <n v="739.19999999999993"/>
    <n v="6899.2"/>
  </r>
  <r>
    <d v="2020-10-21T00:00:00"/>
    <s v="Oct"/>
    <n v="2020"/>
    <x v="44"/>
    <s v="Carnes y Aves"/>
    <s v="Empanadas de Perth"/>
    <n v="61"/>
    <n v="51"/>
    <n v="3111"/>
    <n v="0"/>
    <n v="373.32"/>
    <n v="3484.32"/>
  </r>
  <r>
    <d v="2020-10-21T00:00:00"/>
    <s v="Oct"/>
    <n v="2020"/>
    <x v="34"/>
    <s v="Carnes y Aves"/>
    <s v="Empanadas de Perth"/>
    <n v="94"/>
    <n v="67"/>
    <n v="6298"/>
    <n v="5.0000000745058101E-2"/>
    <n v="755.76"/>
    <n v="7053.7099999992552"/>
  </r>
  <r>
    <d v="2020-10-21T00:00:00"/>
    <s v="Oct"/>
    <n v="2020"/>
    <x v="34"/>
    <s v="Granos y Cereales"/>
    <s v="Gnocchi di nonna Alice"/>
    <n v="44"/>
    <n v="48"/>
    <n v="2112"/>
    <n v="0"/>
    <n v="253.44"/>
    <n v="2365.44"/>
  </r>
  <r>
    <d v="2020-10-22T00:00:00"/>
    <s v="Oct"/>
    <n v="2020"/>
    <x v="44"/>
    <s v="Mariscos"/>
    <s v="Ikura"/>
    <n v="95"/>
    <n v="72"/>
    <n v="6840"/>
    <n v="0"/>
    <n v="820.8"/>
    <n v="7660.8"/>
  </r>
  <r>
    <d v="2020-10-22T00:00:00"/>
    <s v="Oct"/>
    <n v="2020"/>
    <x v="44"/>
    <s v="Dulces"/>
    <s v="Gummär Gummibärchen"/>
    <n v="36"/>
    <n v="93"/>
    <n v="3348"/>
    <n v="0"/>
    <n v="401.76"/>
    <n v="3749.76"/>
  </r>
  <r>
    <d v="2020-10-22T00:00:00"/>
    <s v="Oct"/>
    <n v="2020"/>
    <x v="44"/>
    <s v="Mariscos"/>
    <s v="Arenque ahumado"/>
    <n v="41"/>
    <n v="20"/>
    <n v="820"/>
    <n v="0"/>
    <n v="98.399999999999991"/>
    <n v="918.4"/>
  </r>
  <r>
    <d v="2020-10-22T00:00:00"/>
    <s v="Oct"/>
    <n v="2020"/>
    <x v="44"/>
    <s v="Mariscos"/>
    <s v="arenque"/>
    <n v="81"/>
    <n v="58"/>
    <n v="4698"/>
    <n v="0"/>
    <n v="563.76"/>
    <n v="5261.76"/>
  </r>
  <r>
    <d v="2020-10-22T00:00:00"/>
    <s v="Oct"/>
    <n v="2020"/>
    <x v="44"/>
    <s v="Bebidas"/>
    <s v="Chang"/>
    <n v="87"/>
    <n v="51"/>
    <n v="4437"/>
    <n v="0.25"/>
    <n v="532.43999999999994"/>
    <n v="4969.1899999999996"/>
  </r>
  <r>
    <d v="2020-10-22T00:00:00"/>
    <s v="Oct"/>
    <n v="2020"/>
    <x v="44"/>
    <s v="Carnes y Aves"/>
    <s v="Alice Cordero"/>
    <n v="30"/>
    <n v="41"/>
    <n v="1230"/>
    <n v="0.25"/>
    <n v="147.6"/>
    <n v="1377.35"/>
  </r>
  <r>
    <d v="2020-10-22T00:00:00"/>
    <s v="Oct"/>
    <n v="2020"/>
    <x v="44"/>
    <s v="Dulces"/>
    <s v="Tortas Zaanse"/>
    <n v="36"/>
    <n v="58"/>
    <n v="2088"/>
    <n v="0.25"/>
    <n v="250.56"/>
    <n v="2338.31"/>
  </r>
  <r>
    <d v="2020-10-22T00:00:00"/>
    <s v="Oct"/>
    <n v="2020"/>
    <x v="44"/>
    <s v="Granos y Cereales"/>
    <s v="Gnocchi di nonna Alice"/>
    <n v="43"/>
    <n v="97"/>
    <n v="4171"/>
    <n v="0.25"/>
    <n v="500.52"/>
    <n v="4671.2700000000004"/>
  </r>
  <r>
    <d v="2020-10-22T00:00:00"/>
    <s v="Oct"/>
    <n v="2020"/>
    <x v="44"/>
    <s v="Mariscos"/>
    <s v="Escorts borgoña"/>
    <n v="47"/>
    <n v="70"/>
    <n v="3290"/>
    <n v="0.25"/>
    <n v="394.8"/>
    <n v="3684.55"/>
  </r>
  <r>
    <d v="2020-10-23T00:00:00"/>
    <s v="Oct"/>
    <n v="2020"/>
    <x v="47"/>
    <s v="Mariscos"/>
    <s v="Ikura"/>
    <n v="1"/>
    <n v="98"/>
    <n v="98"/>
    <n v="0"/>
    <n v="11.76"/>
    <n v="109.76"/>
  </r>
  <r>
    <d v="2020-10-23T00:00:00"/>
    <s v="Oct"/>
    <n v="2020"/>
    <x v="47"/>
    <s v="Productos Lácteos"/>
    <s v="Queso crema"/>
    <n v="67"/>
    <n v="46"/>
    <n v="3082"/>
    <n v="0"/>
    <n v="369.84"/>
    <n v="3451.84"/>
  </r>
  <r>
    <d v="2020-10-24T00:00:00"/>
    <s v="Oct"/>
    <n v="2020"/>
    <x v="74"/>
    <s v="Dulces"/>
    <s v="Scones de Sir Rodney"/>
    <n v="23"/>
    <n v="51"/>
    <n v="1173"/>
    <n v="0"/>
    <n v="140.76"/>
    <n v="1313.76"/>
  </r>
  <r>
    <d v="2020-10-24T00:00:00"/>
    <s v="Oct"/>
    <n v="2020"/>
    <x v="74"/>
    <s v="Productos Alimenticios"/>
    <s v="Manjimup Dry Apples"/>
    <n v="8"/>
    <n v="99"/>
    <n v="792"/>
    <n v="0"/>
    <n v="95.039999999999992"/>
    <n v="887.04"/>
  </r>
  <r>
    <d v="2020-10-24T00:00:00"/>
    <s v="Oct"/>
    <n v="2020"/>
    <x v="74"/>
    <s v="Condimentos"/>
    <s v="miel de maple"/>
    <n v="10"/>
    <n v="12"/>
    <n v="120"/>
    <n v="0"/>
    <n v="14.399999999999999"/>
    <n v="134.4"/>
  </r>
  <r>
    <d v="2020-10-24T00:00:00"/>
    <s v="Oct"/>
    <n v="2020"/>
    <x v="17"/>
    <s v="Dulces"/>
    <s v="Scones de Sir Rodney"/>
    <n v="87"/>
    <n v="65"/>
    <n v="5655"/>
    <n v="5.0000000745058101E-2"/>
    <n v="678.6"/>
    <n v="6333.5499999992553"/>
  </r>
  <r>
    <d v="2020-10-24T00:00:00"/>
    <s v="Oct"/>
    <n v="2020"/>
    <x v="17"/>
    <s v="Carnes y Aves"/>
    <s v="Tourtière"/>
    <n v="99"/>
    <n v="60"/>
    <n v="5940"/>
    <n v="0"/>
    <n v="712.8"/>
    <n v="6652.8"/>
  </r>
  <r>
    <d v="2020-10-24T00:00:00"/>
    <s v="Oct"/>
    <n v="2020"/>
    <x v="17"/>
    <s v="Productos Lácteos"/>
    <s v="Gudbrandsdalsost"/>
    <n v="25"/>
    <n v="39"/>
    <n v="975"/>
    <n v="5.0000000745058101E-2"/>
    <n v="117"/>
    <n v="1091.9499999992549"/>
  </r>
  <r>
    <d v="2020-10-27T00:00:00"/>
    <s v="Oct"/>
    <n v="2020"/>
    <x v="43"/>
    <s v="Productos Lácteos"/>
    <s v="Queso Manchego La Pastora"/>
    <n v="35"/>
    <n v="22"/>
    <n v="770"/>
    <n v="0"/>
    <n v="92.399999999999991"/>
    <n v="862.4"/>
  </r>
  <r>
    <d v="2020-10-27T00:00:00"/>
    <s v="Oct"/>
    <n v="2020"/>
    <x v="43"/>
    <s v="Dulces"/>
    <s v="Pavlova"/>
    <n v="65"/>
    <n v="50"/>
    <n v="3250"/>
    <n v="0"/>
    <n v="390"/>
    <n v="3640"/>
  </r>
  <r>
    <d v="2020-10-27T00:00:00"/>
    <s v="Oct"/>
    <n v="2020"/>
    <x v="43"/>
    <s v="Mariscos"/>
    <s v="Arenque en escabeche"/>
    <n v="11"/>
    <n v="93"/>
    <n v="1023"/>
    <n v="0"/>
    <n v="122.75999999999999"/>
    <n v="1145.76"/>
  </r>
  <r>
    <d v="2020-10-27T00:00:00"/>
    <s v="Oct"/>
    <n v="2020"/>
    <x v="43"/>
    <s v="Dulces"/>
    <s v="Tarta de azúcar"/>
    <n v="58"/>
    <n v="91"/>
    <n v="5278"/>
    <n v="0"/>
    <n v="633.36"/>
    <n v="5911.36"/>
  </r>
  <r>
    <d v="2020-10-27T00:00:00"/>
    <s v="Oct"/>
    <n v="2020"/>
    <x v="83"/>
    <s v="Mariscos"/>
    <s v="Tigres de Carnarvon"/>
    <n v="54"/>
    <n v="11"/>
    <n v="594"/>
    <n v="0.25"/>
    <n v="71.28"/>
    <n v="665.03"/>
  </r>
  <r>
    <d v="2020-10-27T00:00:00"/>
    <s v="Oct"/>
    <n v="2020"/>
    <x v="83"/>
    <s v="Mariscos"/>
    <s v="Nord-Ost Matjeshering"/>
    <n v="62"/>
    <n v="58"/>
    <n v="3596"/>
    <n v="0.25"/>
    <n v="431.52"/>
    <n v="4027.27"/>
  </r>
  <r>
    <d v="2020-10-27T00:00:00"/>
    <s v="Oct"/>
    <n v="2020"/>
    <x v="83"/>
    <s v="Carnes y Aves"/>
    <s v="Tourtière"/>
    <n v="13"/>
    <n v="27"/>
    <n v="351"/>
    <n v="0.25"/>
    <n v="42.12"/>
    <n v="392.87"/>
  </r>
  <r>
    <d v="2020-10-28T00:00:00"/>
    <s v="Oct"/>
    <n v="2020"/>
    <x v="12"/>
    <s v="Bebidas"/>
    <s v="Steeleye Stout"/>
    <n v="10"/>
    <n v="96"/>
    <n v="960"/>
    <n v="0"/>
    <n v="115.19999999999999"/>
    <n v="1075.2"/>
  </r>
  <r>
    <d v="2020-10-28T00:00:00"/>
    <s v="Oct"/>
    <n v="2020"/>
    <x v="12"/>
    <s v="Productos Lácteos"/>
    <s v="Queso crema"/>
    <n v="93"/>
    <n v="80"/>
    <n v="7440"/>
    <n v="0"/>
    <n v="892.8"/>
    <n v="8332.7999999999993"/>
  </r>
  <r>
    <d v="2020-10-29T00:00:00"/>
    <s v="Oct"/>
    <n v="2020"/>
    <x v="21"/>
    <s v="Condimentos"/>
    <s v="Gula Malacca"/>
    <n v="93"/>
    <n v="46"/>
    <n v="4278"/>
    <n v="5.0000000745058101E-2"/>
    <n v="513.36"/>
    <n v="4791.3099999992546"/>
  </r>
  <r>
    <d v="2020-10-29T00:00:00"/>
    <s v="Oct"/>
    <n v="2020"/>
    <x v="44"/>
    <s v="Bebidas"/>
    <s v="Chang"/>
    <n v="63"/>
    <n v="38"/>
    <n v="2394"/>
    <n v="0"/>
    <n v="287.27999999999997"/>
    <n v="2681.2799999999997"/>
  </r>
  <r>
    <d v="2020-10-29T00:00:00"/>
    <s v="Oct"/>
    <n v="2020"/>
    <x v="44"/>
    <s v="Productos Lácteos"/>
    <s v="Gorgonzola Telino"/>
    <n v="76"/>
    <n v="79"/>
    <n v="6004"/>
    <n v="0"/>
    <n v="720.48"/>
    <n v="6724.48"/>
  </r>
  <r>
    <d v="2020-10-29T00:00:00"/>
    <s v="Oct"/>
    <n v="2020"/>
    <x v="44"/>
    <s v="Dulces"/>
    <s v="Pan largo escocés"/>
    <n v="42"/>
    <n v="33"/>
    <n v="1386"/>
    <n v="0"/>
    <n v="166.32"/>
    <n v="1552.32"/>
  </r>
  <r>
    <d v="2020-10-29T00:00:00"/>
    <s v="Oct"/>
    <n v="2020"/>
    <x v="44"/>
    <s v="Bebidas"/>
    <s v="Rhönbräu Klosterbier"/>
    <n v="41"/>
    <n v="64"/>
    <n v="2624"/>
    <n v="0"/>
    <n v="314.88"/>
    <n v="2938.88"/>
  </r>
  <r>
    <d v="2020-10-30T00:00:00"/>
    <s v="Oct"/>
    <n v="2020"/>
    <x v="19"/>
    <s v="Dulces"/>
    <s v="Gummär Gummibärchen"/>
    <n v="45"/>
    <n v="18"/>
    <n v="810"/>
    <n v="0"/>
    <n v="97.2"/>
    <n v="907.2"/>
  </r>
  <r>
    <d v="2020-10-30T00:00:00"/>
    <s v="Oct"/>
    <n v="2020"/>
    <x v="48"/>
    <s v="Mariscos"/>
    <s v="Ikura"/>
    <n v="46"/>
    <n v="83"/>
    <n v="3818"/>
    <n v="0"/>
    <n v="458.15999999999997"/>
    <n v="4276.16"/>
  </r>
  <r>
    <d v="2020-10-30T00:00:00"/>
    <s v="Oct"/>
    <n v="2020"/>
    <x v="48"/>
    <s v="Condimentos"/>
    <s v="miel de maple"/>
    <n v="98"/>
    <n v="98"/>
    <n v="9604"/>
    <n v="0"/>
    <n v="1152.48"/>
    <n v="10756.48"/>
  </r>
  <r>
    <d v="2020-10-31T00:00:00"/>
    <s v="Oct"/>
    <n v="2020"/>
    <x v="51"/>
    <s v="Mariscos"/>
    <s v="Sopa de almejas de Nueva Inglaterra de Jack"/>
    <n v="19"/>
    <n v="74"/>
    <n v="1406"/>
    <n v="0"/>
    <n v="168.72"/>
    <n v="1574.72"/>
  </r>
  <r>
    <d v="2020-10-31T00:00:00"/>
    <s v="Oct"/>
    <n v="2020"/>
    <x v="51"/>
    <s v="Granos y Cereales"/>
    <s v="Filo Mix"/>
    <n v="76"/>
    <n v="72"/>
    <n v="5472"/>
    <n v="0"/>
    <n v="656.64"/>
    <n v="6128.64"/>
  </r>
  <r>
    <d v="2020-10-31T00:00:00"/>
    <s v="Oct"/>
    <n v="2020"/>
    <x v="51"/>
    <s v="Carnes y Aves"/>
    <s v="Paté chino"/>
    <n v="97"/>
    <n v="96"/>
    <n v="9312"/>
    <n v="0"/>
    <n v="1117.44"/>
    <n v="10429.44"/>
  </r>
  <r>
    <d v="2020-11-03T00:00:00"/>
    <s v="Nov"/>
    <n v="2020"/>
    <x v="57"/>
    <s v="Condimentos"/>
    <s v="Condimento Cajún del Chef Anton"/>
    <n v="40"/>
    <n v="68"/>
    <n v="2720"/>
    <n v="0"/>
    <n v="326.39999999999998"/>
    <n v="3046.4"/>
  </r>
  <r>
    <d v="2020-11-03T00:00:00"/>
    <s v="Nov"/>
    <n v="2020"/>
    <x v="57"/>
    <s v="Productos Lácteos"/>
    <s v="Queso Cabrales"/>
    <n v="43"/>
    <n v="96"/>
    <n v="4128"/>
    <n v="0"/>
    <n v="495.35999999999996"/>
    <n v="4623.3599999999997"/>
  </r>
  <r>
    <d v="2020-11-03T00:00:00"/>
    <s v="Nov"/>
    <n v="2020"/>
    <x v="31"/>
    <s v="Carnes y Aves"/>
    <s v="Alice Cordero"/>
    <n v="5"/>
    <n v="65"/>
    <n v="325"/>
    <n v="5.0000000745058101E-2"/>
    <n v="39"/>
    <n v="363.94999999925494"/>
  </r>
  <r>
    <d v="2020-11-03T00:00:00"/>
    <s v="Nov"/>
    <n v="2020"/>
    <x v="31"/>
    <s v="Granos y Cereales"/>
    <s v="Gnocchi di nonna Alice"/>
    <n v="52"/>
    <n v="46"/>
    <n v="2392"/>
    <n v="5.0000000745058101E-2"/>
    <n v="287.03999999999996"/>
    <n v="2678.9899999992549"/>
  </r>
  <r>
    <d v="2020-11-03T00:00:00"/>
    <s v="Nov"/>
    <n v="2020"/>
    <x v="31"/>
    <s v="Productos Lácteos"/>
    <s v="Raclette Courdavault"/>
    <n v="7"/>
    <n v="42"/>
    <n v="294"/>
    <n v="5.0000000745058101E-2"/>
    <n v="35.28"/>
    <n v="329.22999999925491"/>
  </r>
  <r>
    <d v="2020-11-04T00:00:00"/>
    <s v="Nov"/>
    <n v="2020"/>
    <x v="61"/>
    <s v="Mariscos"/>
    <s v="Nord-Ost Matjeshering"/>
    <n v="15"/>
    <n v="48"/>
    <n v="720"/>
    <n v="0"/>
    <n v="86.399999999999991"/>
    <n v="806.4"/>
  </r>
  <r>
    <d v="2020-11-04T00:00:00"/>
    <s v="Nov"/>
    <n v="2020"/>
    <x v="61"/>
    <s v="Mariscos"/>
    <s v="Carne de cangrejo de Boston"/>
    <n v="58"/>
    <n v="43"/>
    <n v="2494"/>
    <n v="0"/>
    <n v="299.27999999999997"/>
    <n v="2793.2799999999997"/>
  </r>
  <r>
    <d v="2020-11-04T00:00:00"/>
    <s v="Nov"/>
    <n v="2020"/>
    <x v="61"/>
    <s v="Carnes y Aves"/>
    <s v="Paté chino"/>
    <n v="54"/>
    <n v="18"/>
    <n v="972"/>
    <n v="0"/>
    <n v="116.64"/>
    <n v="1088.6400000000001"/>
  </r>
  <r>
    <d v="2020-11-04T00:00:00"/>
    <s v="Nov"/>
    <n v="2020"/>
    <x v="61"/>
    <s v="Productos Lácteos"/>
    <s v="Pierrot camembert"/>
    <n v="80"/>
    <n v="14"/>
    <n v="1120"/>
    <n v="0"/>
    <n v="134.4"/>
    <n v="1254.4000000000001"/>
  </r>
  <r>
    <d v="2020-11-04T00:00:00"/>
    <s v="Nov"/>
    <n v="2020"/>
    <x v="66"/>
    <s v="Bebidas"/>
    <s v="Chai"/>
    <n v="18"/>
    <n v="28"/>
    <n v="504"/>
    <n v="0"/>
    <n v="60.48"/>
    <n v="564.48"/>
  </r>
  <r>
    <d v="2020-11-04T00:00:00"/>
    <s v="Nov"/>
    <n v="2020"/>
    <x v="66"/>
    <s v="Dulces"/>
    <s v="Scones de Sir Rodney"/>
    <n v="33"/>
    <n v="35"/>
    <n v="1155"/>
    <n v="0"/>
    <n v="138.6"/>
    <n v="1293.5999999999999"/>
  </r>
  <r>
    <d v="2020-11-04T00:00:00"/>
    <s v="Nov"/>
    <n v="2020"/>
    <x v="66"/>
    <s v="Dulces"/>
    <s v="Valkoinen suklaa"/>
    <n v="29"/>
    <n v="13"/>
    <n v="377"/>
    <n v="0"/>
    <n v="45.239999999999995"/>
    <n v="422.24"/>
  </r>
  <r>
    <d v="2020-11-05T00:00:00"/>
    <s v="Nov"/>
    <n v="2020"/>
    <x v="47"/>
    <s v="Dulces"/>
    <s v="Pavlova"/>
    <n v="25"/>
    <n v="31"/>
    <n v="775"/>
    <n v="5.0000000745058101E-2"/>
    <n v="93"/>
    <n v="867.94999999925494"/>
  </r>
  <r>
    <d v="2020-11-05T00:00:00"/>
    <s v="Nov"/>
    <n v="2020"/>
    <x v="47"/>
    <s v="Productos Lácteos"/>
    <s v="Gorgonzola Telino"/>
    <n v="95"/>
    <n v="82"/>
    <n v="7790"/>
    <n v="5.0000000745058101E-2"/>
    <n v="934.8"/>
    <n v="8724.7499999992542"/>
  </r>
  <r>
    <d v="2020-11-05T00:00:00"/>
    <s v="Nov"/>
    <n v="2020"/>
    <x v="47"/>
    <s v="Condimentos"/>
    <s v="Salsa de pimiento picante de Luisiana"/>
    <n v="24"/>
    <n v="87"/>
    <n v="2088"/>
    <n v="5.0000000745058101E-2"/>
    <n v="250.56"/>
    <n v="2338.5099999992549"/>
  </r>
  <r>
    <d v="2020-11-06T00:00:00"/>
    <s v="Nov"/>
    <n v="2020"/>
    <x v="5"/>
    <s v="Dulces"/>
    <s v="Scones de Sir Rodney"/>
    <n v="80"/>
    <n v="61"/>
    <n v="4880"/>
    <n v="5.0000000745058101E-2"/>
    <n v="585.6"/>
    <n v="5465.5499999992553"/>
  </r>
  <r>
    <d v="2020-11-06T00:00:00"/>
    <s v="Nov"/>
    <n v="2020"/>
    <x v="5"/>
    <s v="Productos Alimenticios"/>
    <s v="Manjimup Dry Apples"/>
    <n v="39"/>
    <n v="34"/>
    <n v="1326"/>
    <n v="5.0000000745058101E-2"/>
    <n v="159.12"/>
    <n v="1485.0699999992548"/>
  </r>
  <r>
    <d v="2020-11-06T00:00:00"/>
    <s v="Nov"/>
    <n v="2020"/>
    <x v="47"/>
    <s v="Bebidas"/>
    <s v="Lakkalikööri"/>
    <n v="19"/>
    <n v="50"/>
    <n v="950"/>
    <n v="0"/>
    <n v="114"/>
    <n v="1064"/>
  </r>
  <r>
    <d v="2020-11-07T00:00:00"/>
    <s v="Nov"/>
    <n v="2020"/>
    <x v="26"/>
    <s v="Productos Alimenticios"/>
    <s v="tofu"/>
    <n v="2"/>
    <n v="36"/>
    <n v="72"/>
    <n v="0"/>
    <n v="8.64"/>
    <n v="80.64"/>
  </r>
  <r>
    <d v="2020-11-07T00:00:00"/>
    <s v="Nov"/>
    <n v="2020"/>
    <x v="26"/>
    <s v="Productos Alimenticios"/>
    <s v="Chucrut Rössle"/>
    <n v="35"/>
    <n v="45"/>
    <n v="1575"/>
    <n v="0"/>
    <n v="189"/>
    <n v="1764"/>
  </r>
  <r>
    <d v="2020-11-07T00:00:00"/>
    <s v="Nov"/>
    <n v="2020"/>
    <x v="26"/>
    <s v="Granos y Cereales"/>
    <s v="Filo Mix"/>
    <n v="24"/>
    <n v="19"/>
    <n v="456"/>
    <n v="0"/>
    <n v="54.72"/>
    <n v="510.72"/>
  </r>
  <r>
    <d v="2020-11-07T00:00:00"/>
    <s v="Nov"/>
    <n v="2020"/>
    <x v="71"/>
    <s v="Condimentos"/>
    <s v="Crema de arándanos de la abuela"/>
    <n v="81"/>
    <n v="49"/>
    <n v="3969"/>
    <n v="0"/>
    <n v="476.28"/>
    <n v="4445.28"/>
  </r>
  <r>
    <d v="2020-11-07T00:00:00"/>
    <s v="Nov"/>
    <n v="2020"/>
    <x v="71"/>
    <s v="Mariscos"/>
    <s v="Nord-Ost Matjeshering"/>
    <n v="65"/>
    <n v="30"/>
    <n v="1950"/>
    <n v="0"/>
    <n v="234"/>
    <n v="2184"/>
  </r>
  <r>
    <d v="2020-11-07T00:00:00"/>
    <s v="Nov"/>
    <n v="2020"/>
    <x v="71"/>
    <s v="Bebidas"/>
    <s v="Lakkalikööri"/>
    <n v="63"/>
    <n v="73"/>
    <n v="4599"/>
    <n v="0"/>
    <n v="551.88"/>
    <n v="5150.88"/>
  </r>
  <r>
    <d v="2020-11-10T00:00:00"/>
    <s v="Nov"/>
    <n v="2020"/>
    <x v="83"/>
    <s v="Condimentos"/>
    <s v="miel de maple"/>
    <n v="8"/>
    <n v="72"/>
    <n v="576"/>
    <n v="0.10000000149011599"/>
    <n v="69.12"/>
    <n v="645.01999999850989"/>
  </r>
  <r>
    <d v="2020-11-10T00:00:00"/>
    <s v="Nov"/>
    <n v="2020"/>
    <x v="83"/>
    <s v="Condimentos"/>
    <s v="Salsa verde original de Frankfurt"/>
    <n v="46"/>
    <n v="100"/>
    <n v="4600"/>
    <n v="0.10000000149011599"/>
    <n v="552"/>
    <n v="5151.8999999985099"/>
  </r>
  <r>
    <d v="2020-11-11T00:00:00"/>
    <s v="Nov"/>
    <n v="2020"/>
    <x v="34"/>
    <s v="Condimentos"/>
    <s v="Salsa de pimiento picante de Luisiana"/>
    <n v="72"/>
    <n v="77"/>
    <n v="5544"/>
    <n v="0"/>
    <n v="665.28"/>
    <n v="6209.28"/>
  </r>
  <r>
    <d v="2020-11-11T00:00:00"/>
    <s v="Nov"/>
    <n v="2020"/>
    <x v="34"/>
    <s v="Bebidas"/>
    <s v="Rhönbräu Klosterbier"/>
    <n v="9"/>
    <n v="62"/>
    <n v="558"/>
    <n v="0"/>
    <n v="66.959999999999994"/>
    <n v="624.96"/>
  </r>
  <r>
    <d v="2020-11-11T00:00:00"/>
    <s v="Nov"/>
    <n v="2020"/>
    <x v="22"/>
    <s v="Mariscos"/>
    <s v="Konbu"/>
    <n v="46"/>
    <n v="43"/>
    <n v="1978"/>
    <n v="0"/>
    <n v="237.35999999999999"/>
    <n v="2215.36"/>
  </r>
  <r>
    <d v="2020-11-11T00:00:00"/>
    <s v="Nov"/>
    <n v="2020"/>
    <x v="22"/>
    <s v="Mariscos"/>
    <s v="Sopa de almejas de Nueva Inglaterra de Jack"/>
    <n v="26"/>
    <n v="48"/>
    <n v="1248"/>
    <n v="0"/>
    <n v="149.76"/>
    <n v="1397.76"/>
  </r>
  <r>
    <d v="2020-11-12T00:00:00"/>
    <s v="Nov"/>
    <n v="2020"/>
    <x v="87"/>
    <s v="Dulces"/>
    <s v="Pavlova"/>
    <n v="83"/>
    <n v="44"/>
    <n v="3652"/>
    <n v="0"/>
    <n v="438.24"/>
    <n v="4090.24"/>
  </r>
  <r>
    <d v="2020-11-12T00:00:00"/>
    <s v="Nov"/>
    <n v="2020"/>
    <x v="22"/>
    <s v="Mariscos"/>
    <s v="Arenque en escabeche"/>
    <n v="18"/>
    <n v="24"/>
    <n v="432"/>
    <n v="0"/>
    <n v="51.839999999999996"/>
    <n v="483.84"/>
  </r>
  <r>
    <d v="2020-11-12T00:00:00"/>
    <s v="Nov"/>
    <n v="2020"/>
    <x v="22"/>
    <s v="Granos y Cereales"/>
    <s v="Filo Mix"/>
    <n v="76"/>
    <n v="67"/>
    <n v="5092"/>
    <n v="0"/>
    <n v="611.04"/>
    <n v="5703.04"/>
  </r>
  <r>
    <d v="2020-11-13T00:00:00"/>
    <s v="Nov"/>
    <n v="2020"/>
    <x v="19"/>
    <s v="Productos Alimenticios"/>
    <s v="Chucrut Rössle"/>
    <n v="82"/>
    <n v="78"/>
    <n v="6396"/>
    <n v="0.20000000298023199"/>
    <n v="767.52"/>
    <n v="7163.3199999970202"/>
  </r>
  <r>
    <d v="2020-11-13T00:00:00"/>
    <s v="Nov"/>
    <n v="2020"/>
    <x v="19"/>
    <s v="Bebidas"/>
    <s v="Steeleye Stout"/>
    <n v="67"/>
    <n v="20"/>
    <n v="1340"/>
    <n v="0.20000000298023199"/>
    <n v="160.79999999999998"/>
    <n v="1500.5999999970197"/>
  </r>
  <r>
    <d v="2020-11-13T00:00:00"/>
    <s v="Nov"/>
    <n v="2020"/>
    <x v="19"/>
    <s v="Mariscos"/>
    <s v="Arenque ahumado"/>
    <n v="26"/>
    <n v="56"/>
    <n v="1456"/>
    <n v="0.20000000298023199"/>
    <n v="174.72"/>
    <n v="1630.5199999970198"/>
  </r>
  <r>
    <d v="2020-11-13T00:00:00"/>
    <s v="Nov"/>
    <n v="2020"/>
    <x v="19"/>
    <s v="Granos y Cereales"/>
    <s v="Gnocchi di nonna Alice"/>
    <n v="35"/>
    <n v="88"/>
    <n v="3080"/>
    <n v="0.20000000298023199"/>
    <n v="369.59999999999997"/>
    <n v="3449.3999999970197"/>
  </r>
  <r>
    <d v="2020-11-14T00:00:00"/>
    <s v="Nov"/>
    <n v="2020"/>
    <x v="54"/>
    <s v="Bebidas"/>
    <s v="Chang"/>
    <n v="32"/>
    <n v="36"/>
    <n v="1152"/>
    <n v="0.20000000298023199"/>
    <n v="138.24"/>
    <n v="1290.0399999970198"/>
  </r>
  <r>
    <d v="2020-11-14T00:00:00"/>
    <s v="Nov"/>
    <n v="2020"/>
    <x v="65"/>
    <s v="Condimentos"/>
    <s v="Jarabe de anís"/>
    <n v="8"/>
    <n v="37"/>
    <n v="296"/>
    <n v="0"/>
    <n v="35.519999999999996"/>
    <n v="331.52"/>
  </r>
  <r>
    <d v="2020-11-14T00:00:00"/>
    <s v="Nov"/>
    <n v="2020"/>
    <x v="65"/>
    <s v="Productos Lácteos"/>
    <s v="Pierrot camembert"/>
    <n v="21"/>
    <n v="31"/>
    <n v="651"/>
    <n v="0"/>
    <n v="78.11999999999999"/>
    <n v="729.12"/>
  </r>
  <r>
    <d v="2020-11-14T00:00:00"/>
    <s v="Nov"/>
    <n v="2020"/>
    <x v="65"/>
    <s v="Productos Lácteos"/>
    <s v="Mozzarella di Giovanni"/>
    <n v="22"/>
    <n v="10"/>
    <n v="220"/>
    <n v="0"/>
    <n v="26.4"/>
    <n v="246.4"/>
  </r>
  <r>
    <d v="2020-11-17T00:00:00"/>
    <s v="Nov"/>
    <n v="2020"/>
    <x v="54"/>
    <s v="Mariscos"/>
    <s v="arenque"/>
    <n v="84"/>
    <n v="51"/>
    <n v="4284"/>
    <n v="5.0000000745058101E-2"/>
    <n v="514.07999999999993"/>
    <n v="4798.0299999992549"/>
  </r>
  <r>
    <d v="2020-11-17T00:00:00"/>
    <s v="Nov"/>
    <n v="2020"/>
    <x v="60"/>
    <s v="Mariscos"/>
    <s v="Carne de cangrejo de Boston"/>
    <n v="52"/>
    <n v="12"/>
    <n v="624"/>
    <n v="0.20000000298023199"/>
    <n v="74.88"/>
    <n v="698.67999999701976"/>
  </r>
  <r>
    <d v="2020-11-18T00:00:00"/>
    <s v="Nov"/>
    <n v="2020"/>
    <x v="21"/>
    <s v="Mariscos"/>
    <s v="Tigres de Carnarvon"/>
    <n v="39"/>
    <n v="19"/>
    <n v="741"/>
    <n v="0"/>
    <n v="88.92"/>
    <n v="829.92"/>
  </r>
  <r>
    <d v="2020-11-18T00:00:00"/>
    <s v="Nov"/>
    <n v="2020"/>
    <x v="21"/>
    <s v="Condimentos"/>
    <s v="Gula Malacca"/>
    <n v="32"/>
    <n v="99"/>
    <n v="3168"/>
    <n v="0"/>
    <n v="380.15999999999997"/>
    <n v="3548.16"/>
  </r>
  <r>
    <d v="2020-11-18T00:00:00"/>
    <s v="Nov"/>
    <n v="2020"/>
    <x v="21"/>
    <s v="Productos Lácteos"/>
    <s v="Raclette Courdavault"/>
    <n v="100"/>
    <n v="71"/>
    <n v="7100"/>
    <n v="0"/>
    <n v="852"/>
    <n v="7952"/>
  </r>
  <r>
    <d v="2020-11-18T00:00:00"/>
    <s v="Nov"/>
    <n v="2020"/>
    <x v="21"/>
    <s v="Productos Lácteos"/>
    <s v="Mozzarella di Giovanni"/>
    <n v="27"/>
    <n v="30"/>
    <n v="810"/>
    <n v="0"/>
    <n v="97.2"/>
    <n v="907.2"/>
  </r>
  <r>
    <d v="2020-11-19T00:00:00"/>
    <s v="Nov"/>
    <n v="2020"/>
    <x v="5"/>
    <s v="Mariscos"/>
    <s v="Konbu"/>
    <n v="42"/>
    <n v="18"/>
    <n v="756"/>
    <n v="0"/>
    <n v="90.72"/>
    <n v="846.72"/>
  </r>
  <r>
    <d v="2020-11-19T00:00:00"/>
    <s v="Nov"/>
    <n v="2020"/>
    <x v="5"/>
    <s v="Granos y Cereales"/>
    <s v="Fried Mee de hockey de Singapur"/>
    <n v="36"/>
    <n v="11"/>
    <n v="396"/>
    <n v="0"/>
    <n v="47.519999999999996"/>
    <n v="443.52"/>
  </r>
  <r>
    <d v="2020-11-19T00:00:00"/>
    <s v="Nov"/>
    <n v="2020"/>
    <x v="5"/>
    <s v="Dulces"/>
    <s v="Tarta de azúcar"/>
    <n v="46"/>
    <n v="59"/>
    <n v="2714"/>
    <n v="0"/>
    <n v="325.68"/>
    <n v="3039.68"/>
  </r>
  <r>
    <d v="2020-11-19T00:00:00"/>
    <s v="Nov"/>
    <n v="2020"/>
    <x v="5"/>
    <s v="Productos Lácteos"/>
    <s v="Gudbrandsdalsost"/>
    <n v="22"/>
    <n v="82"/>
    <n v="1804"/>
    <n v="0"/>
    <n v="216.48"/>
    <n v="2020.48"/>
  </r>
  <r>
    <d v="2020-11-19T00:00:00"/>
    <s v="Nov"/>
    <n v="2020"/>
    <x v="53"/>
    <s v="Productos Lácteos"/>
    <s v="Gorgonzola Telino"/>
    <n v="94"/>
    <n v="77"/>
    <n v="7238"/>
    <n v="0"/>
    <n v="868.56"/>
    <n v="8106.5599999999995"/>
  </r>
  <r>
    <d v="2020-11-19T00:00:00"/>
    <s v="Nov"/>
    <n v="2020"/>
    <x v="53"/>
    <s v="Mariscos"/>
    <s v="Sopa de almejas de Nueva Inglaterra de Jack"/>
    <n v="87"/>
    <n v="83"/>
    <n v="7221"/>
    <n v="0"/>
    <n v="866.52"/>
    <n v="8087.52"/>
  </r>
  <r>
    <d v="2020-11-19T00:00:00"/>
    <s v="Nov"/>
    <n v="2020"/>
    <x v="53"/>
    <s v="Condimentos"/>
    <s v="Crema de verduras"/>
    <n v="11"/>
    <n v="74"/>
    <n v="814"/>
    <n v="0"/>
    <n v="97.679999999999993"/>
    <n v="911.68"/>
  </r>
  <r>
    <d v="2020-11-19T00:00:00"/>
    <s v="Nov"/>
    <n v="2020"/>
    <x v="53"/>
    <s v="Productos Lácteos"/>
    <s v="Gudbrandsdalsost"/>
    <n v="46"/>
    <n v="30"/>
    <n v="1380"/>
    <n v="0"/>
    <n v="165.6"/>
    <n v="1545.6"/>
  </r>
  <r>
    <d v="2020-11-20T00:00:00"/>
    <s v="Nov"/>
    <n v="2020"/>
    <x v="44"/>
    <s v="Granos y Cereales"/>
    <s v="Pan plano"/>
    <n v="75"/>
    <n v="32"/>
    <n v="2400"/>
    <n v="0"/>
    <n v="288"/>
    <n v="2688"/>
  </r>
  <r>
    <d v="2020-11-20T00:00:00"/>
    <s v="Nov"/>
    <n v="2020"/>
    <x v="44"/>
    <s v="Mariscos"/>
    <s v="Carne de cangrejo de Boston"/>
    <n v="36"/>
    <n v="49"/>
    <n v="1764"/>
    <n v="0"/>
    <n v="211.67999999999998"/>
    <n v="1975.68"/>
  </r>
  <r>
    <d v="2020-11-20T00:00:00"/>
    <s v="Nov"/>
    <n v="2020"/>
    <x v="44"/>
    <s v="Granos y Cereales"/>
    <s v="Gnocchi di nonna Alice"/>
    <n v="7"/>
    <n v="33"/>
    <n v="231"/>
    <n v="0"/>
    <n v="27.72"/>
    <n v="258.72000000000003"/>
  </r>
  <r>
    <d v="2020-11-20T00:00:00"/>
    <s v="Nov"/>
    <n v="2020"/>
    <x v="41"/>
    <s v="Granos y Cereales"/>
    <s v="Gnocchi di nonna Alice"/>
    <n v="79"/>
    <n v="51"/>
    <n v="4029"/>
    <n v="0"/>
    <n v="483.47999999999996"/>
    <n v="4512.4799999999996"/>
  </r>
  <r>
    <d v="2020-11-20T00:00:00"/>
    <s v="Nov"/>
    <n v="2020"/>
    <x v="41"/>
    <s v="Productos Lácteos"/>
    <s v="Raclette Courdavault"/>
    <n v="30"/>
    <n v="81"/>
    <n v="2430"/>
    <n v="0"/>
    <n v="291.59999999999997"/>
    <n v="2721.6"/>
  </r>
  <r>
    <d v="2020-11-20T00:00:00"/>
    <s v="Nov"/>
    <n v="2020"/>
    <x v="41"/>
    <s v="Bebidas"/>
    <s v="Lakkalikööri"/>
    <n v="27"/>
    <n v="75"/>
    <n v="2025"/>
    <n v="0"/>
    <n v="243"/>
    <n v="2268"/>
  </r>
  <r>
    <d v="2020-11-21T00:00:00"/>
    <s v="Nov"/>
    <n v="2020"/>
    <x v="16"/>
    <s v="Productos Alimenticios"/>
    <s v="tofu"/>
    <n v="29"/>
    <n v="33"/>
    <n v="957"/>
    <n v="0.15000000596046401"/>
    <n v="114.83999999999999"/>
    <n v="1071.6899999940395"/>
  </r>
  <r>
    <d v="2020-11-21T00:00:00"/>
    <s v="Nov"/>
    <n v="2020"/>
    <x v="16"/>
    <s v="Mariscos"/>
    <s v="Arenque ahumado"/>
    <n v="1"/>
    <n v="57"/>
    <n v="57"/>
    <n v="0.15000000596046401"/>
    <n v="6.84"/>
    <n v="63.689999994039539"/>
  </r>
  <r>
    <d v="2020-11-21T00:00:00"/>
    <s v="Nov"/>
    <n v="2020"/>
    <x v="16"/>
    <s v="Productos Lácteos"/>
    <s v="Raclette Courdavault"/>
    <n v="11"/>
    <n v="37"/>
    <n v="407"/>
    <n v="0.15000000596046401"/>
    <n v="48.839999999999996"/>
    <n v="455.68999999403951"/>
  </r>
  <r>
    <d v="2020-11-24T00:00:00"/>
    <s v="Nov"/>
    <n v="2020"/>
    <x v="6"/>
    <s v="Dulces"/>
    <s v="Gummär Gummibärchen"/>
    <n v="21"/>
    <n v="63"/>
    <n v="1323"/>
    <n v="0.10000000149011599"/>
    <n v="158.76"/>
    <n v="1481.6599999985099"/>
  </r>
  <r>
    <d v="2020-11-24T00:00:00"/>
    <s v="Nov"/>
    <n v="2020"/>
    <x v="6"/>
    <s v="Mariscos"/>
    <s v="Nord-Ost Matjeshering"/>
    <n v="36"/>
    <n v="85"/>
    <n v="3060"/>
    <n v="0"/>
    <n v="367.2"/>
    <n v="3427.2"/>
  </r>
  <r>
    <d v="2020-11-24T00:00:00"/>
    <s v="Nov"/>
    <n v="2020"/>
    <x v="6"/>
    <s v="Dulces"/>
    <s v="Valkoinen suklaa"/>
    <n v="87"/>
    <n v="98"/>
    <n v="8526"/>
    <n v="0.10000000149011599"/>
    <n v="1023.12"/>
    <n v="9549.0199999985107"/>
  </r>
  <r>
    <d v="2020-11-24T00:00:00"/>
    <s v="Nov"/>
    <n v="2020"/>
    <x v="6"/>
    <s v="Mariscos"/>
    <s v="Caviar rojo"/>
    <n v="10"/>
    <n v="69"/>
    <n v="690"/>
    <n v="0"/>
    <n v="82.8"/>
    <n v="772.8"/>
  </r>
  <r>
    <d v="2020-11-24T00:00:00"/>
    <s v="Nov"/>
    <n v="2020"/>
    <x v="78"/>
    <s v="Bebidas"/>
    <s v="Chai"/>
    <n v="64"/>
    <n v="75"/>
    <n v="4800"/>
    <n v="0"/>
    <n v="576"/>
    <n v="5376"/>
  </r>
  <r>
    <d v="2020-11-24T00:00:00"/>
    <s v="Nov"/>
    <n v="2020"/>
    <x v="78"/>
    <s v="Productos Lácteos"/>
    <s v="Gudbrandsdalsost"/>
    <n v="71"/>
    <n v="27"/>
    <n v="1917"/>
    <n v="0"/>
    <n v="230.04"/>
    <n v="2147.04"/>
  </r>
  <r>
    <d v="2020-11-25T00:00:00"/>
    <s v="Nov"/>
    <n v="2020"/>
    <x v="70"/>
    <s v="Mariscos"/>
    <s v="Arenque ahumado"/>
    <n v="57"/>
    <n v="32"/>
    <n v="1824"/>
    <n v="0"/>
    <n v="218.88"/>
    <n v="2042.88"/>
  </r>
  <r>
    <d v="2020-11-25T00:00:00"/>
    <s v="Nov"/>
    <n v="2020"/>
    <x v="70"/>
    <s v="Productos Alimenticios"/>
    <s v="Tofu de larga duración"/>
    <n v="89"/>
    <n v="98"/>
    <n v="8722"/>
    <n v="0"/>
    <n v="1046.6399999999999"/>
    <n v="9768.64"/>
  </r>
  <r>
    <d v="2020-11-25T00:00:00"/>
    <s v="Nov"/>
    <n v="2020"/>
    <x v="23"/>
    <s v="Mariscos"/>
    <s v="Carne de cangrejo de Boston"/>
    <n v="90"/>
    <n v="38"/>
    <n v="3420"/>
    <n v="0"/>
    <n v="410.4"/>
    <n v="3830.4"/>
  </r>
  <r>
    <d v="2020-11-26T00:00:00"/>
    <s v="Nov"/>
    <n v="2020"/>
    <x v="47"/>
    <s v="Dulces"/>
    <s v="Tortas Zaanse"/>
    <n v="25"/>
    <n v="41"/>
    <n v="1025"/>
    <n v="0.25"/>
    <n v="123"/>
    <n v="1147.75"/>
  </r>
  <r>
    <d v="2020-11-26T00:00:00"/>
    <s v="Nov"/>
    <n v="2020"/>
    <x v="47"/>
    <s v="Granos y Cereales"/>
    <s v="Gnocchi di nonna Alice"/>
    <n v="6"/>
    <n v="20"/>
    <n v="120"/>
    <n v="0.25"/>
    <n v="14.399999999999999"/>
    <n v="134.15"/>
  </r>
  <r>
    <d v="2020-11-26T00:00:00"/>
    <s v="Nov"/>
    <n v="2020"/>
    <x v="47"/>
    <s v="Granos y Cereales"/>
    <s v="Ravioli Angelo"/>
    <n v="3"/>
    <n v="69"/>
    <n v="207"/>
    <n v="0.25"/>
    <n v="24.84"/>
    <n v="231.59"/>
  </r>
  <r>
    <d v="2020-11-26T00:00:00"/>
    <s v="Nov"/>
    <n v="2020"/>
    <x v="47"/>
    <s v="Productos Lácteos"/>
    <s v="Gudbrandsdalsost"/>
    <n v="79"/>
    <n v="28"/>
    <n v="2212"/>
    <n v="0.25"/>
    <n v="265.44"/>
    <n v="2477.19"/>
  </r>
  <r>
    <d v="2020-11-27T00:00:00"/>
    <s v="Nov"/>
    <n v="2020"/>
    <x v="20"/>
    <s v="Mariscos"/>
    <s v="Tigres de Carnarvon"/>
    <n v="18"/>
    <n v="51"/>
    <n v="918"/>
    <n v="0.20000000298023199"/>
    <n v="110.16"/>
    <n v="1027.9599999970198"/>
  </r>
  <r>
    <d v="2020-11-27T00:00:00"/>
    <s v="Nov"/>
    <n v="2020"/>
    <x v="20"/>
    <s v="Mariscos"/>
    <s v="Arenque en escabeche"/>
    <n v="75"/>
    <n v="44"/>
    <n v="3300"/>
    <n v="0.20000000298023199"/>
    <n v="396"/>
    <n v="3695.7999999970198"/>
  </r>
  <r>
    <d v="2020-11-27T00:00:00"/>
    <s v="Nov"/>
    <n v="2020"/>
    <x v="20"/>
    <s v="Dulces"/>
    <s v="Pan largo escocés"/>
    <n v="10"/>
    <n v="84"/>
    <n v="840"/>
    <n v="0.20000000298023199"/>
    <n v="100.8"/>
    <n v="940.59999999701972"/>
  </r>
  <r>
    <d v="2020-11-27T00:00:00"/>
    <s v="Nov"/>
    <n v="2020"/>
    <x v="20"/>
    <s v="Productos Lácteos"/>
    <s v="Gudbrandsdalsost"/>
    <n v="96"/>
    <n v="66"/>
    <n v="6336"/>
    <n v="0.20000000298023199"/>
    <n v="760.31999999999994"/>
    <n v="7096.1199999970195"/>
  </r>
  <r>
    <d v="2020-11-27T00:00:00"/>
    <s v="Nov"/>
    <n v="2020"/>
    <x v="44"/>
    <s v="Bebidas"/>
    <s v="Sasquatch Ale"/>
    <n v="12"/>
    <n v="51"/>
    <n v="612"/>
    <n v="0"/>
    <n v="73.44"/>
    <n v="685.44"/>
  </r>
  <r>
    <d v="2020-11-27T00:00:00"/>
    <s v="Nov"/>
    <n v="2020"/>
    <x v="44"/>
    <s v="Productos Lácteos"/>
    <s v="Raclette Courdavault"/>
    <n v="82"/>
    <n v="29"/>
    <n v="2378"/>
    <n v="0"/>
    <n v="285.36"/>
    <n v="2663.36"/>
  </r>
  <r>
    <d v="2020-11-27T00:00:00"/>
    <s v="Nov"/>
    <n v="2020"/>
    <x v="44"/>
    <s v="Dulces"/>
    <s v="Tarta de azúcar"/>
    <n v="59"/>
    <n v="22"/>
    <n v="1298"/>
    <n v="0"/>
    <n v="155.76"/>
    <n v="1453.76"/>
  </r>
  <r>
    <d v="2020-11-27T00:00:00"/>
    <s v="Nov"/>
    <n v="2020"/>
    <x v="44"/>
    <s v="Granos y Cereales"/>
    <s v="El buen Semmelknödel de Wimmer"/>
    <n v="2"/>
    <n v="66"/>
    <n v="132"/>
    <n v="0"/>
    <n v="15.84"/>
    <n v="147.84"/>
  </r>
  <r>
    <d v="2020-11-28T00:00:00"/>
    <s v="Nov"/>
    <n v="2020"/>
    <x v="6"/>
    <s v="Dulces"/>
    <s v="Gummär Gummibärchen"/>
    <n v="20"/>
    <n v="84"/>
    <n v="1680"/>
    <n v="0"/>
    <n v="201.6"/>
    <n v="1881.6"/>
  </r>
  <r>
    <d v="2020-11-28T00:00:00"/>
    <s v="Nov"/>
    <n v="2020"/>
    <x v="6"/>
    <s v="Granos y Cereales"/>
    <s v="Filo Mix"/>
    <n v="5"/>
    <n v="23"/>
    <n v="115"/>
    <n v="0"/>
    <n v="13.799999999999999"/>
    <n v="128.80000000000001"/>
  </r>
  <r>
    <d v="2020-11-28T00:00:00"/>
    <s v="Nov"/>
    <n v="2020"/>
    <x v="6"/>
    <s v="Bebidas"/>
    <s v="Outback Lager"/>
    <n v="63"/>
    <n v="75"/>
    <n v="4725"/>
    <n v="0"/>
    <n v="567"/>
    <n v="5292"/>
  </r>
  <r>
    <d v="2020-11-28T00:00:00"/>
    <s v="Nov"/>
    <n v="2020"/>
    <x v="38"/>
    <s v="Productos Lácteos"/>
    <s v="Mascarpone Fabioli"/>
    <n v="9"/>
    <n v="85"/>
    <n v="765"/>
    <n v="0"/>
    <n v="91.8"/>
    <n v="856.8"/>
  </r>
  <r>
    <d v="2020-12-01T00:00:00"/>
    <s v="Dic"/>
    <n v="2020"/>
    <x v="81"/>
    <s v="Dulces"/>
    <s v="Crema de Turrón de Nueces NuNuCa"/>
    <n v="15"/>
    <n v="32"/>
    <n v="480"/>
    <n v="0.25"/>
    <n v="57.599999999999994"/>
    <n v="537.35"/>
  </r>
  <r>
    <d v="2020-12-01T00:00:00"/>
    <s v="Dic"/>
    <n v="2020"/>
    <x v="81"/>
    <s v="Dulces"/>
    <s v="Chocolate Schoggi"/>
    <n v="16"/>
    <n v="83"/>
    <n v="1328"/>
    <n v="0"/>
    <n v="159.35999999999999"/>
    <n v="1487.36"/>
  </r>
  <r>
    <d v="2020-12-01T00:00:00"/>
    <s v="Dic"/>
    <n v="2020"/>
    <x v="81"/>
    <s v="Bebidas"/>
    <s v="Café Ipoh"/>
    <n v="24"/>
    <n v="27"/>
    <n v="648"/>
    <n v="0.25"/>
    <n v="77.759999999999991"/>
    <n v="725.51"/>
  </r>
  <r>
    <d v="2020-12-02T00:00:00"/>
    <s v="Dic"/>
    <n v="2020"/>
    <x v="13"/>
    <s v="Dulces"/>
    <s v="Crema de Turrón de Nueces NuNuCa"/>
    <n v="66"/>
    <n v="62"/>
    <n v="4092"/>
    <n v="0.25"/>
    <n v="491.03999999999996"/>
    <n v="4582.79"/>
  </r>
  <r>
    <d v="2020-12-02T00:00:00"/>
    <s v="Dic"/>
    <n v="2020"/>
    <x v="13"/>
    <s v="Bebidas"/>
    <s v="Rhönbräu Klosterbier"/>
    <n v="98"/>
    <n v="55"/>
    <n v="5390"/>
    <n v="0"/>
    <n v="646.79999999999995"/>
    <n v="6036.8"/>
  </r>
  <r>
    <d v="2020-12-02T00:00:00"/>
    <s v="Dic"/>
    <n v="2020"/>
    <x v="14"/>
    <s v="Bebidas"/>
    <s v="Chartreuse verde"/>
    <n v="65"/>
    <n v="51"/>
    <n v="3315"/>
    <n v="0"/>
    <n v="397.8"/>
    <n v="3712.8"/>
  </r>
  <r>
    <d v="2020-12-02T00:00:00"/>
    <s v="Dic"/>
    <n v="2020"/>
    <x v="14"/>
    <s v="Dulces"/>
    <s v="Tortas Zaanse"/>
    <n v="12"/>
    <n v="29"/>
    <n v="348"/>
    <n v="0"/>
    <n v="41.76"/>
    <n v="389.76"/>
  </r>
  <r>
    <d v="2020-12-02T00:00:00"/>
    <s v="Dic"/>
    <n v="2020"/>
    <x v="14"/>
    <s v="Productos Alimenticios"/>
    <s v="Manjimup Dry Apples"/>
    <n v="59"/>
    <n v="90"/>
    <n v="5310"/>
    <n v="0"/>
    <n v="637.19999999999993"/>
    <n v="5947.2"/>
  </r>
  <r>
    <d v="2020-12-02T00:00:00"/>
    <s v="Dic"/>
    <n v="2020"/>
    <x v="14"/>
    <s v="Granos y Cereales"/>
    <s v="Gnocchi di nonna Alice"/>
    <n v="6"/>
    <n v="44"/>
    <n v="264"/>
    <n v="0"/>
    <n v="31.68"/>
    <n v="295.68"/>
  </r>
  <r>
    <d v="2020-12-03T00:00:00"/>
    <s v="Dic"/>
    <n v="2020"/>
    <x v="68"/>
    <s v="Dulces"/>
    <s v="Scones de Sir Rodney"/>
    <n v="20"/>
    <n v="88"/>
    <n v="1760"/>
    <n v="0"/>
    <n v="211.2"/>
    <n v="1971.2"/>
  </r>
  <r>
    <d v="2020-12-03T00:00:00"/>
    <s v="Dic"/>
    <n v="2020"/>
    <x v="68"/>
    <s v="Granos y Cereales"/>
    <s v="Pan crujiente de Gustaf"/>
    <n v="60"/>
    <n v="84"/>
    <n v="5040"/>
    <n v="0"/>
    <n v="604.79999999999995"/>
    <n v="5644.8"/>
  </r>
  <r>
    <d v="2020-12-03T00:00:00"/>
    <s v="Dic"/>
    <n v="2020"/>
    <x v="68"/>
    <s v="Bebidas"/>
    <s v="Guaraná Fantástica"/>
    <n v="22"/>
    <n v="50"/>
    <n v="1100"/>
    <n v="0"/>
    <n v="132"/>
    <n v="1232"/>
  </r>
  <r>
    <d v="2020-12-03T00:00:00"/>
    <s v="Dic"/>
    <n v="2020"/>
    <x v="9"/>
    <s v="Condimentos"/>
    <s v="Jarabe de anís"/>
    <n v="29"/>
    <n v="96"/>
    <n v="2784"/>
    <n v="0.10000000149011599"/>
    <n v="334.08"/>
    <n v="3117.9799999985098"/>
  </r>
  <r>
    <d v="2020-12-03T00:00:00"/>
    <s v="Dic"/>
    <n v="2020"/>
    <x v="9"/>
    <s v="Bebidas"/>
    <s v="Chartreuse verde"/>
    <n v="77"/>
    <n v="12"/>
    <n v="924"/>
    <n v="0.10000000149011599"/>
    <n v="110.88"/>
    <n v="1034.77999999851"/>
  </r>
  <r>
    <d v="2020-12-04T00:00:00"/>
    <s v="Dic"/>
    <n v="2020"/>
    <x v="21"/>
    <s v="Condimentos"/>
    <s v="Salsa de pimiento picante de Luisiana"/>
    <n v="100"/>
    <n v="67"/>
    <n v="6700"/>
    <n v="0.10000000149011599"/>
    <n v="804"/>
    <n v="7503.8999999985099"/>
  </r>
  <r>
    <d v="2020-12-05T00:00:00"/>
    <s v="Dic"/>
    <n v="2020"/>
    <x v="67"/>
    <s v="Bebidas"/>
    <s v="Chang"/>
    <n v="26"/>
    <n v="88"/>
    <n v="2288"/>
    <n v="0"/>
    <n v="274.56"/>
    <n v="2562.56"/>
  </r>
  <r>
    <d v="2020-12-05T00:00:00"/>
    <s v="Dic"/>
    <n v="2020"/>
    <x v="67"/>
    <s v="Productos Alimenticios"/>
    <s v="Peras secas orgánicas del tío Bob"/>
    <n v="46"/>
    <n v="80"/>
    <n v="3680"/>
    <n v="0"/>
    <n v="441.59999999999997"/>
    <n v="4121.6000000000004"/>
  </r>
  <r>
    <d v="2020-12-05T00:00:00"/>
    <s v="Dic"/>
    <n v="2020"/>
    <x v="67"/>
    <s v="Dulces"/>
    <s v="Pan largo escocés"/>
    <n v="94"/>
    <n v="30"/>
    <n v="2820"/>
    <n v="0"/>
    <n v="338.4"/>
    <n v="3158.4"/>
  </r>
  <r>
    <d v="2020-12-05T00:00:00"/>
    <s v="Dic"/>
    <n v="2020"/>
    <x v="4"/>
    <s v="Granos y Cereales"/>
    <s v="Fried Mee de hockey de Singapur"/>
    <n v="68"/>
    <n v="24"/>
    <n v="1632"/>
    <n v="0"/>
    <n v="195.84"/>
    <n v="1827.84"/>
  </r>
  <r>
    <d v="2020-12-08T00:00:00"/>
    <s v="Dic"/>
    <n v="2020"/>
    <x v="54"/>
    <s v="Granos y Cereales"/>
    <s v="Pan crujiente de Gustaf"/>
    <n v="65"/>
    <n v="80"/>
    <n v="5200"/>
    <n v="0"/>
    <n v="624"/>
    <n v="5824"/>
  </r>
  <r>
    <d v="2020-12-08T00:00:00"/>
    <s v="Dic"/>
    <n v="2020"/>
    <x v="54"/>
    <s v="Productos Lácteos"/>
    <s v="Gorgonzola Telino"/>
    <n v="71"/>
    <n v="43"/>
    <n v="3053"/>
    <n v="0"/>
    <n v="366.36"/>
    <n v="3419.36"/>
  </r>
  <r>
    <d v="2020-12-08T00:00:00"/>
    <s v="Dic"/>
    <n v="2020"/>
    <x v="54"/>
    <s v="Productos Lácteos"/>
    <s v="Pierrot camembert"/>
    <n v="70"/>
    <n v="29"/>
    <n v="2030"/>
    <n v="0"/>
    <n v="243.6"/>
    <n v="2273.6"/>
  </r>
  <r>
    <d v="2020-12-08T00:00:00"/>
    <s v="Dic"/>
    <n v="2020"/>
    <x v="54"/>
    <s v="Productos Lácteos"/>
    <s v="Queso crema"/>
    <n v="26"/>
    <n v="74"/>
    <n v="1924"/>
    <n v="0"/>
    <n v="230.88"/>
    <n v="2154.88"/>
  </r>
  <r>
    <d v="2020-12-08T00:00:00"/>
    <s v="Dic"/>
    <n v="2020"/>
    <x v="60"/>
    <s v="Mariscos"/>
    <s v="Sopa de almejas de Nueva Inglaterra de Jack"/>
    <n v="53"/>
    <n v="25"/>
    <n v="1325"/>
    <n v="5.0000000745058101E-2"/>
    <n v="159"/>
    <n v="1483.9499999992549"/>
  </r>
  <r>
    <d v="2020-12-08T00:00:00"/>
    <s v="Dic"/>
    <n v="2020"/>
    <x v="60"/>
    <s v="Granos y Cereales"/>
    <s v="Filo Mix"/>
    <n v="87"/>
    <n v="98"/>
    <n v="8526"/>
    <n v="5.0000000745058101E-2"/>
    <n v="1023.12"/>
    <n v="9549.0699999992557"/>
  </r>
  <r>
    <d v="2020-12-08T00:00:00"/>
    <s v="Dic"/>
    <n v="2020"/>
    <x v="60"/>
    <s v="Condimentos"/>
    <s v="miel de maple"/>
    <n v="15"/>
    <n v="22"/>
    <n v="330"/>
    <n v="0"/>
    <n v="39.6"/>
    <n v="369.6"/>
  </r>
  <r>
    <d v="2020-12-08T00:00:00"/>
    <s v="Dic"/>
    <n v="2020"/>
    <x v="60"/>
    <s v="Dulces"/>
    <s v="Tarta de azúcar"/>
    <n v="56"/>
    <n v="15"/>
    <n v="840"/>
    <n v="0"/>
    <n v="100.8"/>
    <n v="940.8"/>
  </r>
  <r>
    <d v="2020-12-09T00:00:00"/>
    <s v="Dic"/>
    <n v="2020"/>
    <x v="2"/>
    <s v="Productos Lácteos"/>
    <s v="Queso Cabrales"/>
    <n v="7"/>
    <n v="12"/>
    <n v="84"/>
    <n v="0.25"/>
    <n v="10.08"/>
    <n v="93.83"/>
  </r>
  <r>
    <d v="2020-12-10T00:00:00"/>
    <s v="Dic"/>
    <n v="2020"/>
    <x v="9"/>
    <s v="Productos Lácteos"/>
    <s v="Queso crema"/>
    <n v="30"/>
    <n v="31"/>
    <n v="930"/>
    <n v="0"/>
    <n v="111.6"/>
    <n v="1041.5999999999999"/>
  </r>
  <r>
    <d v="2020-12-10T00:00:00"/>
    <s v="Dic"/>
    <n v="2020"/>
    <x v="27"/>
    <s v="Carnes y Aves"/>
    <s v="Salchicha asada de Turingia"/>
    <n v="27"/>
    <n v="24"/>
    <n v="648"/>
    <n v="0"/>
    <n v="77.759999999999991"/>
    <n v="725.76"/>
  </r>
  <r>
    <d v="2020-12-10T00:00:00"/>
    <s v="Dic"/>
    <n v="2020"/>
    <x v="27"/>
    <s v="Productos Lácteos"/>
    <s v="Raclette Courdavault"/>
    <n v="53"/>
    <n v="59"/>
    <n v="3127"/>
    <n v="0"/>
    <n v="375.24"/>
    <n v="3502.24"/>
  </r>
  <r>
    <d v="2020-12-11T00:00:00"/>
    <s v="Dic"/>
    <n v="2020"/>
    <x v="9"/>
    <s v="Carnes y Aves"/>
    <s v="Alice Cordero"/>
    <n v="16"/>
    <n v="86"/>
    <n v="1376"/>
    <n v="0"/>
    <n v="165.12"/>
    <n v="1541.12"/>
  </r>
  <r>
    <d v="2020-12-11T00:00:00"/>
    <s v="Dic"/>
    <n v="2020"/>
    <x v="9"/>
    <s v="Productos Lácteos"/>
    <s v="Gorgonzola Telino"/>
    <n v="72"/>
    <n v="90"/>
    <n v="6480"/>
    <n v="0.20000000298023199"/>
    <n v="777.6"/>
    <n v="7257.3999999970201"/>
  </r>
  <r>
    <d v="2020-12-11T00:00:00"/>
    <s v="Dic"/>
    <n v="2020"/>
    <x v="9"/>
    <s v="Bebidas"/>
    <s v="Rhönbräu Klosterbier"/>
    <n v="93"/>
    <n v="15"/>
    <n v="1395"/>
    <n v="0.20000000298023199"/>
    <n v="167.4"/>
    <n v="1562.1999999970199"/>
  </r>
  <r>
    <d v="2020-12-11T00:00:00"/>
    <s v="Dic"/>
    <n v="2020"/>
    <x v="14"/>
    <s v="Productos Lácteos"/>
    <s v="Gorgonzola Telino"/>
    <n v="9"/>
    <n v="14"/>
    <n v="126"/>
    <n v="0.25"/>
    <n v="15.12"/>
    <n v="140.87"/>
  </r>
  <r>
    <d v="2020-12-11T00:00:00"/>
    <s v="Dic"/>
    <n v="2020"/>
    <x v="14"/>
    <s v="Condimentos"/>
    <s v="Okra picante de Louisiana"/>
    <n v="23"/>
    <n v="51"/>
    <n v="1173"/>
    <n v="0"/>
    <n v="140.76"/>
    <n v="1313.76"/>
  </r>
  <r>
    <d v="2020-12-12T00:00:00"/>
    <s v="Dic"/>
    <n v="2020"/>
    <x v="84"/>
    <s v="Mariscos"/>
    <s v="Ikura"/>
    <n v="13"/>
    <n v="24"/>
    <n v="312"/>
    <n v="0"/>
    <n v="37.44"/>
    <n v="349.44"/>
  </r>
  <r>
    <d v="2020-12-12T00:00:00"/>
    <s v="Dic"/>
    <n v="2020"/>
    <x v="84"/>
    <s v="Bebidas"/>
    <s v="Lager de leñador riendo"/>
    <n v="60"/>
    <n v="54"/>
    <n v="3240"/>
    <n v="0"/>
    <n v="388.8"/>
    <n v="3628.8"/>
  </r>
  <r>
    <d v="2020-12-15T00:00:00"/>
    <s v="Dic"/>
    <n v="2020"/>
    <x v="9"/>
    <s v="Productos Lácteos"/>
    <s v="Gorgonzola Telino"/>
    <n v="15"/>
    <n v="10"/>
    <n v="150"/>
    <n v="5.0000000745058101E-2"/>
    <n v="18"/>
    <n v="167.94999999925494"/>
  </r>
  <r>
    <d v="2020-12-15T00:00:00"/>
    <s v="Dic"/>
    <n v="2020"/>
    <x v="9"/>
    <s v="Granos y Cereales"/>
    <s v="Fried Mee de hockey de Singapur"/>
    <n v="90"/>
    <n v="89"/>
    <n v="8010"/>
    <n v="5.0000000745058101E-2"/>
    <n v="961.19999999999993"/>
    <n v="8971.1499999992557"/>
  </r>
  <r>
    <d v="2020-12-15T00:00:00"/>
    <s v="Dic"/>
    <n v="2020"/>
    <x v="9"/>
    <s v="Mariscos"/>
    <s v="Arenque ahumado"/>
    <n v="78"/>
    <n v="17"/>
    <n v="1326"/>
    <n v="5.0000000745058101E-2"/>
    <n v="159.12"/>
    <n v="1485.0699999992548"/>
  </r>
  <r>
    <d v="2020-12-15T00:00:00"/>
    <s v="Dic"/>
    <n v="2020"/>
    <x v="9"/>
    <s v="Productos Alimenticios"/>
    <s v="Manjimup Dry Apples"/>
    <n v="62"/>
    <n v="26"/>
    <n v="1612"/>
    <n v="5.0000000745058101E-2"/>
    <n v="193.44"/>
    <n v="1805.389999999255"/>
  </r>
  <r>
    <d v="2020-12-15T00:00:00"/>
    <s v="Dic"/>
    <n v="2020"/>
    <x v="71"/>
    <s v="Granos y Cereales"/>
    <s v="Fried Mee de hockey de Singapur"/>
    <n v="62"/>
    <n v="13"/>
    <n v="806"/>
    <n v="0.20000000298023199"/>
    <n v="96.72"/>
    <n v="902.5199999970198"/>
  </r>
  <r>
    <d v="2020-12-16T00:00:00"/>
    <s v="Dic"/>
    <n v="2020"/>
    <x v="26"/>
    <s v="Mariscos"/>
    <s v="Sopa de almejas de Nueva Inglaterra de Jack"/>
    <n v="75"/>
    <n v="51"/>
    <n v="3825"/>
    <n v="0"/>
    <n v="459"/>
    <n v="4284"/>
  </r>
  <r>
    <d v="2020-12-16T00:00:00"/>
    <s v="Dic"/>
    <n v="2020"/>
    <x v="25"/>
    <s v="Dulces"/>
    <s v="Pavlova"/>
    <n v="50"/>
    <n v="88"/>
    <n v="4400"/>
    <n v="0"/>
    <n v="528"/>
    <n v="4928"/>
  </r>
  <r>
    <d v="2020-12-16T00:00:00"/>
    <s v="Dic"/>
    <n v="2020"/>
    <x v="25"/>
    <s v="Dulces"/>
    <s v="Tarta de azúcar"/>
    <n v="9"/>
    <n v="34"/>
    <n v="306"/>
    <n v="0"/>
    <n v="36.72"/>
    <n v="342.72"/>
  </r>
  <r>
    <d v="2020-12-16T00:00:00"/>
    <s v="Dic"/>
    <n v="2020"/>
    <x v="29"/>
    <s v="Bebidas"/>
    <s v="Outback Lager"/>
    <n v="28"/>
    <n v="67"/>
    <n v="1876"/>
    <n v="0"/>
    <n v="225.12"/>
    <n v="2101.12"/>
  </r>
  <r>
    <d v="2020-12-16T00:00:00"/>
    <s v="Dic"/>
    <n v="2020"/>
    <x v="29"/>
    <s v="Condimentos"/>
    <s v="Salsa verde original de Frankfurt"/>
    <n v="11"/>
    <n v="11"/>
    <n v="121"/>
    <n v="0"/>
    <n v="14.52"/>
    <n v="135.52000000000001"/>
  </r>
  <r>
    <d v="2020-12-17T00:00:00"/>
    <s v="Dic"/>
    <n v="2020"/>
    <x v="16"/>
    <s v="Carnes y Aves"/>
    <s v="Tourtière"/>
    <n v="72"/>
    <n v="11"/>
    <n v="792"/>
    <n v="0.20000000298023199"/>
    <n v="95.039999999999992"/>
    <n v="886.83999999701973"/>
  </r>
  <r>
    <d v="2020-12-17T00:00:00"/>
    <s v="Dic"/>
    <n v="2020"/>
    <x v="16"/>
    <s v="Granos y Cereales"/>
    <s v="Gnocchi di nonna Alice"/>
    <n v="1"/>
    <n v="44"/>
    <n v="44"/>
    <n v="0.20000000298023199"/>
    <n v="5.2799999999999994"/>
    <n v="49.079999997019769"/>
  </r>
  <r>
    <d v="2020-12-17T00:00:00"/>
    <s v="Dic"/>
    <n v="2020"/>
    <x v="16"/>
    <s v="Productos Alimenticios"/>
    <s v="Tofu de larga duración"/>
    <n v="74"/>
    <n v="53"/>
    <n v="3922"/>
    <n v="0"/>
    <n v="470.64"/>
    <n v="4392.6400000000003"/>
  </r>
  <r>
    <d v="2020-12-17T00:00:00"/>
    <s v="Dic"/>
    <n v="2020"/>
    <x v="79"/>
    <s v="Productos Lácteos"/>
    <s v="Gorgonzola Telino"/>
    <n v="79"/>
    <n v="86"/>
    <n v="6794"/>
    <n v="0"/>
    <n v="815.28"/>
    <n v="7609.28"/>
  </r>
  <r>
    <d v="2020-12-18T00:00:00"/>
    <s v="Dic"/>
    <n v="2020"/>
    <x v="2"/>
    <s v="Productos Lácteos"/>
    <s v="Gorgonzola Telino"/>
    <n v="45"/>
    <n v="100"/>
    <n v="4500"/>
    <n v="0"/>
    <n v="540"/>
    <n v="5040"/>
  </r>
  <r>
    <d v="2020-12-18T00:00:00"/>
    <s v="Dic"/>
    <n v="2020"/>
    <x v="2"/>
    <s v="Bebidas"/>
    <s v="Côte de Blaye"/>
    <n v="63"/>
    <n v="80"/>
    <n v="5040"/>
    <n v="0"/>
    <n v="604.79999999999995"/>
    <n v="5644.8"/>
  </r>
  <r>
    <d v="2020-12-18T00:00:00"/>
    <s v="Dic"/>
    <n v="2020"/>
    <x v="23"/>
    <s v="Mariscos"/>
    <s v="Arenque en escabeche"/>
    <n v="44"/>
    <n v="59"/>
    <n v="2596"/>
    <n v="0"/>
    <n v="311.52"/>
    <n v="2907.52"/>
  </r>
  <r>
    <d v="2020-12-18T00:00:00"/>
    <s v="Dic"/>
    <n v="2020"/>
    <x v="23"/>
    <s v="Bebidas"/>
    <s v="Chartreuse verde"/>
    <n v="86"/>
    <n v="82"/>
    <n v="7052"/>
    <n v="0.15000000596046401"/>
    <n v="846.24"/>
    <n v="7898.0899999940393"/>
  </r>
  <r>
    <d v="2020-12-18T00:00:00"/>
    <s v="Dic"/>
    <n v="2020"/>
    <x v="23"/>
    <s v="Productos Lácteos"/>
    <s v="Mozzarella di Giovanni"/>
    <n v="34"/>
    <n v="54"/>
    <n v="1836"/>
    <n v="0.15000000596046401"/>
    <n v="220.32"/>
    <n v="2056.1699999940397"/>
  </r>
  <r>
    <d v="2020-12-18T00:00:00"/>
    <s v="Dic"/>
    <n v="2020"/>
    <x v="18"/>
    <s v="Mariscos"/>
    <s v="Ikura"/>
    <n v="68"/>
    <n v="11"/>
    <n v="748"/>
    <n v="0"/>
    <n v="89.759999999999991"/>
    <n v="837.76"/>
  </r>
  <r>
    <d v="2020-12-18T00:00:00"/>
    <s v="Dic"/>
    <n v="2020"/>
    <x v="18"/>
    <s v="Bebidas"/>
    <s v="Rhönbräu Klosterbier"/>
    <n v="54"/>
    <n v="60"/>
    <n v="3240"/>
    <n v="0"/>
    <n v="388.8"/>
    <n v="3628.8"/>
  </r>
  <r>
    <d v="2020-12-19T00:00:00"/>
    <s v="Dic"/>
    <n v="2020"/>
    <x v="61"/>
    <s v="Condimentos"/>
    <s v="Salsa de arándanos Northwoods"/>
    <n v="53"/>
    <n v="90"/>
    <n v="4770"/>
    <n v="0.20000000298023199"/>
    <n v="572.4"/>
    <n v="5342.1999999970194"/>
  </r>
  <r>
    <d v="2020-12-19T00:00:00"/>
    <s v="Dic"/>
    <n v="2020"/>
    <x v="61"/>
    <s v="Mariscos"/>
    <s v="Nord-Ost Matjeshering"/>
    <n v="74"/>
    <n v="24"/>
    <n v="1776"/>
    <n v="0.20000000298023199"/>
    <n v="213.12"/>
    <n v="1988.9199999970197"/>
  </r>
  <r>
    <d v="2020-12-19T00:00:00"/>
    <s v="Dic"/>
    <n v="2020"/>
    <x v="61"/>
    <s v="Bebidas"/>
    <s v="Rhönbräu Klosterbier"/>
    <n v="54"/>
    <n v="48"/>
    <n v="2592"/>
    <n v="0.20000000298023199"/>
    <n v="311.03999999999996"/>
    <n v="2902.8399999970197"/>
  </r>
  <r>
    <d v="2020-12-19T00:00:00"/>
    <s v="Dic"/>
    <n v="2020"/>
    <x v="52"/>
    <s v="Bebidas"/>
    <s v="Chang"/>
    <n v="56"/>
    <n v="21"/>
    <n v="1176"/>
    <n v="5.0000000745058101E-2"/>
    <n v="141.12"/>
    <n v="1317.0699999992548"/>
  </r>
  <r>
    <d v="2020-12-19T00:00:00"/>
    <s v="Dic"/>
    <n v="2020"/>
    <x v="52"/>
    <s v="Carnes y Aves"/>
    <s v="Salchicha asada de Turingia"/>
    <n v="92"/>
    <n v="98"/>
    <n v="9016"/>
    <n v="5.0000000745058101E-2"/>
    <n v="1081.92"/>
    <n v="10097.869999999255"/>
  </r>
  <r>
    <d v="2020-12-22T00:00:00"/>
    <s v="Dic"/>
    <n v="2020"/>
    <x v="21"/>
    <s v="Dulces"/>
    <s v="Galletas de chocolate a la hora del té"/>
    <n v="81"/>
    <n v="15"/>
    <n v="1215"/>
    <n v="5.0000000745058101E-2"/>
    <n v="145.79999999999998"/>
    <n v="1360.7499999992549"/>
  </r>
  <r>
    <d v="2020-12-22T00:00:00"/>
    <s v="Dic"/>
    <n v="2020"/>
    <x v="21"/>
    <s v="Bebidas"/>
    <s v="Rhönbräu Klosterbier"/>
    <n v="99"/>
    <n v="11"/>
    <n v="1089"/>
    <n v="5.0000000745058101E-2"/>
    <n v="130.68"/>
    <n v="1219.629999999255"/>
  </r>
  <r>
    <d v="2020-12-22T00:00:00"/>
    <s v="Dic"/>
    <n v="2020"/>
    <x v="68"/>
    <s v="Mariscos"/>
    <s v="Tigres de Carnarvon"/>
    <n v="22"/>
    <n v="19"/>
    <n v="418"/>
    <n v="0"/>
    <n v="50.16"/>
    <n v="468.15999999999997"/>
  </r>
  <r>
    <d v="2020-12-22T00:00:00"/>
    <s v="Dic"/>
    <n v="2020"/>
    <x v="68"/>
    <s v="Bebidas"/>
    <s v="Steeleye Stout"/>
    <n v="9"/>
    <n v="33"/>
    <n v="297"/>
    <n v="0"/>
    <n v="35.64"/>
    <n v="332.64"/>
  </r>
  <r>
    <d v="2020-12-22T00:00:00"/>
    <s v="Dic"/>
    <n v="2020"/>
    <x v="68"/>
    <s v="Condimentos"/>
    <s v="Crema de verduras"/>
    <n v="51"/>
    <n v="80"/>
    <n v="4080"/>
    <n v="0"/>
    <n v="489.59999999999997"/>
    <n v="4569.6000000000004"/>
  </r>
  <r>
    <d v="2020-12-22T00:00:00"/>
    <s v="Dic"/>
    <n v="2020"/>
    <x v="68"/>
    <s v="Dulces"/>
    <s v="Pan largo escocés"/>
    <n v="92"/>
    <n v="97"/>
    <n v="8924"/>
    <n v="0"/>
    <n v="1070.8799999999999"/>
    <n v="9994.8799999999992"/>
  </r>
  <r>
    <d v="2020-12-22T00:00:00"/>
    <s v="Dic"/>
    <n v="2020"/>
    <x v="71"/>
    <s v="Productos Alimenticios"/>
    <s v="Peras secas orgánicas del tío Bob"/>
    <n v="15"/>
    <n v="68"/>
    <n v="1020"/>
    <n v="0.15000000596046401"/>
    <n v="122.39999999999999"/>
    <n v="1142.2499999940396"/>
  </r>
  <r>
    <d v="2020-12-22T00:00:00"/>
    <s v="Dic"/>
    <n v="2020"/>
    <x v="71"/>
    <s v="Granos y Cereales"/>
    <s v="Gnocchi di nonna Alice"/>
    <n v="24"/>
    <n v="50"/>
    <n v="1200"/>
    <n v="0.15000000596046401"/>
    <n v="144"/>
    <n v="1343.8499999940395"/>
  </r>
  <r>
    <d v="2020-12-23T00:00:00"/>
    <s v="Dic"/>
    <n v="2020"/>
    <x v="17"/>
    <s v="Carnes y Aves"/>
    <s v="Salchicha asada de Turingia"/>
    <n v="80"/>
    <n v="99"/>
    <n v="7920"/>
    <n v="5.0000000745058101E-2"/>
    <n v="950.4"/>
    <n v="8870.3499999992546"/>
  </r>
  <r>
    <d v="2020-12-23T00:00:00"/>
    <s v="Dic"/>
    <n v="2020"/>
    <x v="17"/>
    <s v="Mariscos"/>
    <s v="Sopa de almejas de Nueva Inglaterra de Jack"/>
    <n v="82"/>
    <n v="57"/>
    <n v="4674"/>
    <n v="5.0000000745058101E-2"/>
    <n v="560.88"/>
    <n v="5234.8299999992551"/>
  </r>
  <r>
    <d v="2020-12-23T00:00:00"/>
    <s v="Dic"/>
    <n v="2020"/>
    <x v="62"/>
    <s v="Bebidas"/>
    <s v="Chang"/>
    <n v="7"/>
    <n v="96"/>
    <n v="672"/>
    <n v="0"/>
    <n v="80.64"/>
    <n v="752.64"/>
  </r>
  <r>
    <d v="2020-12-23T00:00:00"/>
    <s v="Dic"/>
    <n v="2020"/>
    <x v="62"/>
    <s v="Carnes y Aves"/>
    <s v="Tourtière"/>
    <n v="75"/>
    <n v="87"/>
    <n v="6525"/>
    <n v="0"/>
    <n v="783"/>
    <n v="7308"/>
  </r>
  <r>
    <d v="2020-12-23T00:00:00"/>
    <s v="Dic"/>
    <n v="2020"/>
    <x v="62"/>
    <s v="Dulces"/>
    <s v="Pan largo escocés"/>
    <n v="42"/>
    <n v="81"/>
    <n v="3402"/>
    <n v="0"/>
    <n v="408.24"/>
    <n v="3810.24"/>
  </r>
  <r>
    <d v="2020-12-24T00:00:00"/>
    <s v="Dic"/>
    <n v="2020"/>
    <x v="54"/>
    <s v="Mariscos"/>
    <s v="Sopa de almejas de Nueva Inglaterra de Jack"/>
    <n v="82"/>
    <n v="10"/>
    <n v="820"/>
    <n v="0"/>
    <n v="98.399999999999991"/>
    <n v="918.4"/>
  </r>
  <r>
    <d v="2020-12-24T00:00:00"/>
    <s v="Dic"/>
    <n v="2020"/>
    <x v="54"/>
    <s v="Granos y Cereales"/>
    <s v="Filo Mix"/>
    <n v="12"/>
    <n v="72"/>
    <n v="864"/>
    <n v="0"/>
    <n v="103.67999999999999"/>
    <n v="967.68"/>
  </r>
  <r>
    <d v="2020-12-24T00:00:00"/>
    <s v="Dic"/>
    <n v="2020"/>
    <x v="12"/>
    <s v="Productos Alimenticios"/>
    <s v="tofu"/>
    <n v="17"/>
    <n v="31"/>
    <n v="527"/>
    <n v="0.20000000298023199"/>
    <n v="63.239999999999995"/>
    <n v="590.03999999701978"/>
  </r>
  <r>
    <d v="2020-12-24T00:00:00"/>
    <s v="Dic"/>
    <n v="2020"/>
    <x v="12"/>
    <s v="Carnes y Aves"/>
    <s v="Tourtière"/>
    <n v="34"/>
    <n v="79"/>
    <n v="2686"/>
    <n v="0.20000000298023199"/>
    <n v="322.32"/>
    <n v="3008.1199999970199"/>
  </r>
  <r>
    <d v="2020-12-24T00:00:00"/>
    <s v="Dic"/>
    <n v="2020"/>
    <x v="9"/>
    <s v="Dulces"/>
    <s v="Pavlova"/>
    <n v="55"/>
    <n v="47"/>
    <n v="2585"/>
    <n v="0"/>
    <n v="310.2"/>
    <n v="2895.2"/>
  </r>
  <r>
    <d v="2020-12-24T00:00:00"/>
    <s v="Dic"/>
    <n v="2020"/>
    <x v="9"/>
    <s v="Carnes y Aves"/>
    <s v="Alice Cordero"/>
    <n v="56"/>
    <n v="83"/>
    <n v="4648"/>
    <n v="0.25"/>
    <n v="557.76"/>
    <n v="5205.51"/>
  </r>
  <r>
    <d v="2020-12-25T00:00:00"/>
    <s v="Dic"/>
    <n v="2020"/>
    <x v="8"/>
    <s v="Dulces"/>
    <s v="Gummär Gummibärchen"/>
    <n v="95"/>
    <n v="24"/>
    <n v="2280"/>
    <n v="0.20000000298023199"/>
    <n v="273.59999999999997"/>
    <n v="2553.3999999970197"/>
  </r>
  <r>
    <d v="2020-12-25T00:00:00"/>
    <s v="Dic"/>
    <n v="2020"/>
    <x v="8"/>
    <s v="Condimentos"/>
    <s v="Gula Malacca"/>
    <n v="94"/>
    <n v="52"/>
    <n v="4888"/>
    <n v="0"/>
    <n v="586.55999999999995"/>
    <n v="5474.5599999999995"/>
  </r>
  <r>
    <d v="2020-12-25T00:00:00"/>
    <s v="Dic"/>
    <n v="2020"/>
    <x v="8"/>
    <s v="Granos y Cereales"/>
    <s v="El buen Semmelknödel de Wimmer"/>
    <n v="57"/>
    <n v="30"/>
    <n v="1710"/>
    <n v="0.20000000298023199"/>
    <n v="205.2"/>
    <n v="1914.9999999970198"/>
  </r>
  <r>
    <d v="2020-12-25T00:00:00"/>
    <s v="Dic"/>
    <n v="2020"/>
    <x v="8"/>
    <s v="Productos Lácteos"/>
    <s v="Gudbrandsdalsost"/>
    <n v="93"/>
    <n v="26"/>
    <n v="2418"/>
    <n v="0.20000000298023199"/>
    <n v="290.15999999999997"/>
    <n v="2707.9599999970196"/>
  </r>
  <r>
    <d v="2020-12-25T00:00:00"/>
    <s v="Dic"/>
    <n v="2020"/>
    <x v="56"/>
    <s v="Productos Lácteos"/>
    <s v="Queso Cabrales"/>
    <n v="65"/>
    <n v="78"/>
    <n v="5070"/>
    <n v="0"/>
    <n v="608.4"/>
    <n v="5678.4"/>
  </r>
  <r>
    <d v="2020-12-26T00:00:00"/>
    <s v="Dic"/>
    <n v="2020"/>
    <x v="41"/>
    <s v="Dulces"/>
    <s v="Tarta de azúcar"/>
    <n v="90"/>
    <n v="25"/>
    <n v="2250"/>
    <n v="0"/>
    <n v="270"/>
    <n v="2520"/>
  </r>
  <r>
    <d v="2020-12-26T00:00:00"/>
    <s v="Dic"/>
    <n v="2020"/>
    <x v="41"/>
    <s v="Productos Lácteos"/>
    <s v="Mozzarella di Giovanni"/>
    <n v="69"/>
    <n v="74"/>
    <n v="5106"/>
    <n v="0"/>
    <n v="612.72"/>
    <n v="5718.72"/>
  </r>
  <r>
    <d v="2020-12-26T00:00:00"/>
    <s v="Dic"/>
    <n v="2020"/>
    <x v="43"/>
    <s v="Mariscos"/>
    <s v="Konbu"/>
    <n v="58"/>
    <n v="97"/>
    <n v="5626"/>
    <n v="0.15000000596046401"/>
    <n v="675.12"/>
    <n v="6300.9699999940394"/>
  </r>
  <r>
    <d v="2020-12-26T00:00:00"/>
    <s v="Dic"/>
    <n v="2020"/>
    <x v="43"/>
    <s v="Bebidas"/>
    <s v="Guaraná Fantástica"/>
    <n v="8"/>
    <n v="60"/>
    <n v="480"/>
    <n v="0.15000000596046401"/>
    <n v="57.599999999999994"/>
    <n v="537.44999999403956"/>
  </r>
  <r>
    <d v="2020-12-26T00:00:00"/>
    <s v="Dic"/>
    <n v="2020"/>
    <x v="43"/>
    <s v="Productos Lácteos"/>
    <s v="Raclette Courdavault"/>
    <n v="44"/>
    <n v="62"/>
    <n v="2728"/>
    <n v="0"/>
    <n v="327.36"/>
    <n v="3055.36"/>
  </r>
  <r>
    <d v="2020-12-26T00:00:00"/>
    <s v="Dic"/>
    <n v="2020"/>
    <x v="55"/>
    <s v="Productos Lácteos"/>
    <s v="Queso Cabrales"/>
    <n v="62"/>
    <n v="63"/>
    <n v="3906"/>
    <n v="0.10000000149011599"/>
    <n v="468.71999999999997"/>
    <n v="4374.6199999985101"/>
  </r>
  <r>
    <d v="2020-12-26T00:00:00"/>
    <s v="Dic"/>
    <n v="2020"/>
    <x v="55"/>
    <s v="Productos Alimenticios"/>
    <s v="Manjimup Dry Apples"/>
    <n v="41"/>
    <n v="47"/>
    <n v="1927"/>
    <n v="0.10000000149011599"/>
    <n v="231.23999999999998"/>
    <n v="2158.1399999985097"/>
  </r>
  <r>
    <d v="2020-12-26T00:00:00"/>
    <s v="Dic"/>
    <n v="2020"/>
    <x v="55"/>
    <s v="Carnes y Aves"/>
    <s v="Tourtière"/>
    <n v="4"/>
    <n v="82"/>
    <n v="328"/>
    <n v="0.10000000149011599"/>
    <n v="39.36"/>
    <n v="367.2599999985099"/>
  </r>
  <r>
    <d v="2020-12-29T00:00:00"/>
    <s v="Dic"/>
    <n v="2020"/>
    <x v="45"/>
    <s v="Carnes y Aves"/>
    <s v="Alice Cordero"/>
    <n v="83"/>
    <n v="13"/>
    <n v="1079"/>
    <n v="0.25"/>
    <n v="129.47999999999999"/>
    <n v="1208.23"/>
  </r>
  <r>
    <d v="2020-12-29T00:00:00"/>
    <s v="Dic"/>
    <n v="2020"/>
    <x v="45"/>
    <s v="Carnes y Aves"/>
    <s v="Salchicha asada de Turingia"/>
    <n v="8"/>
    <n v="20"/>
    <n v="160"/>
    <n v="0.25"/>
    <n v="19.2"/>
    <n v="178.95"/>
  </r>
  <r>
    <d v="2020-12-29T00:00:00"/>
    <s v="Dic"/>
    <n v="2020"/>
    <x v="50"/>
    <s v="Mariscos"/>
    <s v="Nord-Ost Matjeshering"/>
    <n v="54"/>
    <n v="33"/>
    <n v="1782"/>
    <n v="0.25"/>
    <n v="213.84"/>
    <n v="1995.59"/>
  </r>
  <r>
    <d v="2020-12-29T00:00:00"/>
    <s v="Dic"/>
    <n v="2020"/>
    <x v="50"/>
    <s v="Productos Alimenticios"/>
    <s v="Manjimup Dry Apples"/>
    <n v="19"/>
    <n v="15"/>
    <n v="285"/>
    <n v="0.25"/>
    <n v="34.199999999999996"/>
    <n v="318.95"/>
  </r>
  <r>
    <d v="2020-12-29T00:00:00"/>
    <s v="Dic"/>
    <n v="2020"/>
    <x v="50"/>
    <s v="Carnes y Aves"/>
    <s v="Paté chino"/>
    <n v="75"/>
    <n v="37"/>
    <n v="2775"/>
    <n v="0.25"/>
    <n v="333"/>
    <n v="3107.75"/>
  </r>
  <r>
    <d v="2020-12-29T00:00:00"/>
    <s v="Dic"/>
    <n v="2020"/>
    <x v="50"/>
    <s v="Dulces"/>
    <s v="Tarta de azúcar"/>
    <n v="38"/>
    <n v="22"/>
    <n v="836"/>
    <n v="0.25"/>
    <n v="100.32"/>
    <n v="936.06999999999994"/>
  </r>
  <r>
    <d v="2020-12-30T00:00:00"/>
    <s v="Dic"/>
    <n v="2020"/>
    <x v="7"/>
    <s v="Dulces"/>
    <s v="Galletas de chocolate a la hora del té"/>
    <n v="46"/>
    <n v="97"/>
    <n v="4462"/>
    <n v="5.0000000745058101E-2"/>
    <n v="535.43999999999994"/>
    <n v="4997.3899999992545"/>
  </r>
  <r>
    <d v="2020-12-30T00:00:00"/>
    <s v="Dic"/>
    <n v="2020"/>
    <x v="7"/>
    <s v="Dulces"/>
    <s v="Crema de Turrón de Nueces NuNuCa"/>
    <n v="28"/>
    <n v="81"/>
    <n v="2268"/>
    <n v="5.0000000745058101E-2"/>
    <n v="272.15999999999997"/>
    <n v="2540.1099999992548"/>
  </r>
  <r>
    <d v="2020-12-30T00:00:00"/>
    <s v="Dic"/>
    <n v="2020"/>
    <x v="7"/>
    <s v="Productos Lácteos"/>
    <s v="Raclette Courdavault"/>
    <n v="40"/>
    <n v="49"/>
    <n v="1960"/>
    <n v="5.0000000745058101E-2"/>
    <n v="235.2"/>
    <n v="2195.1499999992548"/>
  </r>
  <r>
    <d v="2020-12-30T00:00:00"/>
    <s v="Dic"/>
    <n v="2020"/>
    <x v="55"/>
    <s v="Mariscos"/>
    <s v="Ikura"/>
    <n v="67"/>
    <n v="43"/>
    <n v="2881"/>
    <n v="0"/>
    <n v="345.71999999999997"/>
    <n v="3226.72"/>
  </r>
  <r>
    <d v="2020-12-30T00:00:00"/>
    <s v="Dic"/>
    <n v="2020"/>
    <x v="55"/>
    <s v="Productos Alimenticios"/>
    <s v="Chucrut Rössle"/>
    <n v="16"/>
    <n v="10"/>
    <n v="160"/>
    <n v="0"/>
    <n v="19.2"/>
    <n v="179.2"/>
  </r>
  <r>
    <d v="2020-12-30T00:00:00"/>
    <s v="Dic"/>
    <n v="2020"/>
    <x v="55"/>
    <s v="Dulces"/>
    <s v="Maxilaku"/>
    <n v="2"/>
    <n v="84"/>
    <n v="168"/>
    <n v="0.15000000596046401"/>
    <n v="20.16"/>
    <n v="188.00999999403953"/>
  </r>
  <r>
    <d v="2020-12-30T00:00:00"/>
    <s v="Dic"/>
    <n v="2020"/>
    <x v="39"/>
    <s v="Bebidas"/>
    <s v="Sasquatch Ale"/>
    <n v="89"/>
    <n v="68"/>
    <n v="6052"/>
    <n v="0"/>
    <n v="726.24"/>
    <n v="6778.24"/>
  </r>
  <r>
    <d v="2020-12-30T00:00:00"/>
    <s v="Dic"/>
    <n v="2020"/>
    <x v="39"/>
    <s v="Bebidas"/>
    <s v="Côte de Blaye"/>
    <n v="62"/>
    <n v="88"/>
    <n v="5456"/>
    <n v="0"/>
    <n v="654.72"/>
    <n v="6110.72"/>
  </r>
  <r>
    <d v="2020-12-31T00:00:00"/>
    <s v="Dic"/>
    <n v="2020"/>
    <x v="3"/>
    <s v="Bebidas"/>
    <s v="Chang"/>
    <n v="81"/>
    <n v="47"/>
    <n v="3807"/>
    <n v="0.25"/>
    <n v="456.84"/>
    <n v="4263.59"/>
  </r>
  <r>
    <d v="2020-12-31T00:00:00"/>
    <s v="Dic"/>
    <n v="2020"/>
    <x v="3"/>
    <s v="Condimentos"/>
    <s v="Salsa de pimiento picante de Luisiana"/>
    <n v="80"/>
    <n v="65"/>
    <n v="5200"/>
    <n v="0"/>
    <n v="624"/>
    <n v="5824"/>
  </r>
  <r>
    <d v="2020-12-31T00:00:00"/>
    <s v="Dic"/>
    <n v="2020"/>
    <x v="3"/>
    <s v="Productos Alimenticios"/>
    <s v="Tofu de larga duración"/>
    <n v="27"/>
    <n v="41"/>
    <n v="1107"/>
    <n v="0.25"/>
    <n v="132.84"/>
    <n v="1239.5899999999999"/>
  </r>
  <r>
    <d v="2020-12-31T00:00:00"/>
    <s v="Dic"/>
    <n v="2020"/>
    <x v="70"/>
    <s v="Mariscos"/>
    <s v="Carne de cangrejo de Boston"/>
    <n v="94"/>
    <n v="48"/>
    <n v="4512"/>
    <n v="0"/>
    <n v="541.43999999999994"/>
    <n v="5053.4399999999996"/>
  </r>
  <r>
    <d v="2021-01-01T00:00:00"/>
    <s v="Ene"/>
    <n v="2021"/>
    <x v="57"/>
    <s v="Carnes y Aves"/>
    <s v="Salchicha asada de Turingia"/>
    <n v="10"/>
    <n v="47"/>
    <n v="470"/>
    <n v="0"/>
    <n v="56.4"/>
    <n v="526.4"/>
  </r>
  <r>
    <d v="2021-01-01T00:00:00"/>
    <s v="Ene"/>
    <n v="2021"/>
    <x v="57"/>
    <s v="Bebidas"/>
    <s v="Steeleye Stout"/>
    <n v="76"/>
    <n v="30"/>
    <n v="2280"/>
    <n v="0"/>
    <n v="273.59999999999997"/>
    <n v="2553.6"/>
  </r>
  <r>
    <d v="2021-01-01T00:00:00"/>
    <s v="Ene"/>
    <n v="2021"/>
    <x v="57"/>
    <s v="Dulces"/>
    <s v="Maxilaku"/>
    <n v="85"/>
    <n v="61"/>
    <n v="5185"/>
    <n v="0"/>
    <n v="622.19999999999993"/>
    <n v="5807.2"/>
  </r>
  <r>
    <d v="2021-01-01T00:00:00"/>
    <s v="Ene"/>
    <n v="2021"/>
    <x v="13"/>
    <s v="Mariscos"/>
    <s v="Nord-Ost Matjeshering"/>
    <n v="5"/>
    <n v="94"/>
    <n v="470"/>
    <n v="0"/>
    <n v="56.4"/>
    <n v="526.4"/>
  </r>
  <r>
    <d v="2021-01-01T00:00:00"/>
    <s v="Ene"/>
    <n v="2021"/>
    <x v="13"/>
    <s v="Granos y Cereales"/>
    <s v="Gnocchi di nonna Alice"/>
    <n v="73"/>
    <n v="16"/>
    <n v="1168"/>
    <n v="0"/>
    <n v="140.16"/>
    <n v="1308.1600000000001"/>
  </r>
  <r>
    <d v="2021-01-01T00:00:00"/>
    <s v="Ene"/>
    <n v="2021"/>
    <x v="13"/>
    <s v="Condimentos"/>
    <s v="Salsa de pimiento picante de Luisiana"/>
    <n v="100"/>
    <n v="91"/>
    <n v="9100"/>
    <n v="0"/>
    <n v="1092"/>
    <n v="10192"/>
  </r>
  <r>
    <d v="2021-01-01T00:00:00"/>
    <s v="Ene"/>
    <n v="2021"/>
    <x v="13"/>
    <s v="Productos Lácteos"/>
    <s v="Queso crema"/>
    <n v="91"/>
    <n v="100"/>
    <n v="9100"/>
    <n v="0"/>
    <n v="1092"/>
    <n v="10192"/>
  </r>
  <r>
    <d v="2021-01-02T00:00:00"/>
    <s v="Ene"/>
    <n v="2021"/>
    <x v="9"/>
    <s v="Granos y Cereales"/>
    <s v="Pan plano"/>
    <n v="76"/>
    <n v="58"/>
    <n v="4408"/>
    <n v="0"/>
    <n v="528.96"/>
    <n v="4936.96"/>
  </r>
  <r>
    <d v="2021-01-02T00:00:00"/>
    <s v="Ene"/>
    <n v="2021"/>
    <x v="9"/>
    <s v="Condimentos"/>
    <s v="Crema de verduras"/>
    <n v="44"/>
    <n v="90"/>
    <n v="3960"/>
    <n v="0"/>
    <n v="475.2"/>
    <n v="4435.2"/>
  </r>
  <r>
    <d v="2021-01-03T00:00:00"/>
    <s v="Ene"/>
    <n v="2021"/>
    <x v="9"/>
    <s v="Dulces"/>
    <s v="Pavlova"/>
    <n v="59"/>
    <n v="47"/>
    <n v="2773"/>
    <n v="0.15000000596046401"/>
    <n v="332.76"/>
    <n v="3105.6099999940398"/>
  </r>
  <r>
    <d v="2021-01-03T00:00:00"/>
    <s v="Ene"/>
    <n v="2021"/>
    <x v="9"/>
    <s v="Dulces"/>
    <s v="Chocolate"/>
    <n v="60"/>
    <n v="67"/>
    <n v="4020"/>
    <n v="0.15000000596046401"/>
    <n v="482.4"/>
    <n v="4502.2499999940392"/>
  </r>
  <r>
    <d v="2021-01-03T00:00:00"/>
    <s v="Ene"/>
    <n v="2021"/>
    <x v="23"/>
    <s v="Dulces"/>
    <s v="Gummär Gummibärchen"/>
    <n v="48"/>
    <n v="93"/>
    <n v="4464"/>
    <n v="5.0000000745058101E-2"/>
    <n v="535.67999999999995"/>
    <n v="4999.6299999992552"/>
  </r>
  <r>
    <d v="2021-01-03T00:00:00"/>
    <s v="Ene"/>
    <n v="2021"/>
    <x v="23"/>
    <s v="Granos y Cereales"/>
    <s v="Fried Mee de hockey de Singapur"/>
    <n v="83"/>
    <n v="56"/>
    <n v="4648"/>
    <n v="5.0000000745058101E-2"/>
    <n v="557.76"/>
    <n v="5205.7099999992552"/>
  </r>
  <r>
    <d v="2021-01-03T00:00:00"/>
    <s v="Ene"/>
    <n v="2021"/>
    <x v="23"/>
    <s v="Dulces"/>
    <s v="Maxilaku"/>
    <n v="50"/>
    <n v="54"/>
    <n v="2700"/>
    <n v="5.0000000745058101E-2"/>
    <n v="324"/>
    <n v="3023.9499999992549"/>
  </r>
  <r>
    <d v="2021-01-06T00:00:00"/>
    <s v="Ene"/>
    <n v="2021"/>
    <x v="66"/>
    <s v="Condimentos"/>
    <s v="Jarabe de anís"/>
    <n v="88"/>
    <n v="37"/>
    <n v="3256"/>
    <n v="0"/>
    <n v="390.71999999999997"/>
    <n v="3646.72"/>
  </r>
  <r>
    <d v="2021-01-07T00:00:00"/>
    <s v="Ene"/>
    <n v="2021"/>
    <x v="61"/>
    <s v="Bebidas"/>
    <s v="Chai"/>
    <n v="40"/>
    <n v="33"/>
    <n v="1320"/>
    <n v="0"/>
    <n v="158.4"/>
    <n v="1478.4"/>
  </r>
  <r>
    <d v="2021-01-07T00:00:00"/>
    <s v="Ene"/>
    <n v="2021"/>
    <x v="61"/>
    <s v="Dulces"/>
    <s v="Scones de Sir Rodney"/>
    <n v="28"/>
    <n v="45"/>
    <n v="1260"/>
    <n v="0.10000000149011599"/>
    <n v="151.19999999999999"/>
    <n v="1411.0999999985099"/>
  </r>
  <r>
    <d v="2021-01-07T00:00:00"/>
    <s v="Ene"/>
    <n v="2021"/>
    <x v="61"/>
    <s v="Productos Alimenticios"/>
    <s v="Chucrut Rössle"/>
    <n v="42"/>
    <n v="41"/>
    <n v="1722"/>
    <n v="0.10000000149011599"/>
    <n v="206.64"/>
    <n v="1928.5399999985098"/>
  </r>
  <r>
    <d v="2021-01-07T00:00:00"/>
    <s v="Ene"/>
    <n v="2021"/>
    <x v="61"/>
    <s v="Mariscos"/>
    <s v="Arenque en escabeche"/>
    <n v="36"/>
    <n v="12"/>
    <n v="432"/>
    <n v="0.10000000149011599"/>
    <n v="51.839999999999996"/>
    <n v="483.73999999850986"/>
  </r>
  <r>
    <d v="2021-01-07T00:00:00"/>
    <s v="Ene"/>
    <n v="2021"/>
    <x v="61"/>
    <s v="Mariscos"/>
    <s v="Carne de cangrejo de Boston"/>
    <n v="46"/>
    <n v="48"/>
    <n v="2208"/>
    <n v="0.10000000149011599"/>
    <n v="264.95999999999998"/>
    <n v="2472.8599999985099"/>
  </r>
  <r>
    <d v="2021-01-07T00:00:00"/>
    <s v="Ene"/>
    <n v="2021"/>
    <x v="67"/>
    <s v="Productos Lácteos"/>
    <s v="Queso Cabrales"/>
    <n v="56"/>
    <n v="56"/>
    <n v="3136"/>
    <n v="0"/>
    <n v="376.32"/>
    <n v="3512.32"/>
  </r>
  <r>
    <d v="2021-01-07T00:00:00"/>
    <s v="Ene"/>
    <n v="2021"/>
    <x v="67"/>
    <s v="Productos Lácteos"/>
    <s v="Gudbrandsdalsost"/>
    <n v="96"/>
    <n v="25"/>
    <n v="2400"/>
    <n v="0"/>
    <n v="288"/>
    <n v="2688"/>
  </r>
  <r>
    <d v="2021-01-07T00:00:00"/>
    <s v="Ene"/>
    <n v="2021"/>
    <x v="67"/>
    <s v="Productos Lácteos"/>
    <s v="Queso crema"/>
    <n v="1"/>
    <n v="56"/>
    <n v="56"/>
    <n v="0"/>
    <n v="6.72"/>
    <n v="62.72"/>
  </r>
  <r>
    <d v="2021-01-08T00:00:00"/>
    <s v="Ene"/>
    <n v="2021"/>
    <x v="68"/>
    <s v="Mariscos"/>
    <s v="Gravad laxo"/>
    <n v="28"/>
    <n v="16"/>
    <n v="448"/>
    <n v="0"/>
    <n v="53.76"/>
    <n v="501.76"/>
  </r>
  <r>
    <d v="2021-01-08T00:00:00"/>
    <s v="Ene"/>
    <n v="2021"/>
    <x v="68"/>
    <s v="Carnes y Aves"/>
    <s v="Tourtière"/>
    <n v="74"/>
    <n v="82"/>
    <n v="6068"/>
    <n v="0"/>
    <n v="728.16"/>
    <n v="6796.16"/>
  </r>
  <r>
    <d v="2021-01-08T00:00:00"/>
    <s v="Ene"/>
    <n v="2021"/>
    <x v="68"/>
    <s v="Dulces"/>
    <s v="Tarta de azúcar"/>
    <n v="98"/>
    <n v="10"/>
    <n v="980"/>
    <n v="0"/>
    <n v="117.6"/>
    <n v="1097.5999999999999"/>
  </r>
  <r>
    <d v="2021-01-09T00:00:00"/>
    <s v="Ene"/>
    <n v="2021"/>
    <x v="69"/>
    <s v="Productos Alimenticios"/>
    <s v="tofu"/>
    <n v="39"/>
    <n v="79"/>
    <n v="3081"/>
    <n v="0"/>
    <n v="369.71999999999997"/>
    <n v="3450.72"/>
  </r>
  <r>
    <d v="2021-01-09T00:00:00"/>
    <s v="Ene"/>
    <n v="2021"/>
    <x v="69"/>
    <s v="Dulces"/>
    <s v="Scones de Sir Rodney"/>
    <n v="97"/>
    <n v="61"/>
    <n v="5917"/>
    <n v="0"/>
    <n v="710.04"/>
    <n v="6627.04"/>
  </r>
  <r>
    <d v="2021-01-10T00:00:00"/>
    <s v="Ene"/>
    <n v="2021"/>
    <x v="65"/>
    <s v="Productos Lácteos"/>
    <s v="Queso de cabra"/>
    <n v="44"/>
    <n v="39"/>
    <n v="1716"/>
    <n v="0"/>
    <n v="205.92"/>
    <n v="1921.92"/>
  </r>
  <r>
    <d v="2021-01-10T00:00:00"/>
    <s v="Ene"/>
    <n v="2021"/>
    <x v="65"/>
    <s v="Productos Lácteos"/>
    <s v="Raclette Courdavault"/>
    <n v="93"/>
    <n v="49"/>
    <n v="4557"/>
    <n v="0"/>
    <n v="546.84"/>
    <n v="5103.84"/>
  </r>
  <r>
    <d v="2021-01-10T00:00:00"/>
    <s v="Ene"/>
    <n v="2021"/>
    <x v="65"/>
    <s v="Mariscos"/>
    <s v="Sopa de almejas de Nueva Inglaterra de Jack"/>
    <n v="61"/>
    <n v="50"/>
    <n v="3050"/>
    <n v="0.20000000298023199"/>
    <n v="366"/>
    <n v="3415.7999999970198"/>
  </r>
  <r>
    <d v="2021-01-10T00:00:00"/>
    <s v="Ene"/>
    <n v="2021"/>
    <x v="65"/>
    <s v="Condimentos"/>
    <s v="Gula Malacca"/>
    <n v="85"/>
    <n v="52"/>
    <n v="4420"/>
    <n v="0.20000000298023199"/>
    <n v="530.4"/>
    <n v="4950.1999999970194"/>
  </r>
  <r>
    <d v="2021-01-10T00:00:00"/>
    <s v="Ene"/>
    <n v="2021"/>
    <x v="65"/>
    <s v="Productos Lácteos"/>
    <s v="Raclette Courdavault"/>
    <n v="62"/>
    <n v="59"/>
    <n v="3658"/>
    <n v="0.20000000298023199"/>
    <n v="438.96"/>
    <n v="4096.7599999970198"/>
  </r>
  <r>
    <d v="2021-01-13T00:00:00"/>
    <s v="Ene"/>
    <n v="2021"/>
    <x v="16"/>
    <s v="Productos Alimenticios"/>
    <s v="tofu"/>
    <n v="97"/>
    <n v="25"/>
    <n v="2425"/>
    <n v="0.10000000149011599"/>
    <n v="291"/>
    <n v="2715.8999999985099"/>
  </r>
  <r>
    <d v="2021-01-14T00:00:00"/>
    <s v="Ene"/>
    <n v="2021"/>
    <x v="52"/>
    <s v="Bebidas"/>
    <s v="Chai"/>
    <n v="27"/>
    <n v="65"/>
    <n v="1755"/>
    <n v="0"/>
    <n v="210.6"/>
    <n v="1965.6"/>
  </r>
  <r>
    <d v="2021-01-14T00:00:00"/>
    <s v="Ene"/>
    <n v="2021"/>
    <x v="52"/>
    <s v="Dulces"/>
    <s v="Tarta de azúcar"/>
    <n v="89"/>
    <n v="16"/>
    <n v="1424"/>
    <n v="0"/>
    <n v="170.88"/>
    <n v="1594.88"/>
  </r>
  <r>
    <d v="2021-01-14T00:00:00"/>
    <s v="Ene"/>
    <n v="2021"/>
    <x v="52"/>
    <s v="Bebidas"/>
    <s v="Lakkalikööri"/>
    <n v="37"/>
    <n v="83"/>
    <n v="3071"/>
    <n v="0"/>
    <n v="368.52"/>
    <n v="3439.52"/>
  </r>
  <r>
    <d v="2021-01-14T00:00:00"/>
    <s v="Ene"/>
    <n v="2021"/>
    <x v="51"/>
    <s v="Dulces"/>
    <s v="Galletas de chocolate a la hora del té"/>
    <n v="98"/>
    <n v="16"/>
    <n v="1568"/>
    <n v="5.0000000745058101E-2"/>
    <n v="188.16"/>
    <n v="1756.109999999255"/>
  </r>
  <r>
    <d v="2021-01-14T00:00:00"/>
    <s v="Ene"/>
    <n v="2021"/>
    <x v="51"/>
    <s v="Productos Lácteos"/>
    <s v="Queso de cabra"/>
    <n v="5"/>
    <n v="17"/>
    <n v="85"/>
    <n v="0"/>
    <n v="10.199999999999999"/>
    <n v="95.2"/>
  </r>
  <r>
    <d v="2021-01-15T00:00:00"/>
    <s v="Ene"/>
    <n v="2021"/>
    <x v="63"/>
    <s v="Carnes y Aves"/>
    <s v="Alice Cordero"/>
    <n v="30"/>
    <n v="50"/>
    <n v="1500"/>
    <n v="0"/>
    <n v="180"/>
    <n v="1680"/>
  </r>
  <r>
    <d v="2021-01-15T00:00:00"/>
    <s v="Ene"/>
    <n v="2021"/>
    <x v="63"/>
    <s v="Productos Lácteos"/>
    <s v="Queso de cabra"/>
    <n v="9"/>
    <n v="50"/>
    <n v="450"/>
    <n v="0"/>
    <n v="54"/>
    <n v="504"/>
  </r>
  <r>
    <d v="2021-01-16T00:00:00"/>
    <s v="Ene"/>
    <n v="2021"/>
    <x v="16"/>
    <s v="Dulces"/>
    <s v="Galletas de chocolate a la hora del té"/>
    <n v="36"/>
    <n v="97"/>
    <n v="3492"/>
    <n v="0"/>
    <n v="419.03999999999996"/>
    <n v="3911.04"/>
  </r>
  <r>
    <d v="2021-01-16T00:00:00"/>
    <s v="Ene"/>
    <n v="2021"/>
    <x v="16"/>
    <s v="Carnes y Aves"/>
    <s v="Empanadas de Perth"/>
    <n v="45"/>
    <n v="10"/>
    <n v="450"/>
    <n v="0"/>
    <n v="54"/>
    <n v="504"/>
  </r>
  <r>
    <d v="2021-01-16T00:00:00"/>
    <s v="Ene"/>
    <n v="2021"/>
    <x v="16"/>
    <s v="Granos y Cereales"/>
    <s v="Ravioli Angelo"/>
    <n v="59"/>
    <n v="31"/>
    <n v="1829"/>
    <n v="0"/>
    <n v="219.48"/>
    <n v="2048.48"/>
  </r>
  <r>
    <d v="2021-01-16T00:00:00"/>
    <s v="Ene"/>
    <n v="2021"/>
    <x v="50"/>
    <s v="Bebidas"/>
    <s v="Côte de Blaye"/>
    <n v="92"/>
    <n v="100"/>
    <n v="9200"/>
    <n v="0"/>
    <n v="1104"/>
    <n v="10304"/>
  </r>
  <r>
    <d v="2021-01-16T00:00:00"/>
    <s v="Ene"/>
    <n v="2021"/>
    <x v="50"/>
    <s v="Mariscos"/>
    <s v="arenque"/>
    <n v="61"/>
    <n v="97"/>
    <n v="5917"/>
    <n v="0.25"/>
    <n v="710.04"/>
    <n v="6626.79"/>
  </r>
  <r>
    <d v="2021-01-16T00:00:00"/>
    <s v="Ene"/>
    <n v="2021"/>
    <x v="50"/>
    <s v="Dulces"/>
    <s v="Pan largo escocés"/>
    <n v="98"/>
    <n v="62"/>
    <n v="6076"/>
    <n v="0.25"/>
    <n v="729.12"/>
    <n v="6804.87"/>
  </r>
  <r>
    <d v="2021-01-16T00:00:00"/>
    <s v="Ene"/>
    <n v="2021"/>
    <x v="50"/>
    <s v="Condimentos"/>
    <s v="Salsa verde original de Frankfurt"/>
    <n v="11"/>
    <n v="68"/>
    <n v="748"/>
    <n v="0"/>
    <n v="89.759999999999991"/>
    <n v="837.76"/>
  </r>
  <r>
    <d v="2021-01-17T00:00:00"/>
    <s v="Ene"/>
    <n v="2021"/>
    <x v="21"/>
    <s v="Bebidas"/>
    <s v="Chang"/>
    <n v="34"/>
    <n v="12"/>
    <n v="408"/>
    <n v="0"/>
    <n v="48.96"/>
    <n v="456.96"/>
  </r>
  <r>
    <d v="2021-01-17T00:00:00"/>
    <s v="Ene"/>
    <n v="2021"/>
    <x v="21"/>
    <s v="Dulces"/>
    <s v="Tortas Zaanse"/>
    <n v="56"/>
    <n v="74"/>
    <n v="4144"/>
    <n v="0"/>
    <n v="497.28"/>
    <n v="4641.28"/>
  </r>
  <r>
    <d v="2021-01-17T00:00:00"/>
    <s v="Ene"/>
    <n v="2021"/>
    <x v="21"/>
    <s v="Condimentos"/>
    <s v="miel de maple"/>
    <n v="40"/>
    <n v="88"/>
    <n v="3520"/>
    <n v="0"/>
    <n v="422.4"/>
    <n v="3942.4"/>
  </r>
  <r>
    <d v="2021-01-17T00:00:00"/>
    <s v="Ene"/>
    <n v="2021"/>
    <x v="21"/>
    <s v="Productos Alimenticios"/>
    <s v="Tofu de larga duración"/>
    <n v="88"/>
    <n v="54"/>
    <n v="4752"/>
    <n v="0"/>
    <n v="570.24"/>
    <n v="5322.24"/>
  </r>
  <r>
    <d v="2021-01-20T00:00:00"/>
    <s v="Ene"/>
    <n v="2021"/>
    <x v="6"/>
    <s v="Productos Lácteos"/>
    <s v="Pierrot camembert"/>
    <n v="20"/>
    <n v="23"/>
    <n v="460"/>
    <n v="5.0000000745058101E-2"/>
    <n v="55.199999999999996"/>
    <n v="515.14999999925499"/>
  </r>
  <r>
    <d v="2021-01-20T00:00:00"/>
    <s v="Ene"/>
    <n v="2021"/>
    <x v="6"/>
    <s v="Productos Lácteos"/>
    <s v="Gudbrandsdalsost"/>
    <n v="98"/>
    <n v="86"/>
    <n v="8428"/>
    <n v="5.0000000745058101E-2"/>
    <n v="1011.36"/>
    <n v="9439.3099999992555"/>
  </r>
  <r>
    <d v="2021-01-21T00:00:00"/>
    <s v="Ene"/>
    <n v="2021"/>
    <x v="7"/>
    <s v="Carnes y Aves"/>
    <s v="Mishi Kobe Niku"/>
    <n v="74"/>
    <n v="13"/>
    <n v="962"/>
    <n v="0.10000000149011599"/>
    <n v="115.44"/>
    <n v="1077.3399999985099"/>
  </r>
  <r>
    <d v="2021-01-21T00:00:00"/>
    <s v="Ene"/>
    <n v="2021"/>
    <x v="7"/>
    <s v="Mariscos"/>
    <s v="Konbu"/>
    <n v="21"/>
    <n v="64"/>
    <n v="1344"/>
    <n v="0.10000000149011599"/>
    <n v="161.28"/>
    <n v="1505.1799999985099"/>
  </r>
  <r>
    <d v="2021-01-21T00:00:00"/>
    <s v="Ene"/>
    <n v="2021"/>
    <x v="7"/>
    <s v="Bebidas"/>
    <s v="Outback Lager"/>
    <n v="21"/>
    <n v="99"/>
    <n v="2079"/>
    <n v="0.10000000149011599"/>
    <n v="249.48"/>
    <n v="2328.3799999985099"/>
  </r>
  <r>
    <d v="2021-01-21T00:00:00"/>
    <s v="Ene"/>
    <n v="2021"/>
    <x v="7"/>
    <s v="Mariscos"/>
    <s v="Caviar rojo"/>
    <n v="25"/>
    <n v="36"/>
    <n v="900"/>
    <n v="0.10000000149011599"/>
    <n v="108"/>
    <n v="1007.8999999985099"/>
  </r>
  <r>
    <d v="2021-01-21T00:00:00"/>
    <s v="Ene"/>
    <n v="2021"/>
    <x v="12"/>
    <s v="Dulces"/>
    <s v="Galletas de chocolate a la hora del té"/>
    <n v="27"/>
    <n v="28"/>
    <n v="756"/>
    <n v="0.15000000596046401"/>
    <n v="90.72"/>
    <n v="846.56999999403956"/>
  </r>
  <r>
    <d v="2021-01-21T00:00:00"/>
    <s v="Ene"/>
    <n v="2021"/>
    <x v="12"/>
    <s v="Dulces"/>
    <s v="Gummär Gummibärchen"/>
    <n v="98"/>
    <n v="43"/>
    <n v="4214"/>
    <n v="0"/>
    <n v="505.68"/>
    <n v="4719.68"/>
  </r>
  <r>
    <d v="2021-01-21T00:00:00"/>
    <s v="Ene"/>
    <n v="2021"/>
    <x v="12"/>
    <s v="Carnes y Aves"/>
    <s v="Empanadas de Perth"/>
    <n v="99"/>
    <n v="82"/>
    <n v="8118"/>
    <n v="0.15000000596046401"/>
    <n v="974.16"/>
    <n v="9092.0099999940394"/>
  </r>
  <r>
    <d v="2021-01-21T00:00:00"/>
    <s v="Ene"/>
    <n v="2021"/>
    <x v="12"/>
    <s v="Condimentos"/>
    <s v="Salsa verde original de Frankfurt"/>
    <n v="96"/>
    <n v="84"/>
    <n v="8064"/>
    <n v="0.15000000596046401"/>
    <n v="967.68"/>
    <n v="9031.5299999940398"/>
  </r>
  <r>
    <d v="2021-01-22T00:00:00"/>
    <s v="Ene"/>
    <n v="2021"/>
    <x v="70"/>
    <s v="Dulces"/>
    <s v="Gummär Gummibärchen"/>
    <n v="72"/>
    <n v="57"/>
    <n v="4104"/>
    <n v="0"/>
    <n v="492.47999999999996"/>
    <n v="4596.4799999999996"/>
  </r>
  <r>
    <d v="2021-01-23T00:00:00"/>
    <s v="Ene"/>
    <n v="2021"/>
    <x v="71"/>
    <s v="Productos Lácteos"/>
    <s v="Gorgonzola Telino"/>
    <n v="64"/>
    <n v="76"/>
    <n v="4864"/>
    <n v="0"/>
    <n v="583.67999999999995"/>
    <n v="5447.68"/>
  </r>
  <r>
    <d v="2021-01-23T00:00:00"/>
    <s v="Ene"/>
    <n v="2021"/>
    <x v="71"/>
    <s v="Productos Lácteos"/>
    <s v="Raclette Courdavault"/>
    <n v="32"/>
    <n v="49"/>
    <n v="1568"/>
    <n v="0"/>
    <n v="188.16"/>
    <n v="1756.16"/>
  </r>
  <r>
    <d v="2021-01-23T00:00:00"/>
    <s v="Ene"/>
    <n v="2021"/>
    <x v="48"/>
    <s v="Bebidas"/>
    <s v="Steeleye Stout"/>
    <n v="71"/>
    <n v="63"/>
    <n v="4473"/>
    <n v="0.20000000298023199"/>
    <n v="536.76"/>
    <n v="5009.55999999702"/>
  </r>
  <r>
    <d v="2021-01-23T00:00:00"/>
    <s v="Ene"/>
    <n v="2021"/>
    <x v="48"/>
    <s v="Bebidas"/>
    <s v="Côte de Blaye"/>
    <n v="87"/>
    <n v="100"/>
    <n v="8700"/>
    <n v="0.20000000298023199"/>
    <n v="1044"/>
    <n v="9743.7999999970198"/>
  </r>
  <r>
    <d v="2021-01-23T00:00:00"/>
    <s v="Ene"/>
    <n v="2021"/>
    <x v="48"/>
    <s v="Dulces"/>
    <s v="Pan largo escocés"/>
    <n v="33"/>
    <n v="95"/>
    <n v="3135"/>
    <n v="0.20000000298023199"/>
    <n v="376.2"/>
    <n v="3510.9999999970196"/>
  </r>
  <r>
    <d v="2021-01-24T00:00:00"/>
    <s v="Ene"/>
    <n v="2021"/>
    <x v="52"/>
    <s v="Carnes y Aves"/>
    <s v="Paté chino"/>
    <n v="29"/>
    <n v="12"/>
    <n v="348"/>
    <n v="0.25"/>
    <n v="41.76"/>
    <n v="389.51"/>
  </r>
  <r>
    <d v="2021-01-24T00:00:00"/>
    <s v="Ene"/>
    <n v="2021"/>
    <x v="52"/>
    <s v="Bebidas"/>
    <s v="Lakkalikööri"/>
    <n v="47"/>
    <n v="57"/>
    <n v="2679"/>
    <n v="0.25"/>
    <n v="321.47999999999996"/>
    <n v="3000.23"/>
  </r>
  <r>
    <d v="2021-01-27T00:00:00"/>
    <s v="Ene"/>
    <n v="2021"/>
    <x v="59"/>
    <s v="Granos y Cereales"/>
    <s v="Gnocchi di nonna Alice"/>
    <n v="28"/>
    <n v="10"/>
    <n v="280"/>
    <n v="0"/>
    <n v="33.6"/>
    <n v="313.60000000000002"/>
  </r>
  <r>
    <d v="2021-01-27T00:00:00"/>
    <s v="Ene"/>
    <n v="2021"/>
    <x v="59"/>
    <s v="Granos y Cereales"/>
    <s v="El buen Semmelknödel de Wimmer"/>
    <n v="46"/>
    <n v="41"/>
    <n v="1886"/>
    <n v="0"/>
    <n v="226.32"/>
    <n v="2112.3200000000002"/>
  </r>
  <r>
    <d v="2021-01-27T00:00:00"/>
    <s v="Ene"/>
    <n v="2021"/>
    <x v="53"/>
    <s v="Productos Alimenticios"/>
    <s v="tofu"/>
    <n v="80"/>
    <n v="72"/>
    <n v="5760"/>
    <n v="0"/>
    <n v="691.19999999999993"/>
    <n v="6451.2"/>
  </r>
  <r>
    <d v="2021-01-28T00:00:00"/>
    <s v="Ene"/>
    <n v="2021"/>
    <x v="31"/>
    <s v="Mariscos"/>
    <s v="arenque"/>
    <n v="13"/>
    <n v="36"/>
    <n v="468"/>
    <n v="0"/>
    <n v="56.16"/>
    <n v="524.16"/>
  </r>
  <r>
    <d v="2021-01-29T00:00:00"/>
    <s v="Ene"/>
    <n v="2021"/>
    <x v="34"/>
    <s v="Dulces"/>
    <s v="Valkoinen suklaa"/>
    <n v="78"/>
    <n v="69"/>
    <n v="5382"/>
    <n v="0"/>
    <n v="645.84"/>
    <n v="6027.84"/>
  </r>
  <r>
    <d v="2021-01-29T00:00:00"/>
    <s v="Ene"/>
    <n v="2021"/>
    <x v="34"/>
    <s v="Condimentos"/>
    <s v="Crema de verduras"/>
    <n v="36"/>
    <n v="37"/>
    <n v="1332"/>
    <n v="0.25"/>
    <n v="159.84"/>
    <n v="1491.59"/>
  </r>
  <r>
    <d v="2021-01-30T00:00:00"/>
    <s v="Ene"/>
    <n v="2021"/>
    <x v="9"/>
    <s v="Carnes y Aves"/>
    <s v="Alice Cordero"/>
    <n v="100"/>
    <n v="58"/>
    <n v="5800"/>
    <n v="0.20000000298023199"/>
    <n v="696"/>
    <n v="6495.7999999970198"/>
  </r>
  <r>
    <d v="2021-01-30T00:00:00"/>
    <s v="Ene"/>
    <n v="2021"/>
    <x v="9"/>
    <s v="Dulces"/>
    <s v="Scones de Sir Rodney"/>
    <n v="15"/>
    <n v="68"/>
    <n v="1020"/>
    <n v="0"/>
    <n v="122.39999999999999"/>
    <n v="1142.4000000000001"/>
  </r>
  <r>
    <d v="2021-01-30T00:00:00"/>
    <s v="Ene"/>
    <n v="2021"/>
    <x v="9"/>
    <s v="Granos y Cereales"/>
    <s v="Gnocchi di nonna Alice"/>
    <n v="71"/>
    <n v="70"/>
    <n v="4970"/>
    <n v="0"/>
    <n v="596.4"/>
    <n v="5566.4"/>
  </r>
  <r>
    <d v="2021-01-30T00:00:00"/>
    <s v="Ene"/>
    <n v="2021"/>
    <x v="9"/>
    <s v="Productos Lácteos"/>
    <s v="Raclette Courdavault"/>
    <n v="10"/>
    <n v="95"/>
    <n v="950"/>
    <n v="0.20000000298023199"/>
    <n v="114"/>
    <n v="1063.7999999970198"/>
  </r>
  <r>
    <d v="2021-01-30T00:00:00"/>
    <s v="Ene"/>
    <n v="2021"/>
    <x v="65"/>
    <s v="Carnes y Aves"/>
    <s v="Alice Cordero"/>
    <n v="10"/>
    <n v="15"/>
    <n v="150"/>
    <n v="0.25"/>
    <n v="18"/>
    <n v="167.75"/>
  </r>
  <r>
    <d v="2021-01-30T00:00:00"/>
    <s v="Ene"/>
    <n v="2021"/>
    <x v="65"/>
    <s v="Mariscos"/>
    <s v="Carne de cangrejo de Boston"/>
    <n v="38"/>
    <n v="50"/>
    <n v="1900"/>
    <n v="0.25"/>
    <n v="228"/>
    <n v="2127.75"/>
  </r>
  <r>
    <d v="2021-01-30T00:00:00"/>
    <s v="Ene"/>
    <n v="2021"/>
    <x v="65"/>
    <s v="Dulces"/>
    <s v="Tortas Zaanse"/>
    <n v="98"/>
    <n v="69"/>
    <n v="6762"/>
    <n v="0.25"/>
    <n v="811.43999999999994"/>
    <n v="7573.19"/>
  </r>
  <r>
    <d v="2021-01-31T00:00:00"/>
    <s v="Ene"/>
    <n v="2021"/>
    <x v="20"/>
    <s v="Dulces"/>
    <s v="Gummär Gummibärchen"/>
    <n v="2"/>
    <n v="85"/>
    <n v="170"/>
    <n v="0"/>
    <n v="20.399999999999999"/>
    <n v="190.4"/>
  </r>
  <r>
    <d v="2021-01-31T00:00:00"/>
    <s v="Ene"/>
    <n v="2021"/>
    <x v="20"/>
    <s v="Carnes y Aves"/>
    <s v="Tourtière"/>
    <n v="71"/>
    <n v="74"/>
    <n v="5254"/>
    <n v="0"/>
    <n v="630.48"/>
    <n v="5884.48"/>
  </r>
  <r>
    <d v="2021-02-03T00:00:00"/>
    <s v="Feb"/>
    <n v="2021"/>
    <x v="49"/>
    <s v="Granos y Cereales"/>
    <s v="Gnocchi di nonna Alice"/>
    <n v="94"/>
    <n v="41"/>
    <n v="3854"/>
    <n v="0"/>
    <n v="462.47999999999996"/>
    <n v="4316.4799999999996"/>
  </r>
  <r>
    <d v="2021-02-03T00:00:00"/>
    <s v="Feb"/>
    <n v="2021"/>
    <x v="14"/>
    <s v="Productos Lácteos"/>
    <s v="Queso Cabrales"/>
    <n v="11"/>
    <n v="27"/>
    <n v="297"/>
    <n v="0"/>
    <n v="35.64"/>
    <n v="332.64"/>
  </r>
  <r>
    <d v="2021-02-03T00:00:00"/>
    <s v="Feb"/>
    <n v="2021"/>
    <x v="14"/>
    <s v="Bebidas"/>
    <s v="Lakkalikööri"/>
    <n v="41"/>
    <n v="25"/>
    <n v="1025"/>
    <n v="0.15000000596046401"/>
    <n v="123"/>
    <n v="1147.8499999940395"/>
  </r>
  <r>
    <d v="2021-02-04T00:00:00"/>
    <s v="Feb"/>
    <n v="2021"/>
    <x v="72"/>
    <s v="Bebidas"/>
    <s v="Chang"/>
    <n v="6"/>
    <n v="22"/>
    <n v="132"/>
    <n v="0"/>
    <n v="15.84"/>
    <n v="147.84"/>
  </r>
  <r>
    <d v="2021-02-04T00:00:00"/>
    <s v="Feb"/>
    <n v="2021"/>
    <x v="72"/>
    <s v="Granos y Cereales"/>
    <s v="Pan crujiente de Gustaf"/>
    <n v="94"/>
    <n v="16"/>
    <n v="1504"/>
    <n v="0"/>
    <n v="180.48"/>
    <n v="1684.48"/>
  </r>
  <r>
    <d v="2021-02-04T00:00:00"/>
    <s v="Feb"/>
    <n v="2021"/>
    <x v="72"/>
    <s v="Productos Lácteos"/>
    <s v="Mozzarella di Giovanni"/>
    <n v="47"/>
    <n v="86"/>
    <n v="4042"/>
    <n v="0"/>
    <n v="485.03999999999996"/>
    <n v="4527.04"/>
  </r>
  <r>
    <d v="2021-02-05T00:00:00"/>
    <s v="Feb"/>
    <n v="2021"/>
    <x v="15"/>
    <s v="Mariscos"/>
    <s v="arenque"/>
    <n v="10"/>
    <n v="28"/>
    <n v="280"/>
    <n v="0"/>
    <n v="33.6"/>
    <n v="313.60000000000002"/>
  </r>
  <r>
    <d v="2021-02-05T00:00:00"/>
    <s v="Feb"/>
    <n v="2021"/>
    <x v="15"/>
    <s v="Granos y Cereales"/>
    <s v="Gnocchi di nonna Alice"/>
    <n v="93"/>
    <n v="98"/>
    <n v="9114"/>
    <n v="0.10000000149011599"/>
    <n v="1093.68"/>
    <n v="10207.57999999851"/>
  </r>
  <r>
    <d v="2021-02-05T00:00:00"/>
    <s v="Feb"/>
    <n v="2021"/>
    <x v="15"/>
    <s v="Granos y Cereales"/>
    <s v="El buen Semmelknödel de Wimmer"/>
    <n v="77"/>
    <n v="91"/>
    <n v="7007"/>
    <n v="0.10000000149011599"/>
    <n v="840.83999999999992"/>
    <n v="7847.73999999851"/>
  </r>
  <r>
    <d v="2021-02-05T00:00:00"/>
    <s v="Feb"/>
    <n v="2021"/>
    <x v="15"/>
    <s v="Bebidas"/>
    <s v="Rhönbräu Klosterbier"/>
    <n v="83"/>
    <n v="74"/>
    <n v="6142"/>
    <n v="0.10000000149011599"/>
    <n v="737.04"/>
    <n v="6878.9399999985098"/>
  </r>
  <r>
    <d v="2021-02-05T00:00:00"/>
    <s v="Feb"/>
    <n v="2021"/>
    <x v="16"/>
    <s v="Carnes y Aves"/>
    <s v="Empanadas de Perth"/>
    <n v="67"/>
    <n v="94"/>
    <n v="6298"/>
    <n v="0"/>
    <n v="755.76"/>
    <n v="7053.76"/>
  </r>
  <r>
    <d v="2021-02-06T00:00:00"/>
    <s v="Feb"/>
    <n v="2021"/>
    <x v="73"/>
    <s v="Dulces"/>
    <s v="Galletas de chocolate a la hora del té"/>
    <n v="8"/>
    <n v="54"/>
    <n v="432"/>
    <n v="0.20000000298023199"/>
    <n v="51.839999999999996"/>
    <n v="483.63999999701974"/>
  </r>
  <r>
    <d v="2021-02-06T00:00:00"/>
    <s v="Feb"/>
    <n v="2021"/>
    <x v="73"/>
    <s v="Bebidas"/>
    <s v="Sasquatch Ale"/>
    <n v="72"/>
    <n v="57"/>
    <n v="4104"/>
    <n v="0.20000000298023199"/>
    <n v="492.47999999999996"/>
    <n v="4596.2799999970193"/>
  </r>
  <r>
    <d v="2021-02-06T00:00:00"/>
    <s v="Feb"/>
    <n v="2021"/>
    <x v="73"/>
    <s v="Granos y Cereales"/>
    <s v="Ravioli Angelo"/>
    <n v="50"/>
    <n v="76"/>
    <n v="3800"/>
    <n v="0.20000000298023199"/>
    <n v="456"/>
    <n v="4255.7999999970198"/>
  </r>
  <r>
    <d v="2021-02-07T00:00:00"/>
    <s v="Feb"/>
    <n v="2021"/>
    <x v="48"/>
    <s v="Productos Lácteos"/>
    <s v="Queso Manchego La Pastora"/>
    <n v="61"/>
    <n v="48"/>
    <n v="2928"/>
    <n v="0"/>
    <n v="351.36"/>
    <n v="3279.36"/>
  </r>
  <r>
    <d v="2021-02-07T00:00:00"/>
    <s v="Feb"/>
    <n v="2021"/>
    <x v="48"/>
    <s v="Dulces"/>
    <s v="Pavlova"/>
    <n v="10"/>
    <n v="68"/>
    <n v="680"/>
    <n v="0"/>
    <n v="81.599999999999994"/>
    <n v="761.6"/>
  </r>
  <r>
    <d v="2021-02-07T00:00:00"/>
    <s v="Feb"/>
    <n v="2021"/>
    <x v="48"/>
    <s v="Granos y Cereales"/>
    <s v="El buen Semmelknödel de Wimmer"/>
    <n v="100"/>
    <n v="52"/>
    <n v="5200"/>
    <n v="0"/>
    <n v="624"/>
    <n v="5824"/>
  </r>
  <r>
    <d v="2021-02-07T00:00:00"/>
    <s v="Feb"/>
    <n v="2021"/>
    <x v="48"/>
    <s v="Productos Alimenticios"/>
    <s v="Tofu de larga duración"/>
    <n v="21"/>
    <n v="53"/>
    <n v="1113"/>
    <n v="0"/>
    <n v="133.56"/>
    <n v="1246.56"/>
  </r>
  <r>
    <d v="2021-02-10T00:00:00"/>
    <s v="Feb"/>
    <n v="2021"/>
    <x v="44"/>
    <s v="Bebidas"/>
    <s v="Chang"/>
    <n v="62"/>
    <n v="27"/>
    <n v="1674"/>
    <n v="0.15000000596046401"/>
    <n v="200.88"/>
    <n v="1874.7299999940396"/>
  </r>
  <r>
    <d v="2021-02-10T00:00:00"/>
    <s v="Feb"/>
    <n v="2021"/>
    <x v="44"/>
    <s v="Dulces"/>
    <s v="Pavlova"/>
    <n v="25"/>
    <n v="73"/>
    <n v="1825"/>
    <n v="0.15000000596046401"/>
    <n v="219"/>
    <n v="2043.8499999940395"/>
  </r>
  <r>
    <d v="2021-02-10T00:00:00"/>
    <s v="Feb"/>
    <n v="2021"/>
    <x v="44"/>
    <s v="Carnes y Aves"/>
    <s v="Salchicha asada de Turingia"/>
    <n v="1"/>
    <n v="32"/>
    <n v="32"/>
    <n v="0.15000000596046401"/>
    <n v="3.84"/>
    <n v="35.689999994039539"/>
  </r>
  <r>
    <d v="2021-02-10T00:00:00"/>
    <s v="Feb"/>
    <n v="2021"/>
    <x v="44"/>
    <s v="Condimentos"/>
    <s v="miel de maple"/>
    <n v="71"/>
    <n v="85"/>
    <n v="6035"/>
    <n v="0.15000000596046401"/>
    <n v="724.19999999999993"/>
    <n v="6759.0499999940394"/>
  </r>
  <r>
    <d v="2021-02-10T00:00:00"/>
    <s v="Feb"/>
    <n v="2021"/>
    <x v="11"/>
    <s v="Dulces"/>
    <s v="Chocolate Schoggi"/>
    <n v="13"/>
    <n v="39"/>
    <n v="507"/>
    <n v="0"/>
    <n v="60.839999999999996"/>
    <n v="567.84"/>
  </r>
  <r>
    <d v="2021-02-11T00:00:00"/>
    <s v="Feb"/>
    <n v="2021"/>
    <x v="9"/>
    <s v="Productos Lácteos"/>
    <s v="Queso Cabrales"/>
    <n v="41"/>
    <n v="66"/>
    <n v="2706"/>
    <n v="0"/>
    <n v="324.71999999999997"/>
    <n v="3030.72"/>
  </r>
  <r>
    <d v="2021-02-11T00:00:00"/>
    <s v="Feb"/>
    <n v="2021"/>
    <x v="9"/>
    <s v="Carnes y Aves"/>
    <s v="Tourtière"/>
    <n v="20"/>
    <n v="78"/>
    <n v="1560"/>
    <n v="0"/>
    <n v="187.2"/>
    <n v="1747.2"/>
  </r>
  <r>
    <d v="2021-02-11T00:00:00"/>
    <s v="Feb"/>
    <n v="2021"/>
    <x v="9"/>
    <s v="Condimentos"/>
    <s v="Okra picante de Louisiana"/>
    <n v="18"/>
    <n v="70"/>
    <n v="1260"/>
    <n v="0"/>
    <n v="151.19999999999999"/>
    <n v="1411.2"/>
  </r>
  <r>
    <d v="2021-02-12T00:00:00"/>
    <s v="Feb"/>
    <n v="2021"/>
    <x v="31"/>
    <s v="Productos Lácteos"/>
    <s v="Queso Cabrales"/>
    <n v="27"/>
    <n v="37"/>
    <n v="999"/>
    <n v="0.20000000298023199"/>
    <n v="119.88"/>
    <n v="1118.6799999970199"/>
  </r>
  <r>
    <d v="2021-02-12T00:00:00"/>
    <s v="Feb"/>
    <n v="2021"/>
    <x v="31"/>
    <s v="Productos Alimenticios"/>
    <s v="Chucrut Rössle"/>
    <n v="55"/>
    <n v="22"/>
    <n v="1210"/>
    <n v="0"/>
    <n v="145.19999999999999"/>
    <n v="1355.2"/>
  </r>
  <r>
    <d v="2021-02-12T00:00:00"/>
    <s v="Feb"/>
    <n v="2021"/>
    <x v="26"/>
    <s v="Carnes y Aves"/>
    <s v="Alice Cordero"/>
    <n v="55"/>
    <n v="59"/>
    <n v="3245"/>
    <n v="0"/>
    <n v="389.4"/>
    <n v="3634.4"/>
  </r>
  <r>
    <d v="2021-02-12T00:00:00"/>
    <s v="Feb"/>
    <n v="2021"/>
    <x v="26"/>
    <s v="Dulces"/>
    <s v="Gummär Gummibärchen"/>
    <n v="6"/>
    <n v="73"/>
    <n v="438"/>
    <n v="0"/>
    <n v="52.559999999999995"/>
    <n v="490.56"/>
  </r>
  <r>
    <d v="2021-02-12T00:00:00"/>
    <s v="Feb"/>
    <n v="2021"/>
    <x v="26"/>
    <s v="Bebidas"/>
    <s v="Steeleye Stout"/>
    <n v="57"/>
    <n v="47"/>
    <n v="2679"/>
    <n v="0"/>
    <n v="321.47999999999996"/>
    <n v="3000.48"/>
  </r>
  <r>
    <d v="2021-02-12T00:00:00"/>
    <s v="Feb"/>
    <n v="2021"/>
    <x v="26"/>
    <s v="Mariscos"/>
    <s v="Sopa de almejas de Nueva Inglaterra de Jack"/>
    <n v="80"/>
    <n v="35"/>
    <n v="2800"/>
    <n v="0"/>
    <n v="336"/>
    <n v="3136"/>
  </r>
  <r>
    <d v="2021-02-13T00:00:00"/>
    <s v="Feb"/>
    <n v="2021"/>
    <x v="26"/>
    <s v="Bebidas"/>
    <s v="Chartreuse verde"/>
    <n v="40"/>
    <n v="36"/>
    <n v="1440"/>
    <n v="0"/>
    <n v="172.79999999999998"/>
    <n v="1612.8"/>
  </r>
  <r>
    <d v="2021-02-13T00:00:00"/>
    <s v="Feb"/>
    <n v="2021"/>
    <x v="26"/>
    <s v="Carnes y Aves"/>
    <s v="Tourtière"/>
    <n v="87"/>
    <n v="17"/>
    <n v="1479"/>
    <n v="0"/>
    <n v="177.48"/>
    <n v="1656.48"/>
  </r>
  <r>
    <d v="2021-02-14T00:00:00"/>
    <s v="Feb"/>
    <n v="2021"/>
    <x v="73"/>
    <s v="Dulces"/>
    <s v="Galletas de chocolate a la hora del té"/>
    <n v="65"/>
    <n v="15"/>
    <n v="975"/>
    <n v="0.10000000149011599"/>
    <n v="117"/>
    <n v="1091.8999999985099"/>
  </r>
  <r>
    <d v="2021-02-14T00:00:00"/>
    <s v="Feb"/>
    <n v="2021"/>
    <x v="73"/>
    <s v="Bebidas"/>
    <s v="Guaraná Fantástica"/>
    <n v="7"/>
    <n v="70"/>
    <n v="490"/>
    <n v="0.10000000149011599"/>
    <n v="58.8"/>
    <n v="548.69999999850984"/>
  </r>
  <r>
    <d v="2021-02-14T00:00:00"/>
    <s v="Feb"/>
    <n v="2021"/>
    <x v="73"/>
    <s v="Productos Lácteos"/>
    <s v="Gorgonzola Telino"/>
    <n v="10"/>
    <n v="19"/>
    <n v="190"/>
    <n v="0.10000000149011599"/>
    <n v="22.8"/>
    <n v="212.6999999985099"/>
  </r>
  <r>
    <d v="2021-02-14T00:00:00"/>
    <s v="Feb"/>
    <n v="2021"/>
    <x v="73"/>
    <s v="Granos y Cereales"/>
    <s v="Filo Mix"/>
    <n v="98"/>
    <n v="41"/>
    <n v="4018"/>
    <n v="0.10000000149011599"/>
    <n v="482.15999999999997"/>
    <n v="4500.0599999985097"/>
  </r>
  <r>
    <d v="2021-02-14T00:00:00"/>
    <s v="Feb"/>
    <n v="2021"/>
    <x v="30"/>
    <s v="Dulces"/>
    <s v="Galletas de chocolate a la hora del té"/>
    <n v="86"/>
    <n v="97"/>
    <n v="8342"/>
    <n v="0"/>
    <n v="1001.04"/>
    <n v="9343.0400000000009"/>
  </r>
  <r>
    <d v="2021-02-14T00:00:00"/>
    <s v="Feb"/>
    <n v="2021"/>
    <x v="30"/>
    <s v="Condimentos"/>
    <s v="Salsa de pimiento picante de Luisiana"/>
    <n v="10"/>
    <n v="26"/>
    <n v="260"/>
    <n v="0"/>
    <n v="31.2"/>
    <n v="291.2"/>
  </r>
  <r>
    <d v="2021-02-14T00:00:00"/>
    <s v="Feb"/>
    <n v="2021"/>
    <x v="30"/>
    <s v="Productos Lácteos"/>
    <s v="Queso crema"/>
    <n v="66"/>
    <n v="69"/>
    <n v="4554"/>
    <n v="0"/>
    <n v="546.48"/>
    <n v="5100.4799999999996"/>
  </r>
  <r>
    <d v="2021-02-17T00:00:00"/>
    <s v="Feb"/>
    <n v="2021"/>
    <x v="74"/>
    <s v="Dulces"/>
    <s v="Gummär Gummibärchen"/>
    <n v="3"/>
    <n v="17"/>
    <n v="51"/>
    <n v="0"/>
    <n v="6.12"/>
    <n v="57.12"/>
  </r>
  <r>
    <d v="2021-02-17T00:00:00"/>
    <s v="Feb"/>
    <n v="2021"/>
    <x v="74"/>
    <s v="Mariscos"/>
    <s v="Carne de cangrejo de Boston"/>
    <n v="32"/>
    <n v="51"/>
    <n v="1632"/>
    <n v="0"/>
    <n v="195.84"/>
    <n v="1827.84"/>
  </r>
  <r>
    <d v="2021-02-18T00:00:00"/>
    <s v="Feb"/>
    <n v="2021"/>
    <x v="15"/>
    <s v="Mariscos"/>
    <s v="Ikura"/>
    <n v="42"/>
    <n v="69"/>
    <n v="2898"/>
    <n v="0"/>
    <n v="347.76"/>
    <n v="3245.76"/>
  </r>
  <r>
    <d v="2021-02-18T00:00:00"/>
    <s v="Feb"/>
    <n v="2021"/>
    <x v="15"/>
    <s v="Granos y Cereales"/>
    <s v="Filo Mix"/>
    <n v="67"/>
    <n v="51"/>
    <n v="3417"/>
    <n v="0"/>
    <n v="410.03999999999996"/>
    <n v="3827.04"/>
  </r>
  <r>
    <d v="2021-02-18T00:00:00"/>
    <s v="Feb"/>
    <n v="2021"/>
    <x v="15"/>
    <s v="Dulces"/>
    <s v="Tarta de azúcar"/>
    <n v="73"/>
    <n v="57"/>
    <n v="4161"/>
    <n v="0"/>
    <n v="499.32"/>
    <n v="4660.32"/>
  </r>
  <r>
    <d v="2021-02-19T00:00:00"/>
    <s v="Feb"/>
    <n v="2021"/>
    <x v="3"/>
    <s v="Mariscos"/>
    <s v="Ikura"/>
    <n v="85"/>
    <n v="32"/>
    <n v="2720"/>
    <n v="0.20000000298023199"/>
    <n v="326.39999999999998"/>
    <n v="3046.1999999970199"/>
  </r>
  <r>
    <d v="2021-02-19T00:00:00"/>
    <s v="Feb"/>
    <n v="2021"/>
    <x v="3"/>
    <s v="Carnes y Aves"/>
    <s v="Tourtière"/>
    <n v="15"/>
    <n v="70"/>
    <n v="1050"/>
    <n v="0.20000000298023199"/>
    <n v="126"/>
    <n v="1175.7999999970198"/>
  </r>
  <r>
    <d v="2021-02-19T00:00:00"/>
    <s v="Feb"/>
    <n v="2021"/>
    <x v="21"/>
    <s v="Carnes y Aves"/>
    <s v="Paté chino"/>
    <n v="77"/>
    <n v="29"/>
    <n v="2233"/>
    <n v="0.10000000149011599"/>
    <n v="267.95999999999998"/>
    <n v="2500.8599999985099"/>
  </r>
  <r>
    <d v="2021-02-19T00:00:00"/>
    <s v="Feb"/>
    <n v="2021"/>
    <x v="21"/>
    <s v="Granos y Cereales"/>
    <s v="El buen Semmelknödel de Wimmer"/>
    <n v="95"/>
    <n v="63"/>
    <n v="5985"/>
    <n v="0.10000000149011599"/>
    <n v="718.19999999999993"/>
    <n v="6703.0999999985097"/>
  </r>
  <r>
    <d v="2021-02-19T00:00:00"/>
    <s v="Feb"/>
    <n v="2021"/>
    <x v="21"/>
    <s v="Condimentos"/>
    <s v="Salsa de pimiento picante de Luisiana"/>
    <n v="46"/>
    <n v="32"/>
    <n v="1472"/>
    <n v="0.10000000149011599"/>
    <n v="176.64"/>
    <n v="1648.5399999985098"/>
  </r>
  <r>
    <d v="2021-02-19T00:00:00"/>
    <s v="Feb"/>
    <n v="2021"/>
    <x v="21"/>
    <s v="Condimentos"/>
    <s v="Salsa verde original de Frankfurt"/>
    <n v="88"/>
    <n v="27"/>
    <n v="2376"/>
    <n v="0.10000000149011599"/>
    <n v="285.12"/>
    <n v="2661.0199999985098"/>
  </r>
  <r>
    <d v="2021-02-20T00:00:00"/>
    <s v="Feb"/>
    <n v="2021"/>
    <x v="44"/>
    <s v="Productos Alimenticios"/>
    <s v="Chucrut Rössle"/>
    <n v="58"/>
    <n v="79"/>
    <n v="4582"/>
    <n v="0"/>
    <n v="549.84"/>
    <n v="5131.84"/>
  </r>
  <r>
    <d v="2021-02-20T00:00:00"/>
    <s v="Feb"/>
    <n v="2021"/>
    <x v="44"/>
    <s v="Condimentos"/>
    <s v="Gula Malacca"/>
    <n v="97"/>
    <n v="98"/>
    <n v="9506"/>
    <n v="5.0000000745058101E-2"/>
    <n v="1140.72"/>
    <n v="10646.669999999254"/>
  </r>
  <r>
    <d v="2021-02-21T00:00:00"/>
    <s v="Feb"/>
    <n v="2021"/>
    <x v="54"/>
    <s v="Dulces"/>
    <s v="Chocolate"/>
    <n v="12"/>
    <n v="40"/>
    <n v="480"/>
    <n v="0.10000000149011599"/>
    <n v="57.599999999999994"/>
    <n v="537.49999999850991"/>
  </r>
  <r>
    <d v="2021-02-21T00:00:00"/>
    <s v="Feb"/>
    <n v="2021"/>
    <x v="54"/>
    <s v="Bebidas"/>
    <s v="Outback Lager"/>
    <n v="17"/>
    <n v="42"/>
    <n v="714"/>
    <n v="0.10000000149011599"/>
    <n v="85.679999999999993"/>
    <n v="799.57999999850983"/>
  </r>
  <r>
    <d v="2021-02-21T00:00:00"/>
    <s v="Feb"/>
    <n v="2021"/>
    <x v="52"/>
    <s v="Dulces"/>
    <s v="Pavlova"/>
    <n v="30"/>
    <n v="44"/>
    <n v="1320"/>
    <n v="0.20000000298023199"/>
    <n v="158.4"/>
    <n v="1478.1999999970199"/>
  </r>
  <r>
    <d v="2021-02-21T00:00:00"/>
    <s v="Feb"/>
    <n v="2021"/>
    <x v="52"/>
    <s v="Productos Lácteos"/>
    <s v="Queso de cabra"/>
    <n v="80"/>
    <n v="43"/>
    <n v="3440"/>
    <n v="0.20000000298023199"/>
    <n v="412.8"/>
    <n v="3852.5999999970199"/>
  </r>
  <r>
    <d v="2021-02-21T00:00:00"/>
    <s v="Feb"/>
    <n v="2021"/>
    <x v="52"/>
    <s v="Mariscos"/>
    <s v="arenque"/>
    <n v="6"/>
    <n v="41"/>
    <n v="246"/>
    <n v="0.20000000298023199"/>
    <n v="29.52"/>
    <n v="275.31999999701975"/>
  </r>
  <r>
    <d v="2021-02-24T00:00:00"/>
    <s v="Feb"/>
    <n v="2021"/>
    <x v="16"/>
    <s v="Bebidas"/>
    <s v="Chartreuse verde"/>
    <n v="78"/>
    <n v="24"/>
    <n v="1872"/>
    <n v="0"/>
    <n v="224.64"/>
    <n v="2096.64"/>
  </r>
  <r>
    <d v="2021-02-24T00:00:00"/>
    <s v="Feb"/>
    <n v="2021"/>
    <x v="16"/>
    <s v="Carnes y Aves"/>
    <s v="Empanadas de Perth"/>
    <n v="76"/>
    <n v="21"/>
    <n v="1596"/>
    <n v="0"/>
    <n v="191.51999999999998"/>
    <n v="1787.52"/>
  </r>
  <r>
    <d v="2021-02-24T00:00:00"/>
    <s v="Feb"/>
    <n v="2021"/>
    <x v="16"/>
    <s v="Condimentos"/>
    <s v="miel de maple"/>
    <n v="99"/>
    <n v="60"/>
    <n v="5940"/>
    <n v="0"/>
    <n v="712.8"/>
    <n v="6652.8"/>
  </r>
  <r>
    <d v="2021-02-24T00:00:00"/>
    <s v="Feb"/>
    <n v="2021"/>
    <x v="16"/>
    <s v="Productos Lácteos"/>
    <s v="Queso crema"/>
    <n v="41"/>
    <n v="92"/>
    <n v="3772"/>
    <n v="0"/>
    <n v="452.64"/>
    <n v="4224.6400000000003"/>
  </r>
  <r>
    <d v="2021-02-25T00:00:00"/>
    <s v="Feb"/>
    <n v="2021"/>
    <x v="43"/>
    <s v="Dulces"/>
    <s v="Scones de Sir Rodney"/>
    <n v="34"/>
    <n v="87"/>
    <n v="2958"/>
    <n v="0.15000000596046401"/>
    <n v="354.96"/>
    <n v="3312.8099999940396"/>
  </r>
  <r>
    <d v="2021-02-25T00:00:00"/>
    <s v="Feb"/>
    <n v="2021"/>
    <x v="43"/>
    <s v="Dulces"/>
    <s v="Maxilaku"/>
    <n v="99"/>
    <n v="58"/>
    <n v="5742"/>
    <n v="0.15000000596046401"/>
    <n v="689.04"/>
    <n v="6430.8899999940395"/>
  </r>
  <r>
    <d v="2021-02-25T00:00:00"/>
    <s v="Feb"/>
    <n v="2021"/>
    <x v="43"/>
    <s v="Productos Lácteos"/>
    <s v="Raclette Courdavault"/>
    <n v="77"/>
    <n v="65"/>
    <n v="5005"/>
    <n v="0"/>
    <n v="600.6"/>
    <n v="5605.6"/>
  </r>
  <r>
    <d v="2021-02-26T00:00:00"/>
    <s v="Feb"/>
    <n v="2021"/>
    <x v="4"/>
    <s v="Dulces"/>
    <s v="Gummär Gummibärchen"/>
    <n v="79"/>
    <n v="51"/>
    <n v="4029"/>
    <n v="0"/>
    <n v="483.47999999999996"/>
    <n v="4512.4799999999996"/>
  </r>
  <r>
    <d v="2021-02-26T00:00:00"/>
    <s v="Feb"/>
    <n v="2021"/>
    <x v="4"/>
    <s v="Productos Alimenticios"/>
    <s v="Chucrut Rössle"/>
    <n v="78"/>
    <n v="58"/>
    <n v="4524"/>
    <n v="0"/>
    <n v="542.88"/>
    <n v="5066.88"/>
  </r>
  <r>
    <d v="2021-02-26T00:00:00"/>
    <s v="Feb"/>
    <n v="2021"/>
    <x v="4"/>
    <s v="Bebidas"/>
    <s v="Café Ipoh"/>
    <n v="56"/>
    <n v="81"/>
    <n v="4536"/>
    <n v="0"/>
    <n v="544.31999999999994"/>
    <n v="5080.32"/>
  </r>
  <r>
    <d v="2021-02-26T00:00:00"/>
    <s v="Feb"/>
    <n v="2021"/>
    <x v="4"/>
    <s v="Granos y Cereales"/>
    <s v="Gnocchi di nonna Alice"/>
    <n v="30"/>
    <n v="71"/>
    <n v="2130"/>
    <n v="0"/>
    <n v="255.6"/>
    <n v="2385.6"/>
  </r>
  <r>
    <d v="2021-02-26T00:00:00"/>
    <s v="Feb"/>
    <n v="2021"/>
    <x v="4"/>
    <s v="Productos Lácteos"/>
    <s v="Queso crema"/>
    <n v="89"/>
    <n v="11"/>
    <n v="979"/>
    <n v="0"/>
    <n v="117.47999999999999"/>
    <n v="1096.48"/>
  </r>
  <r>
    <d v="2021-02-27T00:00:00"/>
    <s v="Feb"/>
    <n v="2021"/>
    <x v="3"/>
    <s v="Productos Alimenticios"/>
    <s v="Peras secas orgánicas del tío Bob"/>
    <n v="50"/>
    <n v="26"/>
    <n v="1300"/>
    <n v="5.0000000745058101E-2"/>
    <n v="156"/>
    <n v="1455.9499999992549"/>
  </r>
  <r>
    <d v="2021-02-27T00:00:00"/>
    <s v="Feb"/>
    <n v="2021"/>
    <x v="3"/>
    <s v="Mariscos"/>
    <s v="arenque"/>
    <n v="68"/>
    <n v="17"/>
    <n v="1156"/>
    <n v="5.0000000745058101E-2"/>
    <n v="138.72"/>
    <n v="1294.669999999255"/>
  </r>
  <r>
    <d v="2021-02-27T00:00:00"/>
    <s v="Feb"/>
    <n v="2021"/>
    <x v="3"/>
    <s v="Productos Lácteos"/>
    <s v="Mozzarella di Giovanni"/>
    <n v="25"/>
    <n v="57"/>
    <n v="1425"/>
    <n v="0"/>
    <n v="171"/>
    <n v="1596"/>
  </r>
  <r>
    <d v="2021-02-28T00:00:00"/>
    <s v="Feb"/>
    <n v="2021"/>
    <x v="14"/>
    <s v="Dulces"/>
    <s v="Pan largo escocés"/>
    <n v="68"/>
    <n v="35"/>
    <n v="2380"/>
    <n v="0.25"/>
    <n v="285.59999999999997"/>
    <n v="2665.35"/>
  </r>
  <r>
    <d v="2021-02-28T00:00:00"/>
    <s v="Feb"/>
    <n v="2021"/>
    <x v="14"/>
    <s v="Bebidas"/>
    <s v="Rhönbräu Klosterbier"/>
    <n v="67"/>
    <n v="15"/>
    <n v="1005"/>
    <n v="0.25"/>
    <n v="120.6"/>
    <n v="1125.3499999999999"/>
  </r>
  <r>
    <d v="2021-02-28T00:00:00"/>
    <s v="Feb"/>
    <n v="2021"/>
    <x v="29"/>
    <s v="Dulces"/>
    <s v="Scones de Sir Rodney"/>
    <n v="9"/>
    <n v="15"/>
    <n v="135"/>
    <n v="0.25"/>
    <n v="16.2"/>
    <n v="150.94999999999999"/>
  </r>
  <r>
    <d v="2021-02-28T00:00:00"/>
    <s v="Feb"/>
    <n v="2021"/>
    <x v="29"/>
    <s v="Mariscos"/>
    <s v="Nord-Ost Matjeshering"/>
    <n v="75"/>
    <n v="49"/>
    <n v="3675"/>
    <n v="0.25"/>
    <n v="441"/>
    <n v="4115.75"/>
  </r>
  <r>
    <d v="2021-02-28T00:00:00"/>
    <s v="Feb"/>
    <n v="2021"/>
    <x v="29"/>
    <s v="Carnes y Aves"/>
    <s v="Paté chino"/>
    <n v="22"/>
    <n v="59"/>
    <n v="1298"/>
    <n v="0.25"/>
    <n v="155.76"/>
    <n v="1453.51"/>
  </r>
  <r>
    <d v="2021-03-03T00:00:00"/>
    <s v="Mar"/>
    <n v="2021"/>
    <x v="72"/>
    <s v="Mariscos"/>
    <s v="Konbu"/>
    <n v="4"/>
    <n v="86"/>
    <n v="344"/>
    <n v="0"/>
    <n v="41.28"/>
    <n v="385.28"/>
  </r>
  <r>
    <d v="2021-03-03T00:00:00"/>
    <s v="Mar"/>
    <n v="2021"/>
    <x v="72"/>
    <s v="Granos y Cereales"/>
    <s v="Pan plano"/>
    <n v="36"/>
    <n v="66"/>
    <n v="2376"/>
    <n v="0"/>
    <n v="285.12"/>
    <n v="2661.12"/>
  </r>
  <r>
    <d v="2021-03-04T00:00:00"/>
    <s v="Mar"/>
    <n v="2021"/>
    <x v="4"/>
    <s v="Dulces"/>
    <s v="Galletas de chocolate a la hora del té"/>
    <n v="66"/>
    <n v="64"/>
    <n v="4224"/>
    <n v="0"/>
    <n v="506.88"/>
    <n v="4730.88"/>
  </r>
  <r>
    <d v="2021-03-04T00:00:00"/>
    <s v="Mar"/>
    <n v="2021"/>
    <x v="4"/>
    <s v="Granos y Cereales"/>
    <s v="Fried Mee de hockey de Singapur"/>
    <n v="65"/>
    <n v="22"/>
    <n v="1430"/>
    <n v="0"/>
    <n v="171.6"/>
    <n v="1601.6"/>
  </r>
  <r>
    <d v="2021-03-04T00:00:00"/>
    <s v="Mar"/>
    <n v="2021"/>
    <x v="46"/>
    <s v="Condimentos"/>
    <s v="Condimento Cajún del Chef Anton"/>
    <n v="16"/>
    <n v="91"/>
    <n v="1456"/>
    <n v="0.20000000298023199"/>
    <n v="174.72"/>
    <n v="1630.5199999970198"/>
  </r>
  <r>
    <d v="2021-03-04T00:00:00"/>
    <s v="Mar"/>
    <n v="2021"/>
    <x v="46"/>
    <s v="Bebidas"/>
    <s v="Café Ipoh"/>
    <n v="45"/>
    <n v="97"/>
    <n v="4365"/>
    <n v="0"/>
    <n v="523.79999999999995"/>
    <n v="4888.8"/>
  </r>
  <r>
    <d v="2021-03-04T00:00:00"/>
    <s v="Mar"/>
    <n v="2021"/>
    <x v="46"/>
    <s v="Granos y Cereales"/>
    <s v="Gnocchi di nonna Alice"/>
    <n v="50"/>
    <n v="75"/>
    <n v="3750"/>
    <n v="0.20000000298023199"/>
    <n v="450"/>
    <n v="4199.7999999970198"/>
  </r>
  <r>
    <d v="2021-03-04T00:00:00"/>
    <s v="Mar"/>
    <n v="2021"/>
    <x v="46"/>
    <s v="Productos Lácteos"/>
    <s v="Pierrot camembert"/>
    <n v="23"/>
    <n v="60"/>
    <n v="1380"/>
    <n v="0"/>
    <n v="165.6"/>
    <n v="1545.6"/>
  </r>
  <r>
    <d v="2021-03-05T00:00:00"/>
    <s v="Mar"/>
    <n v="2021"/>
    <x v="60"/>
    <s v="Bebidas"/>
    <s v="Guaraná Fantástica"/>
    <n v="31"/>
    <n v="35"/>
    <n v="1085"/>
    <n v="0"/>
    <n v="130.19999999999999"/>
    <n v="1215.2"/>
  </r>
  <r>
    <d v="2021-03-05T00:00:00"/>
    <s v="Mar"/>
    <n v="2021"/>
    <x v="60"/>
    <s v="Carnes y Aves"/>
    <s v="Salchicha asada de Turingia"/>
    <n v="82"/>
    <n v="83"/>
    <n v="6806"/>
    <n v="0.10000000149011599"/>
    <n v="816.71999999999991"/>
    <n v="7622.6199999985101"/>
  </r>
  <r>
    <d v="2021-03-05T00:00:00"/>
    <s v="Mar"/>
    <n v="2021"/>
    <x v="60"/>
    <s v="Mariscos"/>
    <s v="Carne de cangrejo de Boston"/>
    <n v="68"/>
    <n v="88"/>
    <n v="5984"/>
    <n v="0"/>
    <n v="718.07999999999993"/>
    <n v="6702.08"/>
  </r>
  <r>
    <d v="2021-03-05T00:00:00"/>
    <s v="Mar"/>
    <n v="2021"/>
    <x v="60"/>
    <s v="Mariscos"/>
    <s v="Arenque ahumado"/>
    <n v="90"/>
    <n v="42"/>
    <n v="3780"/>
    <n v="0.10000000149011599"/>
    <n v="453.59999999999997"/>
    <n v="4233.4999999985102"/>
  </r>
  <r>
    <d v="2021-03-05T00:00:00"/>
    <s v="Mar"/>
    <n v="2021"/>
    <x v="60"/>
    <s v="Dulces"/>
    <s v="Valkoinen suklaa"/>
    <n v="55"/>
    <n v="31"/>
    <n v="1705"/>
    <n v="0"/>
    <n v="204.6"/>
    <n v="1909.6"/>
  </r>
  <r>
    <d v="2021-03-06T00:00:00"/>
    <s v="Mar"/>
    <n v="2021"/>
    <x v="33"/>
    <s v="Productos Lácteos"/>
    <s v="Queso Cabrales"/>
    <n v="53"/>
    <n v="46"/>
    <n v="2438"/>
    <n v="0"/>
    <n v="292.56"/>
    <n v="2730.56"/>
  </r>
  <r>
    <d v="2021-03-06T00:00:00"/>
    <s v="Mar"/>
    <n v="2021"/>
    <x v="33"/>
    <s v="Mariscos"/>
    <s v="arenque"/>
    <n v="1"/>
    <n v="82"/>
    <n v="82"/>
    <n v="0"/>
    <n v="9.84"/>
    <n v="91.84"/>
  </r>
  <r>
    <d v="2021-03-06T00:00:00"/>
    <s v="Mar"/>
    <n v="2021"/>
    <x v="23"/>
    <s v="Bebidas"/>
    <s v="Guaraná Fantástica"/>
    <n v="3"/>
    <n v="94"/>
    <n v="282"/>
    <n v="0"/>
    <n v="33.839999999999996"/>
    <n v="315.83999999999997"/>
  </r>
  <r>
    <d v="2021-03-06T00:00:00"/>
    <s v="Mar"/>
    <n v="2021"/>
    <x v="23"/>
    <s v="Dulces"/>
    <s v="Crema de Turrón de Nueces NuNuCa"/>
    <n v="34"/>
    <n v="49"/>
    <n v="1666"/>
    <n v="0"/>
    <n v="199.92"/>
    <n v="1865.92"/>
  </r>
  <r>
    <d v="2021-03-07T00:00:00"/>
    <s v="Mar"/>
    <n v="2021"/>
    <x v="43"/>
    <s v="Mariscos"/>
    <s v="Nord-Ost Matjeshering"/>
    <n v="37"/>
    <n v="37"/>
    <n v="1369"/>
    <n v="0"/>
    <n v="164.28"/>
    <n v="1533.28"/>
  </r>
  <r>
    <d v="2021-03-07T00:00:00"/>
    <s v="Mar"/>
    <n v="2021"/>
    <x v="43"/>
    <s v="Bebidas"/>
    <s v="Café Ipoh"/>
    <n v="97"/>
    <n v="68"/>
    <n v="6596"/>
    <n v="0"/>
    <n v="791.52"/>
    <n v="7387.52"/>
  </r>
  <r>
    <d v="2021-03-10T00:00:00"/>
    <s v="Mar"/>
    <n v="2021"/>
    <x v="19"/>
    <s v="Bebidas"/>
    <s v="Chang"/>
    <n v="65"/>
    <n v="95"/>
    <n v="6175"/>
    <n v="0.15000000596046401"/>
    <n v="741"/>
    <n v="6915.8499999940395"/>
  </r>
  <r>
    <d v="2021-03-10T00:00:00"/>
    <s v="Mar"/>
    <n v="2021"/>
    <x v="19"/>
    <s v="Dulces"/>
    <s v="Pavlova"/>
    <n v="33"/>
    <n v="76"/>
    <n v="2508"/>
    <n v="0.15000000596046401"/>
    <n v="300.95999999999998"/>
    <n v="2808.8099999940396"/>
  </r>
  <r>
    <d v="2021-03-10T00:00:00"/>
    <s v="Mar"/>
    <n v="2021"/>
    <x v="19"/>
    <s v="Condimentos"/>
    <s v="Gula Malacca"/>
    <n v="86"/>
    <n v="21"/>
    <n v="1806"/>
    <n v="0.15000000596046401"/>
    <n v="216.72"/>
    <n v="2022.5699999940396"/>
  </r>
  <r>
    <d v="2021-03-11T00:00:00"/>
    <s v="Mar"/>
    <n v="2021"/>
    <x v="47"/>
    <s v="Mariscos"/>
    <s v="Tigres de Carnarvon"/>
    <n v="28"/>
    <n v="30"/>
    <n v="840"/>
    <n v="0"/>
    <n v="100.8"/>
    <n v="940.8"/>
  </r>
  <r>
    <d v="2021-03-11T00:00:00"/>
    <s v="Mar"/>
    <n v="2021"/>
    <x v="47"/>
    <s v="Granos y Cereales"/>
    <s v="Pan plano"/>
    <n v="8"/>
    <n v="41"/>
    <n v="328"/>
    <n v="0"/>
    <n v="39.36"/>
    <n v="367.36"/>
  </r>
  <r>
    <d v="2021-03-11T00:00:00"/>
    <s v="Mar"/>
    <n v="2021"/>
    <x v="47"/>
    <s v="Granos y Cereales"/>
    <s v="El buen Semmelknödel de Wimmer"/>
    <n v="77"/>
    <n v="76"/>
    <n v="5852"/>
    <n v="0"/>
    <n v="702.24"/>
    <n v="6554.24"/>
  </r>
  <r>
    <d v="2021-03-11T00:00:00"/>
    <s v="Mar"/>
    <n v="2021"/>
    <x v="32"/>
    <s v="Productos Alimenticios"/>
    <s v="Peras secas orgánicas del tío Bob"/>
    <n v="37"/>
    <n v="85"/>
    <n v="3145"/>
    <n v="0"/>
    <n v="377.4"/>
    <n v="3522.4"/>
  </r>
  <r>
    <d v="2021-03-11T00:00:00"/>
    <s v="Mar"/>
    <n v="2021"/>
    <x v="32"/>
    <s v="Granos y Cereales"/>
    <s v="Gnocchi di nonna Alice"/>
    <n v="16"/>
    <n v="41"/>
    <n v="656"/>
    <n v="0"/>
    <n v="78.72"/>
    <n v="734.72"/>
  </r>
  <r>
    <d v="2021-03-12T00:00:00"/>
    <s v="Mar"/>
    <n v="2021"/>
    <x v="55"/>
    <s v="Bebidas"/>
    <s v="Guaraná Fantástica"/>
    <n v="10"/>
    <n v="46"/>
    <n v="460"/>
    <n v="5.0000000745058101E-2"/>
    <n v="55.199999999999996"/>
    <n v="515.14999999925499"/>
  </r>
  <r>
    <d v="2021-03-12T00:00:00"/>
    <s v="Mar"/>
    <n v="2021"/>
    <x v="55"/>
    <s v="Productos Alimenticios"/>
    <s v="Manjimup Dry Apples"/>
    <n v="31"/>
    <n v="92"/>
    <n v="2852"/>
    <n v="0"/>
    <n v="342.24"/>
    <n v="3194.24"/>
  </r>
  <r>
    <d v="2021-03-13T00:00:00"/>
    <s v="Mar"/>
    <n v="2021"/>
    <x v="41"/>
    <s v="Productos Lácteos"/>
    <s v="Queso de cabra"/>
    <n v="13"/>
    <n v="92"/>
    <n v="1196"/>
    <n v="0"/>
    <n v="143.51999999999998"/>
    <n v="1339.52"/>
  </r>
  <r>
    <d v="2021-03-13T00:00:00"/>
    <s v="Mar"/>
    <n v="2021"/>
    <x v="41"/>
    <s v="Productos Lácteos"/>
    <s v="Queso crema"/>
    <n v="68"/>
    <n v="62"/>
    <n v="4216"/>
    <n v="0"/>
    <n v="505.91999999999996"/>
    <n v="4721.92"/>
  </r>
  <r>
    <d v="2021-03-13T00:00:00"/>
    <s v="Mar"/>
    <n v="2021"/>
    <x v="42"/>
    <s v="Productos Alimenticios"/>
    <s v="tofu"/>
    <n v="50"/>
    <n v="80"/>
    <n v="4000"/>
    <n v="0"/>
    <n v="480"/>
    <n v="4480"/>
  </r>
  <r>
    <d v="2021-03-13T00:00:00"/>
    <s v="Mar"/>
    <n v="2021"/>
    <x v="42"/>
    <s v="Productos Alimenticios"/>
    <s v="Chucrut Rössle"/>
    <n v="33"/>
    <n v="84"/>
    <n v="2772"/>
    <n v="0"/>
    <n v="332.64"/>
    <n v="3104.64"/>
  </r>
  <r>
    <d v="2021-03-13T00:00:00"/>
    <s v="Mar"/>
    <n v="2021"/>
    <x v="42"/>
    <s v="Mariscos"/>
    <s v="Carne de cangrejo de Boston"/>
    <n v="79"/>
    <n v="73"/>
    <n v="5767"/>
    <n v="0"/>
    <n v="692.04"/>
    <n v="6459.04"/>
  </r>
  <r>
    <d v="2021-03-13T00:00:00"/>
    <s v="Mar"/>
    <n v="2021"/>
    <x v="42"/>
    <s v="Bebidas"/>
    <s v="Rhönbräu Klosterbier"/>
    <n v="66"/>
    <n v="48"/>
    <n v="3168"/>
    <n v="0"/>
    <n v="380.15999999999997"/>
    <n v="3548.16"/>
  </r>
  <r>
    <d v="2021-03-14T00:00:00"/>
    <s v="Mar"/>
    <n v="2021"/>
    <x v="4"/>
    <s v="Productos Lácteos"/>
    <s v="Gorgonzola Telino"/>
    <n v="66"/>
    <n v="56"/>
    <n v="3696"/>
    <n v="0.15000000596046401"/>
    <n v="443.52"/>
    <n v="4139.36999999404"/>
  </r>
  <r>
    <d v="2021-03-14T00:00:00"/>
    <s v="Mar"/>
    <n v="2021"/>
    <x v="4"/>
    <s v="Condimentos"/>
    <s v="Okra picante de Louisiana"/>
    <n v="44"/>
    <n v="66"/>
    <n v="2904"/>
    <n v="0.15000000596046401"/>
    <n v="348.47999999999996"/>
    <n v="3252.3299999940396"/>
  </r>
  <r>
    <d v="2021-03-14T00:00:00"/>
    <s v="Mar"/>
    <n v="2021"/>
    <x v="4"/>
    <s v="Bebidas"/>
    <s v="Lakkalikööri"/>
    <n v="93"/>
    <n v="32"/>
    <n v="2976"/>
    <n v="0.15000000596046401"/>
    <n v="357.12"/>
    <n v="3332.9699999940394"/>
  </r>
  <r>
    <d v="2021-03-17T00:00:00"/>
    <s v="Mar"/>
    <n v="2021"/>
    <x v="8"/>
    <s v="Carnes y Aves"/>
    <s v="Paté chino"/>
    <n v="60"/>
    <n v="95"/>
    <n v="5700"/>
    <n v="5.0000000745058101E-2"/>
    <n v="684"/>
    <n v="6383.9499999992549"/>
  </r>
  <r>
    <d v="2021-03-17T00:00:00"/>
    <s v="Mar"/>
    <n v="2021"/>
    <x v="8"/>
    <s v="Bebidas"/>
    <s v="Outback Lager"/>
    <n v="51"/>
    <n v="87"/>
    <n v="4437"/>
    <n v="0"/>
    <n v="532.43999999999994"/>
    <n v="4969.4399999999996"/>
  </r>
  <r>
    <d v="2021-03-17T00:00:00"/>
    <s v="Mar"/>
    <n v="2021"/>
    <x v="49"/>
    <s v="Bebidas"/>
    <s v="Chai"/>
    <n v="8"/>
    <n v="70"/>
    <n v="560"/>
    <n v="0"/>
    <n v="67.2"/>
    <n v="627.20000000000005"/>
  </r>
  <r>
    <d v="2021-03-17T00:00:00"/>
    <s v="Mar"/>
    <n v="2021"/>
    <x v="49"/>
    <s v="Dulces"/>
    <s v="Scones de Sir Rodney"/>
    <n v="32"/>
    <n v="88"/>
    <n v="2816"/>
    <n v="0.25"/>
    <n v="337.91999999999996"/>
    <n v="3153.67"/>
  </r>
  <r>
    <d v="2021-03-17T00:00:00"/>
    <s v="Mar"/>
    <n v="2021"/>
    <x v="49"/>
    <s v="Bebidas"/>
    <s v="Chartreuse verde"/>
    <n v="83"/>
    <n v="54"/>
    <n v="4482"/>
    <n v="0.25"/>
    <n v="537.84"/>
    <n v="5019.59"/>
  </r>
  <r>
    <d v="2021-03-18T00:00:00"/>
    <s v="Mar"/>
    <n v="2021"/>
    <x v="3"/>
    <s v="Mariscos"/>
    <s v="Ikura"/>
    <n v="98"/>
    <n v="48"/>
    <n v="4704"/>
    <n v="5.0000000745058101E-2"/>
    <n v="564.48"/>
    <n v="5268.4299999992545"/>
  </r>
  <r>
    <d v="2021-03-19T00:00:00"/>
    <s v="Mar"/>
    <n v="2021"/>
    <x v="13"/>
    <s v="Bebidas"/>
    <s v="Côte de Blaye"/>
    <n v="68"/>
    <n v="43"/>
    <n v="2924"/>
    <n v="0"/>
    <n v="350.88"/>
    <n v="3274.88"/>
  </r>
  <r>
    <d v="2021-03-19T00:00:00"/>
    <s v="Mar"/>
    <n v="2021"/>
    <x v="13"/>
    <s v="Carnes y Aves"/>
    <s v="Empanadas de Perth"/>
    <n v="93"/>
    <n v="13"/>
    <n v="1209"/>
    <n v="0"/>
    <n v="145.07999999999998"/>
    <n v="1354.08"/>
  </r>
  <r>
    <d v="2021-03-19T00:00:00"/>
    <s v="Mar"/>
    <n v="2021"/>
    <x v="13"/>
    <s v="Productos Lácteos"/>
    <s v="Raclette Courdavault"/>
    <n v="26"/>
    <n v="43"/>
    <n v="1118"/>
    <n v="0"/>
    <n v="134.16"/>
    <n v="1252.1600000000001"/>
  </r>
  <r>
    <d v="2021-03-19T00:00:00"/>
    <s v="Mar"/>
    <n v="2021"/>
    <x v="13"/>
    <s v="Granos y Cereales"/>
    <s v="El buen Semmelknödel de Wimmer"/>
    <n v="61"/>
    <n v="63"/>
    <n v="3843"/>
    <n v="0"/>
    <n v="461.15999999999997"/>
    <n v="4304.16"/>
  </r>
  <r>
    <d v="2021-03-20T00:00:00"/>
    <s v="Mar"/>
    <n v="2021"/>
    <x v="68"/>
    <s v="Dulces"/>
    <s v="Tortas Zaanse"/>
    <n v="51"/>
    <n v="63"/>
    <n v="3213"/>
    <n v="0"/>
    <n v="385.56"/>
    <n v="3598.56"/>
  </r>
  <r>
    <d v="2021-03-20T00:00:00"/>
    <s v="Mar"/>
    <n v="2021"/>
    <x v="68"/>
    <s v="Productos Lácteos"/>
    <s v="Raclette Courdavault"/>
    <n v="65"/>
    <n v="40"/>
    <n v="2600"/>
    <n v="0"/>
    <n v="312"/>
    <n v="2912"/>
  </r>
  <r>
    <d v="2021-03-20T00:00:00"/>
    <s v="Mar"/>
    <n v="2021"/>
    <x v="30"/>
    <s v="Dulces"/>
    <s v="Maxilaku"/>
    <n v="93"/>
    <n v="76"/>
    <n v="7068"/>
    <n v="0"/>
    <n v="848.16"/>
    <n v="7916.16"/>
  </r>
  <r>
    <d v="2021-03-20T00:00:00"/>
    <s v="Mar"/>
    <n v="2021"/>
    <x v="30"/>
    <s v="Productos Lácteos"/>
    <s v="Pierrot camembert"/>
    <n v="57"/>
    <n v="37"/>
    <n v="2109"/>
    <n v="0"/>
    <n v="253.07999999999998"/>
    <n v="2362.08"/>
  </r>
  <r>
    <d v="2021-03-21T00:00:00"/>
    <s v="Mar"/>
    <n v="2021"/>
    <x v="75"/>
    <s v="Mariscos"/>
    <s v="Carne de cangrejo de Boston"/>
    <n v="100"/>
    <n v="56"/>
    <n v="5600"/>
    <n v="0"/>
    <n v="672"/>
    <n v="6272"/>
  </r>
  <r>
    <d v="2021-03-24T00:00:00"/>
    <s v="Mar"/>
    <n v="2021"/>
    <x v="19"/>
    <s v="Bebidas"/>
    <s v="Sasquatch Ale"/>
    <n v="63"/>
    <n v="10"/>
    <n v="630"/>
    <n v="5.0000000745058101E-2"/>
    <n v="75.599999999999994"/>
    <n v="705.54999999925496"/>
  </r>
  <r>
    <d v="2021-03-24T00:00:00"/>
    <s v="Mar"/>
    <n v="2021"/>
    <x v="19"/>
    <s v="Condimentos"/>
    <s v="Salsa verde original de Frankfurt"/>
    <n v="35"/>
    <n v="62"/>
    <n v="2170"/>
    <n v="5.0000000745058101E-2"/>
    <n v="260.39999999999998"/>
    <n v="2430.349999999255"/>
  </r>
  <r>
    <d v="2021-03-24T00:00:00"/>
    <s v="Mar"/>
    <n v="2021"/>
    <x v="32"/>
    <s v="Dulces"/>
    <s v="Scones de Sir Rodney"/>
    <n v="37"/>
    <n v="15"/>
    <n v="555"/>
    <n v="0"/>
    <n v="66.599999999999994"/>
    <n v="621.6"/>
  </r>
  <r>
    <d v="2021-03-24T00:00:00"/>
    <s v="Mar"/>
    <n v="2021"/>
    <x v="32"/>
    <s v="Mariscos"/>
    <s v="Carne de cangrejo de Boston"/>
    <n v="82"/>
    <n v="100"/>
    <n v="8200"/>
    <n v="0"/>
    <n v="984"/>
    <n v="9184"/>
  </r>
  <r>
    <d v="2021-03-24T00:00:00"/>
    <s v="Mar"/>
    <n v="2021"/>
    <x v="32"/>
    <s v="Productos Alimenticios"/>
    <s v="Manjimup Dry Apples"/>
    <n v="41"/>
    <n v="98"/>
    <n v="4018"/>
    <n v="0"/>
    <n v="482.15999999999997"/>
    <n v="4500.16"/>
  </r>
  <r>
    <d v="2021-03-25T00:00:00"/>
    <s v="Mar"/>
    <n v="2021"/>
    <x v="66"/>
    <s v="Bebidas"/>
    <s v="Chang"/>
    <n v="28"/>
    <n v="20"/>
    <n v="560"/>
    <n v="0.10000000149011599"/>
    <n v="67.2"/>
    <n v="627.09999999850993"/>
  </r>
  <r>
    <d v="2021-03-25T00:00:00"/>
    <s v="Mar"/>
    <n v="2021"/>
    <x v="66"/>
    <s v="Condimentos"/>
    <s v="Jarabe de anís"/>
    <n v="72"/>
    <n v="44"/>
    <n v="3168"/>
    <n v="0.10000000149011599"/>
    <n v="380.15999999999997"/>
    <n v="3548.0599999985097"/>
  </r>
  <r>
    <d v="2021-03-25T00:00:00"/>
    <s v="Mar"/>
    <n v="2021"/>
    <x v="66"/>
    <s v="Carnes y Aves"/>
    <s v="Paté chino"/>
    <n v="55"/>
    <n v="69"/>
    <n v="3795"/>
    <n v="0.10000000149011599"/>
    <n v="455.4"/>
    <n v="4250.2999999985095"/>
  </r>
  <r>
    <d v="2021-03-25T00:00:00"/>
    <s v="Mar"/>
    <n v="2021"/>
    <x v="66"/>
    <s v="Bebidas"/>
    <s v="Outback Lager"/>
    <n v="21"/>
    <n v="65"/>
    <n v="1365"/>
    <n v="0.10000000149011599"/>
    <n v="163.79999999999998"/>
    <n v="1528.6999999985098"/>
  </r>
  <r>
    <d v="2021-03-26T00:00:00"/>
    <s v="Mar"/>
    <n v="2021"/>
    <x v="8"/>
    <s v="Productos Lácteos"/>
    <s v="Queso Cabrales"/>
    <n v="74"/>
    <n v="98"/>
    <n v="7252"/>
    <n v="0"/>
    <n v="870.24"/>
    <n v="8122.24"/>
  </r>
  <r>
    <d v="2021-03-26T00:00:00"/>
    <s v="Mar"/>
    <n v="2021"/>
    <x v="8"/>
    <s v="Productos Alimenticios"/>
    <s v="Manjimup Dry Apples"/>
    <n v="71"/>
    <n v="39"/>
    <n v="2769"/>
    <n v="0"/>
    <n v="332.28"/>
    <n v="3101.2799999999997"/>
  </r>
  <r>
    <d v="2021-03-26T00:00:00"/>
    <s v="Mar"/>
    <n v="2021"/>
    <x v="8"/>
    <s v="Productos Alimenticios"/>
    <s v="Tofu de larga duración"/>
    <n v="19"/>
    <n v="90"/>
    <n v="1710"/>
    <n v="0"/>
    <n v="205.2"/>
    <n v="1915.2"/>
  </r>
  <r>
    <d v="2021-03-26T00:00:00"/>
    <s v="Mar"/>
    <n v="2021"/>
    <x v="61"/>
    <s v="Dulces"/>
    <s v="Galletas de chocolate a la hora del té"/>
    <n v="52"/>
    <n v="62"/>
    <n v="3224"/>
    <n v="0"/>
    <n v="386.88"/>
    <n v="3610.88"/>
  </r>
  <r>
    <d v="2021-03-26T00:00:00"/>
    <s v="Mar"/>
    <n v="2021"/>
    <x v="61"/>
    <s v="Dulces"/>
    <s v="Gummär Gummibärchen"/>
    <n v="53"/>
    <n v="100"/>
    <n v="5300"/>
    <n v="0"/>
    <n v="636"/>
    <n v="5936"/>
  </r>
  <r>
    <d v="2021-03-26T00:00:00"/>
    <s v="Mar"/>
    <n v="2021"/>
    <x v="61"/>
    <s v="Carnes y Aves"/>
    <s v="Tourtière"/>
    <n v="46"/>
    <n v="96"/>
    <n v="4416"/>
    <n v="0.25"/>
    <n v="529.91999999999996"/>
    <n v="4945.67"/>
  </r>
  <r>
    <d v="2021-03-27T00:00:00"/>
    <s v="Mar"/>
    <n v="2021"/>
    <x v="17"/>
    <s v="Productos Lácteos"/>
    <s v="Raclette Courdavault"/>
    <n v="69"/>
    <n v="75"/>
    <n v="5175"/>
    <n v="0"/>
    <n v="621"/>
    <n v="5796"/>
  </r>
  <r>
    <d v="2021-03-27T00:00:00"/>
    <s v="Mar"/>
    <n v="2021"/>
    <x v="17"/>
    <s v="Mariscos"/>
    <s v="Caviar rojo"/>
    <n v="15"/>
    <n v="33"/>
    <n v="495"/>
    <n v="0.20000000298023199"/>
    <n v="59.4"/>
    <n v="554.19999999701975"/>
  </r>
  <r>
    <d v="2021-03-28T00:00:00"/>
    <s v="Mar"/>
    <n v="2021"/>
    <x v="53"/>
    <s v="Productos Lácteos"/>
    <s v="Queso Cabrales"/>
    <n v="63"/>
    <n v="55"/>
    <n v="3465"/>
    <n v="0.25"/>
    <n v="415.8"/>
    <n v="3880.55"/>
  </r>
  <r>
    <d v="2021-03-28T00:00:00"/>
    <s v="Mar"/>
    <n v="2021"/>
    <x v="53"/>
    <s v="Dulces"/>
    <s v="Pavlova"/>
    <n v="77"/>
    <n v="86"/>
    <n v="6622"/>
    <n v="0"/>
    <n v="794.64"/>
    <n v="7416.64"/>
  </r>
  <r>
    <d v="2021-03-31T00:00:00"/>
    <s v="Mar"/>
    <n v="2021"/>
    <x v="8"/>
    <s v="Productos Lácteos"/>
    <s v="Raclette Courdavault"/>
    <n v="50"/>
    <n v="51"/>
    <n v="2550"/>
    <n v="0"/>
    <n v="306"/>
    <n v="2856"/>
  </r>
  <r>
    <d v="2021-03-31T00:00:00"/>
    <s v="Mar"/>
    <n v="2021"/>
    <x v="8"/>
    <s v="Dulces"/>
    <s v="Pan largo escocés"/>
    <n v="89"/>
    <n v="57"/>
    <n v="5073"/>
    <n v="0"/>
    <n v="608.76"/>
    <n v="5681.76"/>
  </r>
  <r>
    <d v="2021-03-31T00:00:00"/>
    <s v="Mar"/>
    <n v="2021"/>
    <x v="8"/>
    <s v="Bebidas"/>
    <s v="Rhönbräu Klosterbier"/>
    <n v="67"/>
    <n v="64"/>
    <n v="4288"/>
    <n v="0"/>
    <n v="514.55999999999995"/>
    <n v="4802.5599999999995"/>
  </r>
  <r>
    <d v="2021-03-31T00:00:00"/>
    <s v="Mar"/>
    <n v="2021"/>
    <x v="46"/>
    <s v="Condimentos"/>
    <s v="Gula Malacca"/>
    <n v="27"/>
    <n v="69"/>
    <n v="1863"/>
    <n v="0.15000000596046401"/>
    <n v="223.56"/>
    <n v="2086.4099999940395"/>
  </r>
  <r>
    <d v="2021-03-31T00:00:00"/>
    <s v="Mar"/>
    <n v="2021"/>
    <x v="46"/>
    <s v="Condimentos"/>
    <s v="Salsa verde original de Frankfurt"/>
    <n v="44"/>
    <n v="39"/>
    <n v="1716"/>
    <n v="0.15000000596046401"/>
    <n v="205.92"/>
    <n v="1921.7699999940396"/>
  </r>
  <r>
    <d v="2021-04-01T00:00:00"/>
    <s v="Abr"/>
    <n v="2021"/>
    <x v="65"/>
    <s v="Dulces"/>
    <s v="Crema de Turrón de Nueces NuNuCa"/>
    <n v="27"/>
    <n v="20"/>
    <n v="540"/>
    <n v="5.0000000745058101E-2"/>
    <n v="64.8"/>
    <n v="604.7499999992549"/>
  </r>
  <r>
    <d v="2021-04-01T00:00:00"/>
    <s v="Abr"/>
    <n v="2021"/>
    <x v="65"/>
    <s v="Granos y Cereales"/>
    <s v="Fried Mee de hockey de Singapur"/>
    <n v="21"/>
    <n v="27"/>
    <n v="567"/>
    <n v="5.0000000745058101E-2"/>
    <n v="68.039999999999992"/>
    <n v="634.98999999925491"/>
  </r>
  <r>
    <d v="2021-04-02T00:00:00"/>
    <s v="Abr"/>
    <n v="2021"/>
    <x v="52"/>
    <s v="Condimentos"/>
    <s v="Salsa de pimiento picante de Luisiana"/>
    <n v="20"/>
    <n v="88"/>
    <n v="1760"/>
    <n v="0.10000000149011599"/>
    <n v="211.2"/>
    <n v="1971.0999999985099"/>
  </r>
  <r>
    <d v="2021-04-02T00:00:00"/>
    <s v="Abr"/>
    <n v="2021"/>
    <x v="52"/>
    <s v="Condimentos"/>
    <s v="Okra picante de Louisiana"/>
    <n v="19"/>
    <n v="15"/>
    <n v="285"/>
    <n v="0.10000000149011599"/>
    <n v="34.199999999999996"/>
    <n v="319.09999999850987"/>
  </r>
  <r>
    <d v="2021-04-02T00:00:00"/>
    <s v="Abr"/>
    <n v="2021"/>
    <x v="52"/>
    <s v="Productos Lácteos"/>
    <s v="Gudbrandsdalsost"/>
    <n v="80"/>
    <n v="33"/>
    <n v="2640"/>
    <n v="0.10000000149011599"/>
    <n v="316.8"/>
    <n v="2956.6999999985101"/>
  </r>
  <r>
    <d v="2021-04-02T00:00:00"/>
    <s v="Abr"/>
    <n v="2021"/>
    <x v="33"/>
    <s v="Granos y Cereales"/>
    <s v="Gnocchi di nonna Alice"/>
    <n v="28"/>
    <n v="75"/>
    <n v="2100"/>
    <n v="0"/>
    <n v="252"/>
    <n v="2352"/>
  </r>
  <r>
    <d v="2021-04-03T00:00:00"/>
    <s v="Abr"/>
    <n v="2021"/>
    <x v="76"/>
    <s v="Granos y Cereales"/>
    <s v="Pan plano"/>
    <n v="88"/>
    <n v="27"/>
    <n v="2376"/>
    <n v="0"/>
    <n v="285.12"/>
    <n v="2661.12"/>
  </r>
  <r>
    <d v="2021-04-03T00:00:00"/>
    <s v="Abr"/>
    <n v="2021"/>
    <x v="76"/>
    <s v="Mariscos"/>
    <s v="Sopa de almejas de Nueva Inglaterra de Jack"/>
    <n v="83"/>
    <n v="23"/>
    <n v="1909"/>
    <n v="0"/>
    <n v="229.07999999999998"/>
    <n v="2138.08"/>
  </r>
  <r>
    <d v="2021-04-03T00:00:00"/>
    <s v="Abr"/>
    <n v="2021"/>
    <x v="76"/>
    <s v="Condimentos"/>
    <s v="Salsa verde original de Frankfurt"/>
    <n v="12"/>
    <n v="20"/>
    <n v="240"/>
    <n v="0"/>
    <n v="28.799999999999997"/>
    <n v="268.8"/>
  </r>
  <r>
    <d v="2021-04-04T00:00:00"/>
    <s v="Abr"/>
    <n v="2021"/>
    <x v="1"/>
    <s v="Productos Lácteos"/>
    <s v="Gorgonzola Telino"/>
    <n v="98"/>
    <n v="54"/>
    <n v="5292"/>
    <n v="5.0000000745058101E-2"/>
    <n v="635.04"/>
    <n v="5926.9899999992549"/>
  </r>
  <r>
    <d v="2021-04-04T00:00:00"/>
    <s v="Abr"/>
    <n v="2021"/>
    <x v="27"/>
    <s v="Granos y Cereales"/>
    <s v="Gnocchi di nonna Alice"/>
    <n v="59"/>
    <n v="65"/>
    <n v="3835"/>
    <n v="0"/>
    <n v="460.2"/>
    <n v="4295.2"/>
  </r>
  <r>
    <d v="2021-04-04T00:00:00"/>
    <s v="Abr"/>
    <n v="2021"/>
    <x v="27"/>
    <s v="Productos Lácteos"/>
    <s v="Mozzarella di Giovanni"/>
    <n v="2"/>
    <n v="92"/>
    <n v="184"/>
    <n v="0"/>
    <n v="22.08"/>
    <n v="206.07999999999998"/>
  </r>
  <r>
    <d v="2021-04-04T00:00:00"/>
    <s v="Abr"/>
    <n v="2021"/>
    <x v="27"/>
    <s v="Condimentos"/>
    <s v="Salsa verde original de Frankfurt"/>
    <n v="25"/>
    <n v="57"/>
    <n v="1425"/>
    <n v="0"/>
    <n v="171"/>
    <n v="1596"/>
  </r>
  <r>
    <d v="2021-04-07T00:00:00"/>
    <s v="Abr"/>
    <n v="2021"/>
    <x v="8"/>
    <s v="Bebidas"/>
    <s v="Guaraná Fantástica"/>
    <n v="27"/>
    <n v="83"/>
    <n v="2241"/>
    <n v="0"/>
    <n v="268.92"/>
    <n v="2509.92"/>
  </r>
  <r>
    <d v="2021-04-07T00:00:00"/>
    <s v="Abr"/>
    <n v="2021"/>
    <x v="8"/>
    <s v="Mariscos"/>
    <s v="Carne de cangrejo de Boston"/>
    <n v="96"/>
    <n v="67"/>
    <n v="6432"/>
    <n v="0"/>
    <n v="771.83999999999992"/>
    <n v="7203.84"/>
  </r>
  <r>
    <d v="2021-04-07T00:00:00"/>
    <s v="Abr"/>
    <n v="2021"/>
    <x v="8"/>
    <s v="Granos y Cereales"/>
    <s v="Fried Mee de hockey de Singapur"/>
    <n v="94"/>
    <n v="68"/>
    <n v="6392"/>
    <n v="0"/>
    <n v="767.04"/>
    <n v="7159.04"/>
  </r>
  <r>
    <d v="2021-04-08T00:00:00"/>
    <s v="Abr"/>
    <n v="2021"/>
    <x v="29"/>
    <s v="Productos Alimenticios"/>
    <s v="Chucrut Rössle"/>
    <n v="37"/>
    <n v="74"/>
    <n v="2738"/>
    <n v="0"/>
    <n v="328.56"/>
    <n v="3066.56"/>
  </r>
  <r>
    <d v="2021-04-08T00:00:00"/>
    <s v="Abr"/>
    <n v="2021"/>
    <x v="29"/>
    <s v="Dulces"/>
    <s v="Maxilaku"/>
    <n v="18"/>
    <n v="25"/>
    <n v="450"/>
    <n v="0"/>
    <n v="54"/>
    <n v="504"/>
  </r>
  <r>
    <d v="2021-04-09T00:00:00"/>
    <s v="Abr"/>
    <n v="2021"/>
    <x v="52"/>
    <s v="Condimentos"/>
    <s v="Genes Shouyu"/>
    <n v="95"/>
    <n v="43"/>
    <n v="4085"/>
    <n v="5.0000000745058101E-2"/>
    <n v="490.2"/>
    <n v="4575.1499999992548"/>
  </r>
  <r>
    <d v="2021-04-09T00:00:00"/>
    <s v="Abr"/>
    <n v="2021"/>
    <x v="52"/>
    <s v="Productos Alimenticios"/>
    <s v="Chucrut Rössle"/>
    <n v="27"/>
    <n v="42"/>
    <n v="1134"/>
    <n v="5.0000000745058101E-2"/>
    <n v="136.07999999999998"/>
    <n v="1270.0299999992549"/>
  </r>
  <r>
    <d v="2021-04-09T00:00:00"/>
    <s v="Abr"/>
    <n v="2021"/>
    <x v="77"/>
    <s v="Carnes y Aves"/>
    <s v="Tourtière"/>
    <n v="85"/>
    <n v="11"/>
    <n v="935"/>
    <n v="0"/>
    <n v="112.2"/>
    <n v="1047.2"/>
  </r>
  <r>
    <d v="2021-04-10T00:00:00"/>
    <s v="Abr"/>
    <n v="2021"/>
    <x v="42"/>
    <s v="Mariscos"/>
    <s v="Arenque ahumado"/>
    <n v="14"/>
    <n v="51"/>
    <n v="714"/>
    <n v="0"/>
    <n v="85.679999999999993"/>
    <n v="799.68"/>
  </r>
  <r>
    <d v="2021-04-10T00:00:00"/>
    <s v="Abr"/>
    <n v="2021"/>
    <x v="42"/>
    <s v="Carnes y Aves"/>
    <s v="Empanadas de Perth"/>
    <n v="66"/>
    <n v="69"/>
    <n v="4554"/>
    <n v="0"/>
    <n v="546.48"/>
    <n v="5100.4799999999996"/>
  </r>
  <r>
    <d v="2021-04-10T00:00:00"/>
    <s v="Abr"/>
    <n v="2021"/>
    <x v="42"/>
    <s v="Bebidas"/>
    <s v="Lager de leñador riendo"/>
    <n v="73"/>
    <n v="61"/>
    <n v="4453"/>
    <n v="0"/>
    <n v="534.36"/>
    <n v="4987.3599999999997"/>
  </r>
  <r>
    <d v="2021-04-11T00:00:00"/>
    <s v="Abr"/>
    <n v="2021"/>
    <x v="34"/>
    <s v="Productos Alimenticios"/>
    <s v="tofu"/>
    <n v="62"/>
    <n v="70"/>
    <n v="4340"/>
    <n v="0"/>
    <n v="520.79999999999995"/>
    <n v="4860.8"/>
  </r>
  <r>
    <d v="2021-04-11T00:00:00"/>
    <s v="Abr"/>
    <n v="2021"/>
    <x v="34"/>
    <s v="Condimentos"/>
    <s v="Salsa de pimiento picante de Luisiana"/>
    <n v="58"/>
    <n v="17"/>
    <n v="986"/>
    <n v="0"/>
    <n v="118.32"/>
    <n v="1104.32"/>
  </r>
  <r>
    <d v="2021-04-11T00:00:00"/>
    <s v="Abr"/>
    <n v="2021"/>
    <x v="19"/>
    <s v="Bebidas"/>
    <s v="Chang"/>
    <n v="84"/>
    <n v="48"/>
    <n v="4032"/>
    <n v="0"/>
    <n v="483.84"/>
    <n v="4515.84"/>
  </r>
  <r>
    <d v="2021-04-11T00:00:00"/>
    <s v="Abr"/>
    <n v="2021"/>
    <x v="19"/>
    <s v="Dulces"/>
    <s v="Scones de Sir Rodney"/>
    <n v="50"/>
    <n v="19"/>
    <n v="950"/>
    <n v="0"/>
    <n v="114"/>
    <n v="1064"/>
  </r>
  <r>
    <d v="2021-04-11T00:00:00"/>
    <s v="Abr"/>
    <n v="2021"/>
    <x v="19"/>
    <s v="Carnes y Aves"/>
    <s v="Empanadas de Perth"/>
    <n v="60"/>
    <n v="85"/>
    <n v="5100"/>
    <n v="0"/>
    <n v="612"/>
    <n v="5712"/>
  </r>
  <r>
    <d v="2021-04-11T00:00:00"/>
    <s v="Abr"/>
    <n v="2021"/>
    <x v="19"/>
    <s v="Condimentos"/>
    <s v="miel de maple"/>
    <n v="4"/>
    <n v="45"/>
    <n v="180"/>
    <n v="0"/>
    <n v="21.599999999999998"/>
    <n v="201.6"/>
  </r>
  <r>
    <d v="2021-04-14T00:00:00"/>
    <s v="Abr"/>
    <n v="2021"/>
    <x v="48"/>
    <s v="Dulces"/>
    <s v="Tarta de azúcar"/>
    <n v="51"/>
    <n v="65"/>
    <n v="3315"/>
    <n v="0"/>
    <n v="397.8"/>
    <n v="3712.8"/>
  </r>
  <r>
    <d v="2021-04-15T00:00:00"/>
    <s v="Abr"/>
    <n v="2021"/>
    <x v="43"/>
    <s v="Dulces"/>
    <s v="Crema de Turrón de Nueces NuNuCa"/>
    <n v="44"/>
    <n v="100"/>
    <n v="4400"/>
    <n v="0.10000000149011599"/>
    <n v="528"/>
    <n v="4927.8999999985099"/>
  </r>
  <r>
    <d v="2021-04-15T00:00:00"/>
    <s v="Abr"/>
    <n v="2021"/>
    <x v="43"/>
    <s v="Bebidas"/>
    <s v="Outback Lager"/>
    <n v="39"/>
    <n v="16"/>
    <n v="624"/>
    <n v="0.10000000149011599"/>
    <n v="74.88"/>
    <n v="698.77999999850988"/>
  </r>
  <r>
    <d v="2021-04-15T00:00:00"/>
    <s v="Abr"/>
    <n v="2021"/>
    <x v="58"/>
    <s v="Bebidas"/>
    <s v="Café Ipoh"/>
    <n v="90"/>
    <n v="26"/>
    <n v="2340"/>
    <n v="0.15000000596046401"/>
    <n v="280.8"/>
    <n v="2620.6499999940397"/>
  </r>
  <r>
    <d v="2021-04-15T00:00:00"/>
    <s v="Abr"/>
    <n v="2021"/>
    <x v="58"/>
    <s v="Dulces"/>
    <s v="Chocolate"/>
    <n v="40"/>
    <n v="93"/>
    <n v="3720"/>
    <n v="0.15000000596046401"/>
    <n v="446.4"/>
    <n v="4166.2499999940392"/>
  </r>
  <r>
    <d v="2021-04-16T00:00:00"/>
    <s v="Abr"/>
    <n v="2021"/>
    <x v="67"/>
    <s v="Mariscos"/>
    <s v="Konbu"/>
    <n v="32"/>
    <n v="96"/>
    <n v="3072"/>
    <n v="0"/>
    <n v="368.64"/>
    <n v="3440.64"/>
  </r>
  <r>
    <d v="2021-04-16T00:00:00"/>
    <s v="Abr"/>
    <n v="2021"/>
    <x v="67"/>
    <s v="Bebidas"/>
    <s v="Chartreuse verde"/>
    <n v="100"/>
    <n v="33"/>
    <n v="3300"/>
    <n v="0"/>
    <n v="396"/>
    <n v="3696"/>
  </r>
  <r>
    <d v="2021-04-17T00:00:00"/>
    <s v="Abr"/>
    <n v="2021"/>
    <x v="77"/>
    <s v="Productos Alimenticios"/>
    <s v="Chucrut Rössle"/>
    <n v="41"/>
    <n v="55"/>
    <n v="2255"/>
    <n v="0"/>
    <n v="270.59999999999997"/>
    <n v="2525.6"/>
  </r>
  <r>
    <d v="2021-04-18T00:00:00"/>
    <s v="Abr"/>
    <n v="2021"/>
    <x v="44"/>
    <s v="Carnes y Aves"/>
    <s v="Salchicha asada de Turingia"/>
    <n v="84"/>
    <n v="12"/>
    <n v="1008"/>
    <n v="0"/>
    <n v="120.96"/>
    <n v="1128.96"/>
  </r>
  <r>
    <d v="2021-04-18T00:00:00"/>
    <s v="Abr"/>
    <n v="2021"/>
    <x v="44"/>
    <s v="Bebidas"/>
    <s v="Rhönbräu Klosterbier"/>
    <n v="55"/>
    <n v="59"/>
    <n v="3245"/>
    <n v="0.10000000149011599"/>
    <n v="389.4"/>
    <n v="3634.29999999851"/>
  </r>
  <r>
    <d v="2021-04-18T00:00:00"/>
    <s v="Abr"/>
    <n v="2021"/>
    <x v="47"/>
    <s v="Condimentos"/>
    <s v="Condimento Cajún del Chef Anton"/>
    <n v="65"/>
    <n v="52"/>
    <n v="3380"/>
    <n v="0.15000000596046401"/>
    <n v="405.59999999999997"/>
    <n v="3785.4499999940394"/>
  </r>
  <r>
    <d v="2021-04-18T00:00:00"/>
    <s v="Abr"/>
    <n v="2021"/>
    <x v="47"/>
    <s v="Productos Alimenticios"/>
    <s v="Peras secas orgánicas del tío Bob"/>
    <n v="94"/>
    <n v="29"/>
    <n v="2726"/>
    <n v="0.15000000596046401"/>
    <n v="327.12"/>
    <n v="3052.9699999940394"/>
  </r>
  <r>
    <d v="2021-04-18T00:00:00"/>
    <s v="Abr"/>
    <n v="2021"/>
    <x v="47"/>
    <s v="Condimentos"/>
    <s v="Salsa de arándanos Northwoods"/>
    <n v="68"/>
    <n v="11"/>
    <n v="748"/>
    <n v="0.15000000596046401"/>
    <n v="89.759999999999991"/>
    <n v="837.60999999403953"/>
  </r>
  <r>
    <d v="2021-04-21T00:00:00"/>
    <s v="Abr"/>
    <n v="2021"/>
    <x v="51"/>
    <s v="Bebidas"/>
    <s v="Guaraná Fantástica"/>
    <n v="66"/>
    <n v="70"/>
    <n v="4620"/>
    <n v="0.15000000596046401"/>
    <n v="554.4"/>
    <n v="5174.2499999940392"/>
  </r>
  <r>
    <d v="2021-04-21T00:00:00"/>
    <s v="Abr"/>
    <n v="2021"/>
    <x v="51"/>
    <s v="Mariscos"/>
    <s v="arenque"/>
    <n v="70"/>
    <n v="57"/>
    <n v="3990"/>
    <n v="0.15000000596046401"/>
    <n v="478.79999999999995"/>
    <n v="4468.6499999940397"/>
  </r>
  <r>
    <d v="2021-04-21T00:00:00"/>
    <s v="Abr"/>
    <n v="2021"/>
    <x v="51"/>
    <s v="Dulces"/>
    <s v="Tortas Zaanse"/>
    <n v="56"/>
    <n v="81"/>
    <n v="4536"/>
    <n v="0.15000000596046401"/>
    <n v="544.31999999999994"/>
    <n v="5080.1699999940392"/>
  </r>
  <r>
    <d v="2021-04-21T00:00:00"/>
    <s v="Abr"/>
    <n v="2021"/>
    <x v="51"/>
    <s v="Productos Lácteos"/>
    <s v="Pierrot camembert"/>
    <n v="4"/>
    <n v="60"/>
    <n v="240"/>
    <n v="0.15000000596046401"/>
    <n v="28.799999999999997"/>
    <n v="268.64999999403955"/>
  </r>
  <r>
    <d v="2021-04-22T00:00:00"/>
    <s v="Abr"/>
    <n v="2021"/>
    <x v="35"/>
    <s v="Dulces"/>
    <s v="Scones de Sir Rodney"/>
    <n v="82"/>
    <n v="97"/>
    <n v="7954"/>
    <n v="0.20000000298023199"/>
    <n v="954.48"/>
    <n v="8908.2799999970193"/>
  </r>
  <r>
    <d v="2021-04-22T00:00:00"/>
    <s v="Abr"/>
    <n v="2021"/>
    <x v="35"/>
    <s v="Productos Lácteos"/>
    <s v="Mascarpone Fabioli"/>
    <n v="60"/>
    <n v="85"/>
    <n v="5100"/>
    <n v="0.20000000298023199"/>
    <n v="612"/>
    <n v="5711.7999999970198"/>
  </r>
  <r>
    <d v="2021-04-22T00:00:00"/>
    <s v="Abr"/>
    <n v="2021"/>
    <x v="35"/>
    <s v="Condimentos"/>
    <s v="miel de maple"/>
    <n v="51"/>
    <n v="76"/>
    <n v="3876"/>
    <n v="0.20000000298023199"/>
    <n v="465.12"/>
    <n v="4340.9199999970197"/>
  </r>
  <r>
    <d v="2021-04-22T00:00:00"/>
    <s v="Abr"/>
    <n v="2021"/>
    <x v="9"/>
    <s v="Dulces"/>
    <s v="Mermelada de Sir Rodney"/>
    <n v="60"/>
    <n v="84"/>
    <n v="5040"/>
    <n v="0"/>
    <n v="604.79999999999995"/>
    <n v="5644.8"/>
  </r>
  <r>
    <d v="2021-04-22T00:00:00"/>
    <s v="Abr"/>
    <n v="2021"/>
    <x v="9"/>
    <s v="Productos Alimenticios"/>
    <s v="Chucrut Rössle"/>
    <n v="61"/>
    <n v="39"/>
    <n v="2379"/>
    <n v="0"/>
    <n v="285.47999999999996"/>
    <n v="2664.48"/>
  </r>
  <r>
    <d v="2021-04-22T00:00:00"/>
    <s v="Abr"/>
    <n v="2021"/>
    <x v="9"/>
    <s v="Granos y Cereales"/>
    <s v="Gnocchi di nonna Alice"/>
    <n v="98"/>
    <n v="62"/>
    <n v="6076"/>
    <n v="0"/>
    <n v="729.12"/>
    <n v="6805.12"/>
  </r>
  <r>
    <d v="2021-04-22T00:00:00"/>
    <s v="Abr"/>
    <n v="2021"/>
    <x v="9"/>
    <s v="Condimentos"/>
    <s v="Salsa de pimiento picante de Luisiana"/>
    <n v="35"/>
    <n v="26"/>
    <n v="910"/>
    <n v="0"/>
    <n v="109.2"/>
    <n v="1019.2"/>
  </r>
  <r>
    <d v="2021-04-22T00:00:00"/>
    <s v="Abr"/>
    <n v="2021"/>
    <x v="9"/>
    <s v="Bebidas"/>
    <s v="Rhönbräu Klosterbier"/>
    <n v="50"/>
    <n v="22"/>
    <n v="1100"/>
    <n v="0"/>
    <n v="132"/>
    <n v="1232"/>
  </r>
  <r>
    <d v="2021-04-23T00:00:00"/>
    <s v="Abr"/>
    <n v="2021"/>
    <x v="21"/>
    <s v="Carnes y Aves"/>
    <s v="Mishi Kobe Niku"/>
    <n v="15"/>
    <n v="43"/>
    <n v="645"/>
    <n v="0.15000000596046401"/>
    <n v="77.399999999999991"/>
    <n v="722.24999999403951"/>
  </r>
  <r>
    <d v="2021-04-23T00:00:00"/>
    <s v="Abr"/>
    <n v="2021"/>
    <x v="21"/>
    <s v="Dulces"/>
    <s v="Pavlova"/>
    <n v="12"/>
    <n v="38"/>
    <n v="456"/>
    <n v="0"/>
    <n v="54.72"/>
    <n v="510.72"/>
  </r>
  <r>
    <d v="2021-04-23T00:00:00"/>
    <s v="Abr"/>
    <n v="2021"/>
    <x v="21"/>
    <s v="Dulces"/>
    <s v="Chocolate Schoggi"/>
    <n v="53"/>
    <n v="84"/>
    <n v="4452"/>
    <n v="0"/>
    <n v="534.24"/>
    <n v="4986.24"/>
  </r>
  <r>
    <d v="2021-04-23T00:00:00"/>
    <s v="Abr"/>
    <n v="2021"/>
    <x v="21"/>
    <s v="Productos Lácteos"/>
    <s v="Queso de cabra"/>
    <n v="40"/>
    <n v="56"/>
    <n v="2240"/>
    <n v="0.15000000596046401"/>
    <n v="268.8"/>
    <n v="2508.6499999940397"/>
  </r>
  <r>
    <d v="2021-04-23T00:00:00"/>
    <s v="Abr"/>
    <n v="2021"/>
    <x v="21"/>
    <s v="Productos Lácteos"/>
    <s v="Pierrot camembert"/>
    <n v="87"/>
    <n v="23"/>
    <n v="2001"/>
    <n v="0.15000000596046401"/>
    <n v="240.12"/>
    <n v="2240.9699999940394"/>
  </r>
  <r>
    <d v="2021-04-24T00:00:00"/>
    <s v="Abr"/>
    <n v="2021"/>
    <x v="34"/>
    <s v="Mariscos"/>
    <s v="Tigres de Carnarvon"/>
    <n v="95"/>
    <n v="60"/>
    <n v="5700"/>
    <n v="0.10000000149011599"/>
    <n v="684"/>
    <n v="6383.8999999985099"/>
  </r>
  <r>
    <d v="2021-04-24T00:00:00"/>
    <s v="Abr"/>
    <n v="2021"/>
    <x v="34"/>
    <s v="Mariscos"/>
    <s v="Sopa de almejas de Nueva Inglaterra de Jack"/>
    <n v="55"/>
    <n v="31"/>
    <n v="1705"/>
    <n v="0.10000000149011599"/>
    <n v="204.6"/>
    <n v="1909.4999999985098"/>
  </r>
  <r>
    <d v="2021-04-24T00:00:00"/>
    <s v="Abr"/>
    <n v="2021"/>
    <x v="34"/>
    <s v="Granos y Cereales"/>
    <s v="Fried Mee de hockey de Singapur"/>
    <n v="46"/>
    <n v="97"/>
    <n v="4462"/>
    <n v="0"/>
    <n v="535.43999999999994"/>
    <n v="4997.4399999999996"/>
  </r>
  <r>
    <d v="2021-04-24T00:00:00"/>
    <s v="Abr"/>
    <n v="2021"/>
    <x v="78"/>
    <s v="Granos y Cereales"/>
    <s v="Filo Mix"/>
    <n v="33"/>
    <n v="66"/>
    <n v="2178"/>
    <n v="0"/>
    <n v="261.36"/>
    <n v="2439.36"/>
  </r>
  <r>
    <d v="2021-04-24T00:00:00"/>
    <s v="Abr"/>
    <n v="2021"/>
    <x v="78"/>
    <s v="Productos Lácteos"/>
    <s v="Raclette Courdavault"/>
    <n v="88"/>
    <n v="58"/>
    <n v="5104"/>
    <n v="0"/>
    <n v="612.48"/>
    <n v="5716.48"/>
  </r>
  <r>
    <d v="2021-04-24T00:00:00"/>
    <s v="Abr"/>
    <n v="2021"/>
    <x v="78"/>
    <s v="Bebidas"/>
    <s v="Outback Lager"/>
    <n v="53"/>
    <n v="64"/>
    <n v="3392"/>
    <n v="0"/>
    <n v="407.03999999999996"/>
    <n v="3799.04"/>
  </r>
  <r>
    <d v="2021-04-25T00:00:00"/>
    <s v="Abr"/>
    <n v="2021"/>
    <x v="24"/>
    <s v="Bebidas"/>
    <s v="Guaraná Fantástica"/>
    <n v="78"/>
    <n v="51"/>
    <n v="3978"/>
    <n v="0"/>
    <n v="477.35999999999996"/>
    <n v="4455.3599999999997"/>
  </r>
  <r>
    <d v="2021-04-25T00:00:00"/>
    <s v="Abr"/>
    <n v="2021"/>
    <x v="24"/>
    <s v="Bebidas"/>
    <s v="Côte de Blaye"/>
    <n v="85"/>
    <n v="29"/>
    <n v="2465"/>
    <n v="0"/>
    <n v="295.8"/>
    <n v="2760.8"/>
  </r>
  <r>
    <d v="2021-04-25T00:00:00"/>
    <s v="Abr"/>
    <n v="2021"/>
    <x v="24"/>
    <s v="Condimentos"/>
    <s v="Gula Malacca"/>
    <n v="45"/>
    <n v="71"/>
    <n v="3195"/>
    <n v="0"/>
    <n v="383.4"/>
    <n v="3578.4"/>
  </r>
  <r>
    <d v="2021-04-28T00:00:00"/>
    <s v="Abr"/>
    <n v="2021"/>
    <x v="5"/>
    <s v="Mariscos"/>
    <s v="Ikura"/>
    <n v="72"/>
    <n v="19"/>
    <n v="1368"/>
    <n v="5.0000000745058101E-2"/>
    <n v="164.16"/>
    <n v="1532.109999999255"/>
  </r>
  <r>
    <d v="2021-04-28T00:00:00"/>
    <s v="Abr"/>
    <n v="2021"/>
    <x v="5"/>
    <s v="Granos y Cereales"/>
    <s v="Gnocchi di nonna Alice"/>
    <n v="69"/>
    <n v="24"/>
    <n v="1656"/>
    <n v="0"/>
    <n v="198.72"/>
    <n v="1854.72"/>
  </r>
  <r>
    <d v="2021-04-28T00:00:00"/>
    <s v="Abr"/>
    <n v="2021"/>
    <x v="5"/>
    <s v="Productos Lácteos"/>
    <s v="Pierrot camembert"/>
    <n v="79"/>
    <n v="42"/>
    <n v="3318"/>
    <n v="5.0000000745058101E-2"/>
    <n v="398.15999999999997"/>
    <n v="3716.1099999992548"/>
  </r>
  <r>
    <d v="2021-04-29T00:00:00"/>
    <s v="Abr"/>
    <n v="2021"/>
    <x v="64"/>
    <s v="Bebidas"/>
    <s v="Guaraná Fantástica"/>
    <n v="35"/>
    <n v="24"/>
    <n v="840"/>
    <n v="0"/>
    <n v="100.8"/>
    <n v="940.8"/>
  </r>
  <r>
    <d v="2021-04-29T00:00:00"/>
    <s v="Abr"/>
    <n v="2021"/>
    <x v="64"/>
    <s v="Carnes y Aves"/>
    <s v="Empanadas de Perth"/>
    <n v="83"/>
    <n v="87"/>
    <n v="7221"/>
    <n v="0"/>
    <n v="866.52"/>
    <n v="8087.52"/>
  </r>
  <r>
    <d v="2021-04-29T00:00:00"/>
    <s v="Abr"/>
    <n v="2021"/>
    <x v="79"/>
    <s v="Bebidas"/>
    <s v="Steeleye Stout"/>
    <n v="63"/>
    <n v="65"/>
    <n v="4095"/>
    <n v="0"/>
    <n v="491.4"/>
    <n v="4586.3999999999996"/>
  </r>
  <r>
    <d v="2021-04-29T00:00:00"/>
    <s v="Abr"/>
    <n v="2021"/>
    <x v="79"/>
    <s v="Mariscos"/>
    <s v="Sopa de almejas de Nueva Inglaterra de Jack"/>
    <n v="91"/>
    <n v="24"/>
    <n v="2184"/>
    <n v="0"/>
    <n v="262.08"/>
    <n v="2446.08"/>
  </r>
  <r>
    <d v="2021-04-29T00:00:00"/>
    <s v="Abr"/>
    <n v="2021"/>
    <x v="79"/>
    <s v="Dulces"/>
    <s v="Pan largo escocés"/>
    <n v="5"/>
    <n v="76"/>
    <n v="380"/>
    <n v="0"/>
    <n v="45.6"/>
    <n v="425.6"/>
  </r>
  <r>
    <d v="2021-04-30T00:00:00"/>
    <s v="Abr"/>
    <n v="2021"/>
    <x v="27"/>
    <s v="Bebidas"/>
    <s v="Chai"/>
    <n v="52"/>
    <n v="88"/>
    <n v="4576"/>
    <n v="0.20000000298023199"/>
    <n v="549.12"/>
    <n v="5124.9199999970197"/>
  </r>
  <r>
    <d v="2021-04-30T00:00:00"/>
    <s v="Abr"/>
    <n v="2021"/>
    <x v="27"/>
    <s v="Condimentos"/>
    <s v="Salsa de arándanos Northwoods"/>
    <n v="100"/>
    <n v="86"/>
    <n v="8600"/>
    <n v="0"/>
    <n v="1032"/>
    <n v="9632"/>
  </r>
  <r>
    <d v="2021-04-30T00:00:00"/>
    <s v="Abr"/>
    <n v="2021"/>
    <x v="27"/>
    <s v="Mariscos"/>
    <s v="Nord-Ost Matjeshering"/>
    <n v="3"/>
    <n v="46"/>
    <n v="138"/>
    <n v="0.20000000298023199"/>
    <n v="16.559999999999999"/>
    <n v="154.35999999701977"/>
  </r>
  <r>
    <d v="2021-04-30T00:00:00"/>
    <s v="Abr"/>
    <n v="2021"/>
    <x v="27"/>
    <s v="Mariscos"/>
    <s v="Carne de cangrejo de Boston"/>
    <n v="40"/>
    <n v="79"/>
    <n v="3160"/>
    <n v="0.20000000298023199"/>
    <n v="379.2"/>
    <n v="3538.9999999970196"/>
  </r>
  <r>
    <d v="2021-05-01T00:00:00"/>
    <s v="May"/>
    <n v="2021"/>
    <x v="55"/>
    <s v="Carnes y Aves"/>
    <s v="Alice Cordero"/>
    <n v="37"/>
    <n v="74"/>
    <n v="2738"/>
    <n v="0.10000000149011599"/>
    <n v="328.56"/>
    <n v="3066.4599999985098"/>
  </r>
  <r>
    <d v="2021-05-01T00:00:00"/>
    <s v="May"/>
    <n v="2021"/>
    <x v="55"/>
    <s v="Dulces"/>
    <s v="Mermelada de Sir Rodney"/>
    <n v="3"/>
    <n v="68"/>
    <n v="204"/>
    <n v="0.10000000149011599"/>
    <n v="24.48"/>
    <n v="228.37999999850987"/>
  </r>
  <r>
    <d v="2021-05-01T00:00:00"/>
    <s v="May"/>
    <n v="2021"/>
    <x v="55"/>
    <s v="Mariscos"/>
    <s v="Gravad laxo"/>
    <n v="21"/>
    <n v="18"/>
    <n v="378"/>
    <n v="0.10000000149011599"/>
    <n v="45.36"/>
    <n v="423.2599999985099"/>
  </r>
  <r>
    <d v="2021-05-01T00:00:00"/>
    <s v="May"/>
    <n v="2021"/>
    <x v="55"/>
    <s v="Mariscos"/>
    <s v="Sopa de almejas de Nueva Inglaterra de Jack"/>
    <n v="3"/>
    <n v="69"/>
    <n v="207"/>
    <n v="0.10000000149011599"/>
    <n v="24.84"/>
    <n v="231.73999999850989"/>
  </r>
  <r>
    <d v="2021-05-01T00:00:00"/>
    <s v="May"/>
    <n v="2021"/>
    <x v="26"/>
    <s v="Mariscos"/>
    <s v="Ikura"/>
    <n v="75"/>
    <n v="73"/>
    <n v="5475"/>
    <n v="0"/>
    <n v="657"/>
    <n v="6132"/>
  </r>
  <r>
    <d v="2021-05-01T00:00:00"/>
    <s v="May"/>
    <n v="2021"/>
    <x v="26"/>
    <s v="Mariscos"/>
    <s v="Nord-Ost Matjeshering"/>
    <n v="1"/>
    <n v="60"/>
    <n v="60"/>
    <n v="0"/>
    <n v="7.1999999999999993"/>
    <n v="67.2"/>
  </r>
  <r>
    <d v="2021-05-01T00:00:00"/>
    <s v="May"/>
    <n v="2021"/>
    <x v="26"/>
    <s v="Bebidas"/>
    <s v="Café Ipoh"/>
    <n v="95"/>
    <n v="91"/>
    <n v="8645"/>
    <n v="0"/>
    <n v="1037.3999999999999"/>
    <n v="9682.4"/>
  </r>
  <r>
    <d v="2021-05-01T00:00:00"/>
    <s v="May"/>
    <n v="2021"/>
    <x v="26"/>
    <s v="Carnes y Aves"/>
    <s v="Tourtière"/>
    <n v="55"/>
    <n v="43"/>
    <n v="2365"/>
    <n v="0"/>
    <n v="283.8"/>
    <n v="2648.8"/>
  </r>
  <r>
    <d v="2021-05-02T00:00:00"/>
    <s v="May"/>
    <n v="2021"/>
    <x v="47"/>
    <s v="Mariscos"/>
    <s v="Arenque en escabeche"/>
    <n v="84"/>
    <n v="77"/>
    <n v="6468"/>
    <n v="0"/>
    <n v="776.16"/>
    <n v="7244.16"/>
  </r>
  <r>
    <d v="2021-05-02T00:00:00"/>
    <s v="May"/>
    <n v="2021"/>
    <x v="47"/>
    <s v="Mariscos"/>
    <s v="Carne de cangrejo de Boston"/>
    <n v="53"/>
    <n v="91"/>
    <n v="4823"/>
    <n v="0.10000000149011599"/>
    <n v="578.76"/>
    <n v="5401.6599999985101"/>
  </r>
  <r>
    <d v="2021-05-05T00:00:00"/>
    <s v="May"/>
    <n v="2021"/>
    <x v="16"/>
    <s v="Bebidas"/>
    <s v="Chai"/>
    <n v="49"/>
    <n v="79"/>
    <n v="3871"/>
    <n v="0.15000000596046401"/>
    <n v="464.52"/>
    <n v="4335.36999999404"/>
  </r>
  <r>
    <d v="2021-05-05T00:00:00"/>
    <s v="May"/>
    <n v="2021"/>
    <x v="16"/>
    <s v="Mariscos"/>
    <s v="Konbu"/>
    <n v="42"/>
    <n v="12"/>
    <n v="504"/>
    <n v="0"/>
    <n v="60.48"/>
    <n v="564.48"/>
  </r>
  <r>
    <d v="2021-05-05T00:00:00"/>
    <s v="May"/>
    <n v="2021"/>
    <x v="16"/>
    <s v="Granos y Cereales"/>
    <s v="Gnocchi di nonna Alice"/>
    <n v="6"/>
    <n v="59"/>
    <n v="354"/>
    <n v="0.15000000596046401"/>
    <n v="42.48"/>
    <n v="396.32999999403955"/>
  </r>
  <r>
    <d v="2021-05-05T00:00:00"/>
    <s v="May"/>
    <n v="2021"/>
    <x v="21"/>
    <s v="Condimentos"/>
    <s v="Condimento Cajún del Chef Anton"/>
    <n v="79"/>
    <n v="58"/>
    <n v="4582"/>
    <n v="0.10000000149011599"/>
    <n v="549.84"/>
    <n v="5131.73999999851"/>
  </r>
  <r>
    <d v="2021-05-05T00:00:00"/>
    <s v="May"/>
    <n v="2021"/>
    <x v="21"/>
    <s v="Mariscos"/>
    <s v="Arenque en escabeche"/>
    <n v="66"/>
    <n v="89"/>
    <n v="5874"/>
    <n v="0.10000000149011599"/>
    <n v="704.88"/>
    <n v="6578.77999999851"/>
  </r>
  <r>
    <d v="2021-05-06T00:00:00"/>
    <s v="May"/>
    <n v="2021"/>
    <x v="80"/>
    <s v="Productos Lácteos"/>
    <s v="Queso Cabrales"/>
    <n v="91"/>
    <n v="79"/>
    <n v="7189"/>
    <n v="0"/>
    <n v="862.68"/>
    <n v="8051.68"/>
  </r>
  <r>
    <d v="2021-05-06T00:00:00"/>
    <s v="May"/>
    <n v="2021"/>
    <x v="80"/>
    <s v="Productos Lácteos"/>
    <s v="Queso de cabra"/>
    <n v="57"/>
    <n v="38"/>
    <n v="2166"/>
    <n v="0.20000000298023199"/>
    <n v="259.92"/>
    <n v="2425.7199999970198"/>
  </r>
  <r>
    <d v="2021-05-06T00:00:00"/>
    <s v="May"/>
    <n v="2021"/>
    <x v="80"/>
    <s v="Productos Lácteos"/>
    <s v="Mozzarella di Giovanni"/>
    <n v="23"/>
    <n v="60"/>
    <n v="1380"/>
    <n v="0"/>
    <n v="165.6"/>
    <n v="1545.6"/>
  </r>
  <r>
    <d v="2021-05-07T00:00:00"/>
    <s v="May"/>
    <n v="2021"/>
    <x v="81"/>
    <s v="Carnes y Aves"/>
    <s v="Paté chino"/>
    <n v="43"/>
    <n v="82"/>
    <n v="3526"/>
    <n v="0"/>
    <n v="423.12"/>
    <n v="3949.12"/>
  </r>
  <r>
    <d v="2021-05-07T00:00:00"/>
    <s v="May"/>
    <n v="2021"/>
    <x v="81"/>
    <s v="Dulces"/>
    <s v="Pan largo escocés"/>
    <n v="24"/>
    <n v="80"/>
    <n v="1920"/>
    <n v="0"/>
    <n v="230.39999999999998"/>
    <n v="2150.4"/>
  </r>
  <r>
    <d v="2021-05-07T00:00:00"/>
    <s v="May"/>
    <n v="2021"/>
    <x v="81"/>
    <s v="Productos Lácteos"/>
    <s v="Gudbrandsdalsost"/>
    <n v="54"/>
    <n v="58"/>
    <n v="3132"/>
    <n v="0"/>
    <n v="375.84"/>
    <n v="3507.84"/>
  </r>
  <r>
    <d v="2021-05-08T00:00:00"/>
    <s v="May"/>
    <n v="2021"/>
    <x v="53"/>
    <s v="Carnes y Aves"/>
    <s v="Alice Cordero"/>
    <n v="77"/>
    <n v="89"/>
    <n v="6853"/>
    <n v="0"/>
    <n v="822.36"/>
    <n v="7675.36"/>
  </r>
  <r>
    <d v="2021-05-08T00:00:00"/>
    <s v="May"/>
    <n v="2021"/>
    <x v="53"/>
    <s v="Bebidas"/>
    <s v="Café Ipoh"/>
    <n v="57"/>
    <n v="24"/>
    <n v="1368"/>
    <n v="0"/>
    <n v="164.16"/>
    <n v="1532.16"/>
  </r>
  <r>
    <d v="2021-05-08T00:00:00"/>
    <s v="May"/>
    <n v="2021"/>
    <x v="53"/>
    <s v="Condimentos"/>
    <s v="miel de maple"/>
    <n v="34"/>
    <n v="27"/>
    <n v="918"/>
    <n v="0"/>
    <n v="110.16"/>
    <n v="1028.1600000000001"/>
  </r>
  <r>
    <d v="2021-05-08T00:00:00"/>
    <s v="May"/>
    <n v="2021"/>
    <x v="53"/>
    <s v="Bebidas"/>
    <s v="Lakkalikööri"/>
    <n v="78"/>
    <n v="37"/>
    <n v="2886"/>
    <n v="0"/>
    <n v="346.32"/>
    <n v="3232.32"/>
  </r>
  <r>
    <d v="2021-05-08T00:00:00"/>
    <s v="May"/>
    <n v="2021"/>
    <x v="69"/>
    <s v="Productos Lácteos"/>
    <s v="Raclette Courdavault"/>
    <n v="88"/>
    <n v="41"/>
    <n v="3608"/>
    <n v="0"/>
    <n v="432.96"/>
    <n v="4040.96"/>
  </r>
  <r>
    <d v="2021-05-09T00:00:00"/>
    <s v="May"/>
    <n v="2021"/>
    <x v="57"/>
    <s v="Mariscos"/>
    <s v="Nord-Ost Matjeshering"/>
    <n v="24"/>
    <n v="36"/>
    <n v="864"/>
    <n v="0"/>
    <n v="103.67999999999999"/>
    <n v="967.68"/>
  </r>
  <r>
    <d v="2021-05-09T00:00:00"/>
    <s v="May"/>
    <n v="2021"/>
    <x v="57"/>
    <s v="Condimentos"/>
    <s v="Okra picante de Louisiana"/>
    <n v="82"/>
    <n v="48"/>
    <n v="3936"/>
    <n v="0"/>
    <n v="472.32"/>
    <n v="4408.32"/>
  </r>
  <r>
    <d v="2021-05-12T00:00:00"/>
    <s v="May"/>
    <n v="2021"/>
    <x v="14"/>
    <s v="Condimentos"/>
    <s v="Condimento Cajún del Chef Anton"/>
    <n v="58"/>
    <n v="21"/>
    <n v="1218"/>
    <n v="5.0000000745058101E-2"/>
    <n v="146.16"/>
    <n v="1364.109999999255"/>
  </r>
  <r>
    <d v="2021-05-12T00:00:00"/>
    <s v="May"/>
    <n v="2021"/>
    <x v="14"/>
    <s v="Productos Lácteos"/>
    <s v="Mozzarella di Giovanni"/>
    <n v="66"/>
    <n v="48"/>
    <n v="3168"/>
    <n v="0"/>
    <n v="380.15999999999997"/>
    <n v="3548.16"/>
  </r>
  <r>
    <d v="2021-05-12T00:00:00"/>
    <s v="May"/>
    <n v="2021"/>
    <x v="14"/>
    <s v="Mariscos"/>
    <s v="Caviar rojo"/>
    <n v="4"/>
    <n v="45"/>
    <n v="180"/>
    <n v="5.0000000745058101E-2"/>
    <n v="21.599999999999998"/>
    <n v="201.54999999925494"/>
  </r>
  <r>
    <d v="2021-05-12T00:00:00"/>
    <s v="May"/>
    <n v="2021"/>
    <x v="27"/>
    <s v="Mariscos"/>
    <s v="Nord-Ost Matjeshering"/>
    <n v="20"/>
    <n v="45"/>
    <n v="900"/>
    <n v="0"/>
    <n v="108"/>
    <n v="1008"/>
  </r>
  <r>
    <d v="2021-05-12T00:00:00"/>
    <s v="May"/>
    <n v="2021"/>
    <x v="27"/>
    <s v="Mariscos"/>
    <s v="Carne de cangrejo de Boston"/>
    <n v="92"/>
    <n v="89"/>
    <n v="8188"/>
    <n v="0.20000000298023199"/>
    <n v="982.56"/>
    <n v="9170.3599999970193"/>
  </r>
  <r>
    <d v="2021-05-12T00:00:00"/>
    <s v="May"/>
    <n v="2021"/>
    <x v="27"/>
    <s v="Carnes y Aves"/>
    <s v="Tourtière"/>
    <n v="74"/>
    <n v="18"/>
    <n v="1332"/>
    <n v="0.20000000298023199"/>
    <n v="159.84"/>
    <n v="1491.6399999970197"/>
  </r>
  <r>
    <d v="2021-05-13T00:00:00"/>
    <s v="May"/>
    <n v="2021"/>
    <x v="58"/>
    <s v="Productos Lácteos"/>
    <s v="Queso Cabrales"/>
    <n v="7"/>
    <n v="49"/>
    <n v="343"/>
    <n v="0.10000000149011599"/>
    <n v="41.16"/>
    <n v="384.05999999850985"/>
  </r>
  <r>
    <d v="2021-05-13T00:00:00"/>
    <s v="May"/>
    <n v="2021"/>
    <x v="58"/>
    <s v="Mariscos"/>
    <s v="Carne de cangrejo de Boston"/>
    <n v="17"/>
    <n v="41"/>
    <n v="697"/>
    <n v="0.10000000149011599"/>
    <n v="83.64"/>
    <n v="780.53999999850987"/>
  </r>
  <r>
    <d v="2021-05-13T00:00:00"/>
    <s v="May"/>
    <n v="2021"/>
    <x v="58"/>
    <s v="Granos y Cereales"/>
    <s v="Ravioli Angelo"/>
    <n v="84"/>
    <n v="99"/>
    <n v="8316"/>
    <n v="0.10000000149011599"/>
    <n v="997.92"/>
    <n v="9313.81999999851"/>
  </r>
  <r>
    <d v="2021-05-13T00:00:00"/>
    <s v="May"/>
    <n v="2021"/>
    <x v="58"/>
    <s v="Productos Lácteos"/>
    <s v="Raclette Courdavault"/>
    <n v="78"/>
    <n v="14"/>
    <n v="1092"/>
    <n v="0.10000000149011599"/>
    <n v="131.04"/>
    <n v="1222.9399999985098"/>
  </r>
  <r>
    <d v="2021-05-14T00:00:00"/>
    <s v="May"/>
    <n v="2021"/>
    <x v="27"/>
    <s v="Productos Lácteos"/>
    <s v="Queso Manchego La Pastora"/>
    <n v="82"/>
    <n v="95"/>
    <n v="7790"/>
    <n v="0.25"/>
    <n v="934.8"/>
    <n v="8724.5499999999993"/>
  </r>
  <r>
    <d v="2021-05-14T00:00:00"/>
    <s v="May"/>
    <n v="2021"/>
    <x v="27"/>
    <s v="Productos Lácteos"/>
    <s v="Gorgonzola Telino"/>
    <n v="56"/>
    <n v="11"/>
    <n v="616"/>
    <n v="0"/>
    <n v="73.92"/>
    <n v="689.92"/>
  </r>
  <r>
    <d v="2021-05-14T00:00:00"/>
    <s v="May"/>
    <n v="2021"/>
    <x v="27"/>
    <s v="Productos Lácteos"/>
    <s v="Queso de cabra"/>
    <n v="6"/>
    <n v="19"/>
    <n v="114"/>
    <n v="0"/>
    <n v="13.68"/>
    <n v="127.68"/>
  </r>
  <r>
    <d v="2021-05-14T00:00:00"/>
    <s v="May"/>
    <n v="2021"/>
    <x v="27"/>
    <s v="Productos Lácteos"/>
    <s v="Pierrot camembert"/>
    <n v="14"/>
    <n v="27"/>
    <n v="378"/>
    <n v="0.25"/>
    <n v="45.36"/>
    <n v="423.11"/>
  </r>
  <r>
    <d v="2021-05-14T00:00:00"/>
    <s v="May"/>
    <n v="2021"/>
    <x v="6"/>
    <s v="Productos Lácteos"/>
    <s v="Gorgonzola Telino"/>
    <n v="61"/>
    <n v="54"/>
    <n v="3294"/>
    <n v="0"/>
    <n v="395.28"/>
    <n v="3689.2799999999997"/>
  </r>
  <r>
    <d v="2021-05-14T00:00:00"/>
    <s v="May"/>
    <n v="2021"/>
    <x v="6"/>
    <s v="Productos Alimenticios"/>
    <s v="Manjimup Dry Apples"/>
    <n v="88"/>
    <n v="19"/>
    <n v="1672"/>
    <n v="0"/>
    <n v="200.64"/>
    <n v="1872.6399999999999"/>
  </r>
  <r>
    <d v="2021-05-14T00:00:00"/>
    <s v="May"/>
    <n v="2021"/>
    <x v="6"/>
    <s v="Mariscos"/>
    <s v="Escorts borgoña"/>
    <n v="58"/>
    <n v="76"/>
    <n v="4408"/>
    <n v="0"/>
    <n v="528.96"/>
    <n v="4936.96"/>
  </r>
  <r>
    <d v="2021-05-14T00:00:00"/>
    <s v="May"/>
    <n v="2021"/>
    <x v="6"/>
    <s v="Productos Lácteos"/>
    <s v="Mozzarella di Giovanni"/>
    <n v="11"/>
    <n v="34"/>
    <n v="374"/>
    <n v="0"/>
    <n v="44.879999999999995"/>
    <n v="418.88"/>
  </r>
  <r>
    <d v="2021-05-14T00:00:00"/>
    <s v="May"/>
    <n v="2021"/>
    <x v="6"/>
    <s v="Mariscos"/>
    <s v="Caviar rojo"/>
    <n v="100"/>
    <n v="58"/>
    <n v="5800"/>
    <n v="0"/>
    <n v="696"/>
    <n v="6496"/>
  </r>
  <r>
    <d v="2021-05-15T00:00:00"/>
    <s v="May"/>
    <n v="2021"/>
    <x v="32"/>
    <s v="Bebidas"/>
    <s v="Outback Lager"/>
    <n v="71"/>
    <n v="69"/>
    <n v="4899"/>
    <n v="0"/>
    <n v="587.88"/>
    <n v="5486.88"/>
  </r>
  <r>
    <d v="2021-05-15T00:00:00"/>
    <s v="May"/>
    <n v="2021"/>
    <x v="32"/>
    <s v="Productos Lácteos"/>
    <s v="Mozzarella di Giovanni"/>
    <n v="54"/>
    <n v="90"/>
    <n v="4860"/>
    <n v="0"/>
    <n v="583.19999999999993"/>
    <n v="5443.2"/>
  </r>
  <r>
    <d v="2021-05-16T00:00:00"/>
    <s v="May"/>
    <n v="2021"/>
    <x v="32"/>
    <s v="Mariscos"/>
    <s v="Konbu"/>
    <n v="28"/>
    <n v="55"/>
    <n v="1540"/>
    <n v="0"/>
    <n v="184.79999999999998"/>
    <n v="1724.8"/>
  </r>
  <r>
    <d v="2021-05-16T00:00:00"/>
    <s v="May"/>
    <n v="2021"/>
    <x v="32"/>
    <s v="Dulces"/>
    <s v="Scones de Sir Rodney"/>
    <n v="27"/>
    <n v="33"/>
    <n v="891"/>
    <n v="0"/>
    <n v="106.92"/>
    <n v="997.92"/>
  </r>
  <r>
    <d v="2021-05-16T00:00:00"/>
    <s v="May"/>
    <n v="2021"/>
    <x v="32"/>
    <s v="Productos Lácteos"/>
    <s v="Queso de cabra"/>
    <n v="14"/>
    <n v="32"/>
    <n v="448"/>
    <n v="0"/>
    <n v="53.76"/>
    <n v="501.76"/>
  </r>
  <r>
    <d v="2021-05-16T00:00:00"/>
    <s v="May"/>
    <n v="2021"/>
    <x v="32"/>
    <s v="Dulces"/>
    <s v="Maxilaku"/>
    <n v="63"/>
    <n v="40"/>
    <n v="2520"/>
    <n v="0"/>
    <n v="302.39999999999998"/>
    <n v="2822.4"/>
  </r>
  <r>
    <d v="2021-05-19T00:00:00"/>
    <s v="May"/>
    <n v="2021"/>
    <x v="21"/>
    <s v="Condimentos"/>
    <s v="Jarabe de anís"/>
    <n v="19"/>
    <n v="44"/>
    <n v="836"/>
    <n v="0"/>
    <n v="100.32"/>
    <n v="936.31999999999994"/>
  </r>
  <r>
    <d v="2021-05-19T00:00:00"/>
    <s v="May"/>
    <n v="2021"/>
    <x v="21"/>
    <s v="Dulces"/>
    <s v="Gummär Gummibärchen"/>
    <n v="35"/>
    <n v="71"/>
    <n v="2485"/>
    <n v="0"/>
    <n v="298.2"/>
    <n v="2783.2"/>
  </r>
  <r>
    <d v="2021-05-19T00:00:00"/>
    <s v="May"/>
    <n v="2021"/>
    <x v="21"/>
    <s v="Bebidas"/>
    <s v="Côte de Blaye"/>
    <n v="18"/>
    <n v="60"/>
    <n v="1080"/>
    <n v="0"/>
    <n v="129.6"/>
    <n v="1209.5999999999999"/>
  </r>
  <r>
    <d v="2021-05-19T00:00:00"/>
    <s v="May"/>
    <n v="2021"/>
    <x v="21"/>
    <s v="Dulces"/>
    <s v="Pan largo escocés"/>
    <n v="88"/>
    <n v="25"/>
    <n v="2200"/>
    <n v="0"/>
    <n v="264"/>
    <n v="2464"/>
  </r>
  <r>
    <d v="2021-05-19T00:00:00"/>
    <s v="May"/>
    <n v="2021"/>
    <x v="2"/>
    <s v="Bebidas"/>
    <s v="Guaraná Fantástica"/>
    <n v="68"/>
    <n v="85"/>
    <n v="5780"/>
    <n v="0.10000000149011599"/>
    <n v="693.6"/>
    <n v="6473.4999999985102"/>
  </r>
  <r>
    <d v="2021-05-19T00:00:00"/>
    <s v="May"/>
    <n v="2021"/>
    <x v="2"/>
    <s v="Bebidas"/>
    <s v="Côte de Blaye"/>
    <n v="32"/>
    <n v="60"/>
    <n v="1920"/>
    <n v="0.10000000149011599"/>
    <n v="230.39999999999998"/>
    <n v="2150.29999999851"/>
  </r>
  <r>
    <d v="2021-05-19T00:00:00"/>
    <s v="May"/>
    <n v="2021"/>
    <x v="2"/>
    <s v="Condimentos"/>
    <s v="Salsa de pimiento picante de Luisiana"/>
    <n v="73"/>
    <n v="98"/>
    <n v="7154"/>
    <n v="0.10000000149011599"/>
    <n v="858.48"/>
    <n v="8012.3799999985094"/>
  </r>
  <r>
    <d v="2021-05-19T00:00:00"/>
    <s v="May"/>
    <n v="2021"/>
    <x v="2"/>
    <s v="Productos Lácteos"/>
    <s v="Queso crema"/>
    <n v="15"/>
    <n v="75"/>
    <n v="1125"/>
    <n v="0.10000000149011599"/>
    <n v="135"/>
    <n v="1259.8999999985099"/>
  </r>
  <r>
    <d v="2021-05-20T00:00:00"/>
    <s v="May"/>
    <n v="2021"/>
    <x v="43"/>
    <s v="Productos Lácteos"/>
    <s v="Queso Cabrales"/>
    <n v="39"/>
    <n v="26"/>
    <n v="1014"/>
    <n v="5.0000000745058101E-2"/>
    <n v="121.67999999999999"/>
    <n v="1135.629999999255"/>
  </r>
  <r>
    <d v="2021-05-20T00:00:00"/>
    <s v="May"/>
    <n v="2021"/>
    <x v="43"/>
    <s v="Carnes y Aves"/>
    <s v="Tourtière"/>
    <n v="57"/>
    <n v="22"/>
    <n v="1254"/>
    <n v="5.0000000745058101E-2"/>
    <n v="150.47999999999999"/>
    <n v="1404.429999999255"/>
  </r>
  <r>
    <d v="2021-05-21T00:00:00"/>
    <s v="May"/>
    <n v="2021"/>
    <x v="29"/>
    <s v="Productos Lácteos"/>
    <s v="Queso Manchego La Pastora"/>
    <n v="8"/>
    <n v="11"/>
    <n v="88"/>
    <n v="0.15000000596046401"/>
    <n v="10.559999999999999"/>
    <n v="98.409999994039538"/>
  </r>
  <r>
    <d v="2021-05-21T00:00:00"/>
    <s v="May"/>
    <n v="2021"/>
    <x v="29"/>
    <s v="Granos y Cereales"/>
    <s v="Pan plano"/>
    <n v="58"/>
    <n v="63"/>
    <n v="3654"/>
    <n v="0.15000000596046401"/>
    <n v="438.47999999999996"/>
    <n v="4092.3299999940396"/>
  </r>
  <r>
    <d v="2021-05-21T00:00:00"/>
    <s v="May"/>
    <n v="2021"/>
    <x v="37"/>
    <s v="Productos Alimenticios"/>
    <s v="Chucrut Rössle"/>
    <n v="53"/>
    <n v="87"/>
    <n v="4611"/>
    <n v="0"/>
    <n v="553.31999999999994"/>
    <n v="5164.32"/>
  </r>
  <r>
    <d v="2021-05-21T00:00:00"/>
    <s v="May"/>
    <n v="2021"/>
    <x v="37"/>
    <s v="Bebidas"/>
    <s v="Lager de leñador riendo"/>
    <n v="95"/>
    <n v="21"/>
    <n v="1995"/>
    <n v="0"/>
    <n v="239.39999999999998"/>
    <n v="2234.4"/>
  </r>
  <r>
    <d v="2021-05-22T00:00:00"/>
    <s v="May"/>
    <n v="2021"/>
    <x v="75"/>
    <s v="Productos Lácteos"/>
    <s v="Queso Cabrales"/>
    <n v="69"/>
    <n v="75"/>
    <n v="5175"/>
    <n v="0"/>
    <n v="621"/>
    <n v="5796"/>
  </r>
  <r>
    <d v="2021-05-23T00:00:00"/>
    <s v="May"/>
    <n v="2021"/>
    <x v="3"/>
    <s v="Productos Alimenticios"/>
    <s v="Peras secas orgánicas del tío Bob"/>
    <n v="3"/>
    <n v="52"/>
    <n v="156"/>
    <n v="0"/>
    <n v="18.72"/>
    <n v="174.72"/>
  </r>
  <r>
    <d v="2021-05-23T00:00:00"/>
    <s v="May"/>
    <n v="2021"/>
    <x v="3"/>
    <s v="Bebidas"/>
    <s v="Steeleye Stout"/>
    <n v="96"/>
    <n v="70"/>
    <n v="6720"/>
    <n v="0"/>
    <n v="806.4"/>
    <n v="7526.4"/>
  </r>
  <r>
    <d v="2021-05-23T00:00:00"/>
    <s v="May"/>
    <n v="2021"/>
    <x v="3"/>
    <s v="Dulces"/>
    <s v="Tarta de azúcar"/>
    <n v="54"/>
    <n v="25"/>
    <n v="1350"/>
    <n v="0"/>
    <n v="162"/>
    <n v="1512"/>
  </r>
  <r>
    <d v="2021-05-23T00:00:00"/>
    <s v="May"/>
    <n v="2021"/>
    <x v="55"/>
    <s v="Productos Lácteos"/>
    <s v="Mascarpone Fabioli"/>
    <n v="94"/>
    <n v="15"/>
    <n v="1410"/>
    <n v="0.15000000596046401"/>
    <n v="169.2"/>
    <n v="1579.0499999940396"/>
  </r>
  <r>
    <d v="2021-05-23T00:00:00"/>
    <s v="May"/>
    <n v="2021"/>
    <x v="55"/>
    <s v="Mariscos"/>
    <s v="Arenque en escabeche"/>
    <n v="36"/>
    <n v="39"/>
    <n v="1404"/>
    <n v="0"/>
    <n v="168.48"/>
    <n v="1572.48"/>
  </r>
  <r>
    <d v="2021-05-26T00:00:00"/>
    <s v="May"/>
    <n v="2021"/>
    <x v="73"/>
    <s v="Bebidas"/>
    <s v="Sasquatch Ale"/>
    <n v="65"/>
    <n v="11"/>
    <n v="715"/>
    <n v="0.25"/>
    <n v="85.8"/>
    <n v="800.55"/>
  </r>
  <r>
    <d v="2021-05-26T00:00:00"/>
    <s v="May"/>
    <n v="2021"/>
    <x v="73"/>
    <s v="Mariscos"/>
    <s v="Sopa de almejas de Nueva Inglaterra de Jack"/>
    <n v="37"/>
    <n v="76"/>
    <n v="2812"/>
    <n v="0"/>
    <n v="337.44"/>
    <n v="3149.44"/>
  </r>
  <r>
    <d v="2021-05-27T00:00:00"/>
    <s v="May"/>
    <n v="2021"/>
    <x v="21"/>
    <s v="Productos Lácteos"/>
    <s v="Gorgonzola Telino"/>
    <n v="41"/>
    <n v="80"/>
    <n v="3280"/>
    <n v="0.15000000596046401"/>
    <n v="393.59999999999997"/>
    <n v="3673.4499999940394"/>
  </r>
  <r>
    <d v="2021-05-27T00:00:00"/>
    <s v="May"/>
    <n v="2021"/>
    <x v="21"/>
    <s v="Mariscos"/>
    <s v="Arenque ahumado"/>
    <n v="50"/>
    <n v="62"/>
    <n v="3100"/>
    <n v="0.15000000596046401"/>
    <n v="372"/>
    <n v="3471.8499999940395"/>
  </r>
  <r>
    <d v="2021-05-27T00:00:00"/>
    <s v="May"/>
    <n v="2021"/>
    <x v="21"/>
    <s v="Productos Alimenticios"/>
    <s v="Manjimup Dry Apples"/>
    <n v="57"/>
    <n v="21"/>
    <n v="1197"/>
    <n v="0.15000000596046401"/>
    <n v="143.63999999999999"/>
    <n v="1340.4899999940394"/>
  </r>
  <r>
    <d v="2021-05-28T00:00:00"/>
    <s v="May"/>
    <n v="2021"/>
    <x v="36"/>
    <s v="Carnes y Aves"/>
    <s v="Alice Cordero"/>
    <n v="3"/>
    <n v="62"/>
    <n v="186"/>
    <n v="0.10000000149011599"/>
    <n v="22.32"/>
    <n v="208.21999999850988"/>
  </r>
  <r>
    <d v="2021-05-28T00:00:00"/>
    <s v="May"/>
    <n v="2021"/>
    <x v="36"/>
    <s v="Dulces"/>
    <s v="Galletas de chocolate a la hora del té"/>
    <n v="53"/>
    <n v="43"/>
    <n v="2279"/>
    <n v="0"/>
    <n v="273.48"/>
    <n v="2552.48"/>
  </r>
  <r>
    <d v="2021-05-28T00:00:00"/>
    <s v="May"/>
    <n v="2021"/>
    <x v="36"/>
    <s v="Dulces"/>
    <s v="Scones de Sir Rodney"/>
    <n v="18"/>
    <n v="44"/>
    <n v="792"/>
    <n v="0.10000000149011599"/>
    <n v="95.039999999999992"/>
    <n v="886.93999999850985"/>
  </r>
  <r>
    <d v="2021-05-28T00:00:00"/>
    <s v="May"/>
    <n v="2021"/>
    <x v="36"/>
    <s v="Condimentos"/>
    <s v="miel de maple"/>
    <n v="5"/>
    <n v="12"/>
    <n v="60"/>
    <n v="0.10000000149011599"/>
    <n v="7.1999999999999993"/>
    <n v="67.099999998509887"/>
  </r>
  <r>
    <d v="2021-05-28T00:00:00"/>
    <s v="May"/>
    <n v="2021"/>
    <x v="46"/>
    <s v="Dulces"/>
    <s v="Pavlova"/>
    <n v="34"/>
    <n v="22"/>
    <n v="748"/>
    <n v="0.15000000596046401"/>
    <n v="89.759999999999991"/>
    <n v="837.60999999403953"/>
  </r>
  <r>
    <d v="2021-05-28T00:00:00"/>
    <s v="May"/>
    <n v="2021"/>
    <x v="46"/>
    <s v="Bebidas"/>
    <s v="Steeleye Stout"/>
    <n v="40"/>
    <n v="89"/>
    <n v="3560"/>
    <n v="0.15000000596046401"/>
    <n v="427.2"/>
    <n v="3987.0499999940394"/>
  </r>
  <r>
    <d v="2021-05-28T00:00:00"/>
    <s v="May"/>
    <n v="2021"/>
    <x v="46"/>
    <s v="Condimentos"/>
    <s v="Gula Malacca"/>
    <n v="58"/>
    <n v="39"/>
    <n v="2262"/>
    <n v="0"/>
    <n v="271.44"/>
    <n v="2533.44"/>
  </r>
  <r>
    <d v="2021-05-29T00:00:00"/>
    <s v="May"/>
    <n v="2021"/>
    <x v="8"/>
    <s v="Productos Lácteos"/>
    <s v="Gudbrandsdalsost"/>
    <n v="30"/>
    <n v="32"/>
    <n v="960"/>
    <n v="0"/>
    <n v="115.19999999999999"/>
    <n v="1075.2"/>
  </r>
  <r>
    <d v="2021-05-29T00:00:00"/>
    <s v="May"/>
    <n v="2021"/>
    <x v="8"/>
    <s v="Bebidas"/>
    <s v="Rhönbräu Klosterbier"/>
    <n v="66"/>
    <n v="82"/>
    <n v="5412"/>
    <n v="0"/>
    <n v="649.43999999999994"/>
    <n v="6061.44"/>
  </r>
  <r>
    <d v="2021-05-30T00:00:00"/>
    <s v="May"/>
    <n v="2021"/>
    <x v="16"/>
    <s v="Productos Lácteos"/>
    <s v="Queso Cabrales"/>
    <n v="13"/>
    <n v="22"/>
    <n v="286"/>
    <n v="0"/>
    <n v="34.32"/>
    <n v="320.32"/>
  </r>
  <r>
    <d v="2021-05-30T00:00:00"/>
    <s v="May"/>
    <n v="2021"/>
    <x v="16"/>
    <s v="Dulces"/>
    <s v="Pavlova"/>
    <n v="95"/>
    <n v="70"/>
    <n v="6650"/>
    <n v="0"/>
    <n v="798"/>
    <n v="7448"/>
  </r>
  <r>
    <d v="2021-05-30T00:00:00"/>
    <s v="May"/>
    <n v="2021"/>
    <x v="16"/>
    <s v="Granos y Cereales"/>
    <s v="Pan crujiente de Gustaf"/>
    <n v="46"/>
    <n v="80"/>
    <n v="3680"/>
    <n v="0"/>
    <n v="441.59999999999997"/>
    <n v="4121.6000000000004"/>
  </r>
  <r>
    <d v="2021-05-30T00:00:00"/>
    <s v="May"/>
    <n v="2021"/>
    <x v="16"/>
    <s v="Productos Lácteos"/>
    <s v="Gorgonzola Telino"/>
    <n v="62"/>
    <n v="74"/>
    <n v="4588"/>
    <n v="0"/>
    <n v="550.55999999999995"/>
    <n v="5138.5599999999995"/>
  </r>
  <r>
    <d v="2021-05-30T00:00:00"/>
    <s v="May"/>
    <n v="2021"/>
    <x v="16"/>
    <s v="Bebidas"/>
    <s v="Steeleye Stout"/>
    <n v="97"/>
    <n v="18"/>
    <n v="1746"/>
    <n v="0"/>
    <n v="209.51999999999998"/>
    <n v="1955.52"/>
  </r>
  <r>
    <d v="2021-05-30T00:00:00"/>
    <s v="May"/>
    <n v="2021"/>
    <x v="67"/>
    <s v="Dulces"/>
    <s v="Pavlova"/>
    <n v="18"/>
    <n v="11"/>
    <n v="198"/>
    <n v="5.0000000745058101E-2"/>
    <n v="23.759999999999998"/>
    <n v="221.70999999925493"/>
  </r>
  <r>
    <d v="2021-05-30T00:00:00"/>
    <s v="May"/>
    <n v="2021"/>
    <x v="67"/>
    <s v="Granos y Cereales"/>
    <s v="Pan plano"/>
    <n v="5"/>
    <n v="39"/>
    <n v="195"/>
    <n v="5.0000000745058101E-2"/>
    <n v="23.4"/>
    <n v="218.34999999925495"/>
  </r>
  <r>
    <d v="2021-05-30T00:00:00"/>
    <s v="May"/>
    <n v="2021"/>
    <x v="67"/>
    <s v="Dulces"/>
    <s v="Tarta de azúcar"/>
    <n v="11"/>
    <n v="11"/>
    <n v="121"/>
    <n v="5.0000000745058101E-2"/>
    <n v="14.52"/>
    <n v="135.46999999925495"/>
  </r>
  <r>
    <d v="2021-05-30T00:00:00"/>
    <s v="May"/>
    <n v="2021"/>
    <x v="67"/>
    <s v="Condimentos"/>
    <s v="Salsa verde original de Frankfurt"/>
    <n v="26"/>
    <n v="58"/>
    <n v="1508"/>
    <n v="5.0000000745058101E-2"/>
    <n v="180.95999999999998"/>
    <n v="1688.909999999255"/>
  </r>
  <r>
    <d v="2021-06-02T00:00:00"/>
    <s v="Jun"/>
    <n v="2021"/>
    <x v="44"/>
    <s v="Productos Alimenticios"/>
    <s v="tofu"/>
    <n v="28"/>
    <n v="81"/>
    <n v="2268"/>
    <n v="0.20000000298023199"/>
    <n v="272.15999999999997"/>
    <n v="2539.9599999970196"/>
  </r>
  <r>
    <d v="2021-06-02T00:00:00"/>
    <s v="Jun"/>
    <n v="2021"/>
    <x v="44"/>
    <s v="Dulces"/>
    <s v="Galletas de chocolate a la hora del té"/>
    <n v="87"/>
    <n v="24"/>
    <n v="2088"/>
    <n v="0.20000000298023199"/>
    <n v="250.56"/>
    <n v="2338.3599999970197"/>
  </r>
  <r>
    <d v="2021-06-02T00:00:00"/>
    <s v="Jun"/>
    <n v="2021"/>
    <x v="44"/>
    <s v="Bebidas"/>
    <s v="Guaraná Fantástica"/>
    <n v="36"/>
    <n v="70"/>
    <n v="2520"/>
    <n v="0.20000000298023199"/>
    <n v="302.39999999999998"/>
    <n v="2822.1999999970199"/>
  </r>
  <r>
    <d v="2021-06-02T00:00:00"/>
    <s v="Jun"/>
    <n v="2021"/>
    <x v="44"/>
    <s v="Productos Alimenticios"/>
    <s v="Manjimup Dry Apples"/>
    <n v="75"/>
    <n v="11"/>
    <n v="825"/>
    <n v="0.20000000298023199"/>
    <n v="99"/>
    <n v="923.79999999701977"/>
  </r>
  <r>
    <d v="2021-06-02T00:00:00"/>
    <s v="Jun"/>
    <n v="2021"/>
    <x v="44"/>
    <s v="Granos y Cereales"/>
    <s v="Gnocchi di nonna Alice"/>
    <n v="77"/>
    <n v="15"/>
    <n v="1155"/>
    <n v="0.20000000298023199"/>
    <n v="138.6"/>
    <n v="1293.3999999970197"/>
  </r>
  <r>
    <d v="2021-06-03T00:00:00"/>
    <s v="Jun"/>
    <n v="2021"/>
    <x v="50"/>
    <s v="Productos Lácteos"/>
    <s v="Mozzarella di Giovanni"/>
    <n v="81"/>
    <n v="18"/>
    <n v="1458"/>
    <n v="0"/>
    <n v="174.95999999999998"/>
    <n v="1632.96"/>
  </r>
  <r>
    <d v="2021-06-03T00:00:00"/>
    <s v="Jun"/>
    <n v="2021"/>
    <x v="27"/>
    <s v="Granos y Cereales"/>
    <s v="El buen Semmelknödel de Wimmer"/>
    <n v="1"/>
    <n v="19"/>
    <n v="19"/>
    <n v="0"/>
    <n v="2.2799999999999998"/>
    <n v="21.28"/>
  </r>
  <r>
    <d v="2021-06-03T00:00:00"/>
    <s v="Jun"/>
    <n v="2021"/>
    <x v="27"/>
    <s v="Bebidas"/>
    <s v="Rhönbräu Klosterbier"/>
    <n v="29"/>
    <n v="43"/>
    <n v="1247"/>
    <n v="0"/>
    <n v="149.63999999999999"/>
    <n v="1396.6399999999999"/>
  </r>
  <r>
    <d v="2021-06-04T00:00:00"/>
    <s v="Jun"/>
    <n v="2021"/>
    <x v="54"/>
    <s v="Dulces"/>
    <s v="Tortas Zaanse"/>
    <n v="60"/>
    <n v="88"/>
    <n v="5280"/>
    <n v="0"/>
    <n v="633.6"/>
    <n v="5913.6"/>
  </r>
  <r>
    <d v="2021-06-04T00:00:00"/>
    <s v="Jun"/>
    <n v="2021"/>
    <x v="54"/>
    <s v="Productos Alimenticios"/>
    <s v="Manjimup Dry Apples"/>
    <n v="27"/>
    <n v="73"/>
    <n v="1971"/>
    <n v="0"/>
    <n v="236.51999999999998"/>
    <n v="2207.52"/>
  </r>
  <r>
    <d v="2021-06-04T00:00:00"/>
    <s v="Jun"/>
    <n v="2021"/>
    <x v="54"/>
    <s v="Granos y Cereales"/>
    <s v="Filo Mix"/>
    <n v="44"/>
    <n v="66"/>
    <n v="2904"/>
    <n v="0"/>
    <n v="348.47999999999996"/>
    <n v="3252.48"/>
  </r>
  <r>
    <d v="2021-06-04T00:00:00"/>
    <s v="Jun"/>
    <n v="2021"/>
    <x v="54"/>
    <s v="Carnes y Aves"/>
    <s v="Empanadas de Perth"/>
    <n v="35"/>
    <n v="97"/>
    <n v="3395"/>
    <n v="0"/>
    <n v="407.4"/>
    <n v="3802.4"/>
  </r>
  <r>
    <d v="2021-06-04T00:00:00"/>
    <s v="Jun"/>
    <n v="2021"/>
    <x v="54"/>
    <s v="Mariscos"/>
    <s v="Caviar rojo"/>
    <n v="44"/>
    <n v="48"/>
    <n v="2112"/>
    <n v="0"/>
    <n v="253.44"/>
    <n v="2365.44"/>
  </r>
  <r>
    <d v="2021-06-05T00:00:00"/>
    <s v="Jun"/>
    <n v="2021"/>
    <x v="15"/>
    <s v="Mariscos"/>
    <s v="Sopa de almejas de Nueva Inglaterra de Jack"/>
    <n v="50"/>
    <n v="35"/>
    <n v="1750"/>
    <n v="5.0000000745058101E-2"/>
    <n v="210"/>
    <n v="1959.9499999992549"/>
  </r>
  <r>
    <d v="2021-06-05T00:00:00"/>
    <s v="Jun"/>
    <n v="2021"/>
    <x v="15"/>
    <s v="Carnes y Aves"/>
    <s v="Paté chino"/>
    <n v="18"/>
    <n v="91"/>
    <n v="1638"/>
    <n v="5.0000000745058101E-2"/>
    <n v="196.56"/>
    <n v="1834.5099999992549"/>
  </r>
  <r>
    <d v="2021-06-06T00:00:00"/>
    <s v="Jun"/>
    <n v="2021"/>
    <x v="17"/>
    <s v="Mariscos"/>
    <s v="Nord-Ost Matjeshering"/>
    <n v="80"/>
    <n v="30"/>
    <n v="2400"/>
    <n v="0"/>
    <n v="288"/>
    <n v="2688"/>
  </r>
  <r>
    <d v="2021-06-06T00:00:00"/>
    <s v="Jun"/>
    <n v="2021"/>
    <x v="17"/>
    <s v="Dulces"/>
    <s v="Tarta de azúcar"/>
    <n v="21"/>
    <n v="39"/>
    <n v="819"/>
    <n v="0.25"/>
    <n v="98.28"/>
    <n v="917.03"/>
  </r>
  <r>
    <d v="2021-06-06T00:00:00"/>
    <s v="Jun"/>
    <n v="2021"/>
    <x v="14"/>
    <s v="Condimentos"/>
    <s v="Gula Malacca"/>
    <n v="83"/>
    <n v="66"/>
    <n v="5478"/>
    <n v="0"/>
    <n v="657.36"/>
    <n v="6135.36"/>
  </r>
  <r>
    <d v="2021-06-06T00:00:00"/>
    <s v="Jun"/>
    <n v="2021"/>
    <x v="14"/>
    <s v="Productos Alimenticios"/>
    <s v="Manjimup Dry Apples"/>
    <n v="11"/>
    <n v="30"/>
    <n v="330"/>
    <n v="0"/>
    <n v="39.6"/>
    <n v="369.6"/>
  </r>
  <r>
    <d v="2021-06-09T00:00:00"/>
    <s v="Jun"/>
    <n v="2021"/>
    <x v="31"/>
    <s v="Productos Lácteos"/>
    <s v="Queso de cabra"/>
    <n v="24"/>
    <n v="11"/>
    <n v="264"/>
    <n v="0.10000000149011599"/>
    <n v="31.68"/>
    <n v="295.57999999850989"/>
  </r>
  <r>
    <d v="2021-06-09T00:00:00"/>
    <s v="Jun"/>
    <n v="2021"/>
    <x v="31"/>
    <s v="Dulces"/>
    <s v="Tarta de azúcar"/>
    <n v="46"/>
    <n v="24"/>
    <n v="1104"/>
    <n v="0.10000000149011599"/>
    <n v="132.47999999999999"/>
    <n v="1236.3799999985099"/>
  </r>
  <r>
    <d v="2021-06-10T00:00:00"/>
    <s v="Jun"/>
    <n v="2021"/>
    <x v="30"/>
    <s v="Mariscos"/>
    <s v="Arenque en escabeche"/>
    <n v="3"/>
    <n v="89"/>
    <n v="267"/>
    <n v="0"/>
    <n v="32.04"/>
    <n v="299.04000000000002"/>
  </r>
  <r>
    <d v="2021-06-10T00:00:00"/>
    <s v="Jun"/>
    <n v="2021"/>
    <x v="30"/>
    <s v="Granos y Cereales"/>
    <s v="Filo Mix"/>
    <n v="93"/>
    <n v="53"/>
    <n v="4929"/>
    <n v="0"/>
    <n v="591.48"/>
    <n v="5520.48"/>
  </r>
  <r>
    <d v="2021-06-10T00:00:00"/>
    <s v="Jun"/>
    <n v="2021"/>
    <x v="13"/>
    <s v="Carnes y Aves"/>
    <s v="Alice Cordero"/>
    <n v="100"/>
    <n v="23"/>
    <n v="2300"/>
    <n v="5.0000000745058101E-2"/>
    <n v="276"/>
    <n v="2575.9499999992549"/>
  </r>
  <r>
    <d v="2021-06-10T00:00:00"/>
    <s v="Jun"/>
    <n v="2021"/>
    <x v="13"/>
    <s v="Productos Lácteos"/>
    <s v="Gorgonzola Telino"/>
    <n v="17"/>
    <n v="32"/>
    <n v="544"/>
    <n v="5.0000000745058101E-2"/>
    <n v="65.28"/>
    <n v="609.22999999925491"/>
  </r>
  <r>
    <d v="2021-06-10T00:00:00"/>
    <s v="Jun"/>
    <n v="2021"/>
    <x v="13"/>
    <s v="Carnes y Aves"/>
    <s v="Paté chino"/>
    <n v="19"/>
    <n v="68"/>
    <n v="1292"/>
    <n v="5.0000000745058101E-2"/>
    <n v="155.04"/>
    <n v="1446.9899999992549"/>
  </r>
  <r>
    <d v="2021-06-11T00:00:00"/>
    <s v="Jun"/>
    <n v="2021"/>
    <x v="48"/>
    <s v="Bebidas"/>
    <s v="Guaraná Fantástica"/>
    <n v="88"/>
    <n v="25"/>
    <n v="2200"/>
    <n v="0.10000000149011599"/>
    <n v="264"/>
    <n v="2463.8999999985099"/>
  </r>
  <r>
    <d v="2021-06-11T00:00:00"/>
    <s v="Jun"/>
    <n v="2021"/>
    <x v="48"/>
    <s v="Granos y Cereales"/>
    <s v="El buen Semmelknödel de Wimmer"/>
    <n v="2"/>
    <n v="73"/>
    <n v="146"/>
    <n v="0.10000000149011599"/>
    <n v="17.52"/>
    <n v="163.41999999850989"/>
  </r>
  <r>
    <d v="2021-06-12T00:00:00"/>
    <s v="Jun"/>
    <n v="2021"/>
    <x v="15"/>
    <s v="Productos Lácteos"/>
    <s v="Queso Cabrales"/>
    <n v="48"/>
    <n v="50"/>
    <n v="2400"/>
    <n v="0.15000000596046401"/>
    <n v="288"/>
    <n v="2687.8499999940395"/>
  </r>
  <r>
    <d v="2021-06-12T00:00:00"/>
    <s v="Jun"/>
    <n v="2021"/>
    <x v="15"/>
    <s v="Mariscos"/>
    <s v="Tigres de Carnarvon"/>
    <n v="19"/>
    <n v="27"/>
    <n v="513"/>
    <n v="0.15000000596046401"/>
    <n v="61.559999999999995"/>
    <n v="574.40999999403948"/>
  </r>
  <r>
    <d v="2021-06-12T00:00:00"/>
    <s v="Jun"/>
    <n v="2021"/>
    <x v="15"/>
    <s v="Bebidas"/>
    <s v="Lakkalikööri"/>
    <n v="89"/>
    <n v="88"/>
    <n v="7832"/>
    <n v="0"/>
    <n v="939.83999999999992"/>
    <n v="8771.84"/>
  </r>
  <r>
    <d v="2021-06-12T00:00:00"/>
    <s v="Jun"/>
    <n v="2021"/>
    <x v="34"/>
    <s v="Productos Lácteos"/>
    <s v="Gorgonzola Telino"/>
    <n v="85"/>
    <n v="89"/>
    <n v="7565"/>
    <n v="0.20000000298023199"/>
    <n v="907.8"/>
    <n v="8472.599999997019"/>
  </r>
  <r>
    <d v="2021-06-12T00:00:00"/>
    <s v="Jun"/>
    <n v="2021"/>
    <x v="34"/>
    <s v="Productos Alimenticios"/>
    <s v="Manjimup Dry Apples"/>
    <n v="1"/>
    <n v="24"/>
    <n v="24"/>
    <n v="0"/>
    <n v="2.88"/>
    <n v="26.88"/>
  </r>
  <r>
    <d v="2021-06-12T00:00:00"/>
    <s v="Jun"/>
    <n v="2021"/>
    <x v="34"/>
    <s v="Productos Lácteos"/>
    <s v="Raclette Courdavault"/>
    <n v="96"/>
    <n v="72"/>
    <n v="6912"/>
    <n v="0.20000000298023199"/>
    <n v="829.43999999999994"/>
    <n v="7741.2399999970194"/>
  </r>
  <r>
    <d v="2021-06-13T00:00:00"/>
    <s v="Jun"/>
    <n v="2021"/>
    <x v="59"/>
    <s v="Mariscos"/>
    <s v="Ikura"/>
    <n v="25"/>
    <n v="87"/>
    <n v="2175"/>
    <n v="0"/>
    <n v="261"/>
    <n v="2436"/>
  </r>
  <r>
    <d v="2021-06-16T00:00:00"/>
    <s v="Jun"/>
    <n v="2021"/>
    <x v="13"/>
    <s v="Productos Lácteos"/>
    <s v="Gorgonzola Telino"/>
    <n v="33"/>
    <n v="77"/>
    <n v="2541"/>
    <n v="0.20000000298023199"/>
    <n v="304.92"/>
    <n v="2845.7199999970198"/>
  </r>
  <r>
    <d v="2021-06-16T00:00:00"/>
    <s v="Jun"/>
    <n v="2021"/>
    <x v="13"/>
    <s v="Bebidas"/>
    <s v="Lakkalikööri"/>
    <n v="4"/>
    <n v="27"/>
    <n v="108"/>
    <n v="0"/>
    <n v="12.959999999999999"/>
    <n v="120.96"/>
  </r>
  <r>
    <d v="2021-06-17T00:00:00"/>
    <s v="Jun"/>
    <n v="2021"/>
    <x v="48"/>
    <s v="Productos Lácteos"/>
    <s v="Queso Cabrales"/>
    <n v="12"/>
    <n v="57"/>
    <n v="684"/>
    <n v="5.0000000745058101E-2"/>
    <n v="82.08"/>
    <n v="766.02999999925498"/>
  </r>
  <r>
    <d v="2021-06-17T00:00:00"/>
    <s v="Jun"/>
    <n v="2021"/>
    <x v="48"/>
    <s v="Granos y Cereales"/>
    <s v="Gnocchi di nonna Alice"/>
    <n v="17"/>
    <n v="100"/>
    <n v="1700"/>
    <n v="5.0000000745058101E-2"/>
    <n v="204"/>
    <n v="1903.9499999992549"/>
  </r>
  <r>
    <d v="2021-06-17T00:00:00"/>
    <s v="Jun"/>
    <n v="2021"/>
    <x v="9"/>
    <s v="Productos Alimenticios"/>
    <s v="tofu"/>
    <n v="38"/>
    <n v="69"/>
    <n v="2622"/>
    <n v="0.15000000596046401"/>
    <n v="314.64"/>
    <n v="2936.4899999940394"/>
  </r>
  <r>
    <d v="2021-06-17T00:00:00"/>
    <s v="Jun"/>
    <n v="2021"/>
    <x v="9"/>
    <s v="Granos y Cereales"/>
    <s v="Fried Mee de hockey de Singapur"/>
    <n v="25"/>
    <n v="47"/>
    <n v="1175"/>
    <n v="0.15000000596046401"/>
    <n v="141"/>
    <n v="1315.8499999940395"/>
  </r>
  <r>
    <d v="2021-06-18T00:00:00"/>
    <s v="Jun"/>
    <n v="2021"/>
    <x v="26"/>
    <s v="Dulces"/>
    <s v="Pavlova"/>
    <n v="16"/>
    <n v="74"/>
    <n v="1184"/>
    <n v="0.10000000149011599"/>
    <n v="142.07999999999998"/>
    <n v="1325.9799999985098"/>
  </r>
  <r>
    <d v="2021-06-18T00:00:00"/>
    <s v="Jun"/>
    <n v="2021"/>
    <x v="26"/>
    <s v="Productos Lácteos"/>
    <s v="Mascarpone Fabioli"/>
    <n v="13"/>
    <n v="66"/>
    <n v="858"/>
    <n v="0.10000000149011599"/>
    <n v="102.96"/>
    <n v="960.85999999850992"/>
  </r>
  <r>
    <d v="2021-06-18T00:00:00"/>
    <s v="Jun"/>
    <n v="2021"/>
    <x v="26"/>
    <s v="Mariscos"/>
    <s v="Carne de cangrejo de Boston"/>
    <n v="46"/>
    <n v="12"/>
    <n v="552"/>
    <n v="0"/>
    <n v="66.239999999999995"/>
    <n v="618.24"/>
  </r>
  <r>
    <d v="2021-06-18T00:00:00"/>
    <s v="Jun"/>
    <n v="2021"/>
    <x v="26"/>
    <s v="Bebidas"/>
    <s v="Rhönbräu Klosterbier"/>
    <n v="100"/>
    <n v="28"/>
    <n v="2800"/>
    <n v="0.10000000149011599"/>
    <n v="336"/>
    <n v="3135.8999999985099"/>
  </r>
  <r>
    <d v="2021-06-19T00:00:00"/>
    <s v="Jun"/>
    <n v="2021"/>
    <x v="58"/>
    <s v="Carnes y Aves"/>
    <s v="Alice Cordero"/>
    <n v="84"/>
    <n v="98"/>
    <n v="8232"/>
    <n v="0"/>
    <n v="987.83999999999992"/>
    <n v="9219.84"/>
  </r>
  <r>
    <d v="2021-06-19T00:00:00"/>
    <s v="Jun"/>
    <n v="2021"/>
    <x v="58"/>
    <s v="Bebidas"/>
    <s v="Sasquatch Ale"/>
    <n v="72"/>
    <n v="40"/>
    <n v="2880"/>
    <n v="0"/>
    <n v="345.59999999999997"/>
    <n v="3225.6"/>
  </r>
  <r>
    <d v="2021-06-19T00:00:00"/>
    <s v="Jun"/>
    <n v="2021"/>
    <x v="58"/>
    <s v="Carnes y Aves"/>
    <s v="Empanadas de Perth"/>
    <n v="65"/>
    <n v="97"/>
    <n v="6305"/>
    <n v="0"/>
    <n v="756.6"/>
    <n v="7061.6"/>
  </r>
  <r>
    <d v="2021-06-19T00:00:00"/>
    <s v="Jun"/>
    <n v="2021"/>
    <x v="82"/>
    <s v="Productos Lácteos"/>
    <s v="Queso de cabra"/>
    <n v="79"/>
    <n v="96"/>
    <n v="7584"/>
    <n v="0"/>
    <n v="910.07999999999993"/>
    <n v="8494.08"/>
  </r>
  <r>
    <d v="2021-06-19T00:00:00"/>
    <s v="Jun"/>
    <n v="2021"/>
    <x v="82"/>
    <s v="Mariscos"/>
    <s v="Carne de cangrejo de Boston"/>
    <n v="2"/>
    <n v="15"/>
    <n v="30"/>
    <n v="0"/>
    <n v="3.5999999999999996"/>
    <n v="33.6"/>
  </r>
  <r>
    <d v="2021-06-19T00:00:00"/>
    <s v="Jun"/>
    <n v="2021"/>
    <x v="82"/>
    <s v="Dulces"/>
    <s v="Tarta de azúcar"/>
    <n v="89"/>
    <n v="41"/>
    <n v="3649"/>
    <n v="0"/>
    <n v="437.88"/>
    <n v="4086.88"/>
  </r>
  <r>
    <d v="2021-06-19T00:00:00"/>
    <s v="Jun"/>
    <n v="2021"/>
    <x v="82"/>
    <s v="Granos y Cereales"/>
    <s v="El buen Semmelknödel de Wimmer"/>
    <n v="6"/>
    <n v="99"/>
    <n v="594"/>
    <n v="0"/>
    <n v="71.28"/>
    <n v="665.28"/>
  </r>
  <r>
    <d v="2021-06-20T00:00:00"/>
    <s v="Jun"/>
    <n v="2021"/>
    <x v="25"/>
    <s v="Productos Lácteos"/>
    <s v="Raclette Courdavault"/>
    <n v="31"/>
    <n v="18"/>
    <n v="558"/>
    <n v="0"/>
    <n v="66.959999999999994"/>
    <n v="624.96"/>
  </r>
  <r>
    <d v="2021-06-20T00:00:00"/>
    <s v="Jun"/>
    <n v="2021"/>
    <x v="25"/>
    <s v="Condimentos"/>
    <s v="Crema de verduras"/>
    <n v="46"/>
    <n v="24"/>
    <n v="1104"/>
    <n v="0"/>
    <n v="132.47999999999999"/>
    <n v="1236.48"/>
  </r>
  <r>
    <d v="2021-06-20T00:00:00"/>
    <s v="Jun"/>
    <n v="2021"/>
    <x v="25"/>
    <s v="Productos Lácteos"/>
    <s v="Mozzarella di Giovanni"/>
    <n v="42"/>
    <n v="49"/>
    <n v="2058"/>
    <n v="0"/>
    <n v="246.95999999999998"/>
    <n v="2304.96"/>
  </r>
  <r>
    <d v="2021-06-20T00:00:00"/>
    <s v="Jun"/>
    <n v="2021"/>
    <x v="25"/>
    <s v="Bebidas"/>
    <s v="Lakkalikööri"/>
    <n v="25"/>
    <n v="61"/>
    <n v="1525"/>
    <n v="0"/>
    <n v="183"/>
    <n v="1708"/>
  </r>
  <r>
    <d v="2021-06-23T00:00:00"/>
    <s v="Jun"/>
    <n v="2021"/>
    <x v="24"/>
    <s v="Bebidas"/>
    <s v="Chai"/>
    <n v="55"/>
    <n v="38"/>
    <n v="2090"/>
    <n v="0"/>
    <n v="250.79999999999998"/>
    <n v="2340.8000000000002"/>
  </r>
  <r>
    <d v="2021-06-23T00:00:00"/>
    <s v="Jun"/>
    <n v="2021"/>
    <x v="24"/>
    <s v="Productos Lácteos"/>
    <s v="Gorgonzola Telino"/>
    <n v="87"/>
    <n v="77"/>
    <n v="6699"/>
    <n v="0"/>
    <n v="803.88"/>
    <n v="7502.88"/>
  </r>
  <r>
    <d v="2021-06-23T00:00:00"/>
    <s v="Jun"/>
    <n v="2021"/>
    <x v="24"/>
    <s v="Condimentos"/>
    <s v="Gula Malacca"/>
    <n v="78"/>
    <n v="32"/>
    <n v="2496"/>
    <n v="0"/>
    <n v="299.52"/>
    <n v="2795.52"/>
  </r>
  <r>
    <d v="2021-06-23T00:00:00"/>
    <s v="Jun"/>
    <n v="2021"/>
    <x v="82"/>
    <s v="Bebidas"/>
    <s v="Chartreuse verde"/>
    <n v="75"/>
    <n v="95"/>
    <n v="7125"/>
    <n v="0"/>
    <n v="855"/>
    <n v="7980"/>
  </r>
  <r>
    <d v="2021-06-23T00:00:00"/>
    <s v="Jun"/>
    <n v="2021"/>
    <x v="82"/>
    <s v="Bebidas"/>
    <s v="Rhönbräu Klosterbier"/>
    <n v="71"/>
    <n v="95"/>
    <n v="6745"/>
    <n v="0"/>
    <n v="809.4"/>
    <n v="7554.4"/>
  </r>
  <r>
    <d v="2021-06-23T00:00:00"/>
    <s v="Jun"/>
    <n v="2021"/>
    <x v="82"/>
    <s v="Condimentos"/>
    <s v="Salsa verde original de Frankfurt"/>
    <n v="50"/>
    <n v="80"/>
    <n v="4000"/>
    <n v="0"/>
    <n v="480"/>
    <n v="4480"/>
  </r>
  <r>
    <d v="2021-06-24T00:00:00"/>
    <s v="Jun"/>
    <n v="2021"/>
    <x v="32"/>
    <s v="Bebidas"/>
    <s v="Steeleye Stout"/>
    <n v="75"/>
    <n v="19"/>
    <n v="1425"/>
    <n v="0"/>
    <n v="171"/>
    <n v="1596"/>
  </r>
  <r>
    <d v="2021-06-24T00:00:00"/>
    <s v="Jun"/>
    <n v="2021"/>
    <x v="32"/>
    <s v="Granos y Cereales"/>
    <s v="Ravioli Angelo"/>
    <n v="47"/>
    <n v="55"/>
    <n v="2585"/>
    <n v="0"/>
    <n v="310.2"/>
    <n v="2895.2"/>
  </r>
  <r>
    <d v="2021-06-25T00:00:00"/>
    <s v="Jun"/>
    <n v="2021"/>
    <x v="83"/>
    <s v="Condimentos"/>
    <s v="Genes Shouyu"/>
    <n v="96"/>
    <n v="62"/>
    <n v="5952"/>
    <n v="0"/>
    <n v="714.24"/>
    <n v="6666.24"/>
  </r>
  <r>
    <d v="2021-06-25T00:00:00"/>
    <s v="Jun"/>
    <n v="2021"/>
    <x v="83"/>
    <s v="Bebidas"/>
    <s v="Rhönbräu Klosterbier"/>
    <n v="86"/>
    <n v="20"/>
    <n v="1720"/>
    <n v="0"/>
    <n v="206.4"/>
    <n v="1926.4"/>
  </r>
  <r>
    <d v="2021-06-26T00:00:00"/>
    <s v="Jun"/>
    <n v="2021"/>
    <x v="67"/>
    <s v="Productos Alimenticios"/>
    <s v="tofu"/>
    <n v="41"/>
    <n v="27"/>
    <n v="1107"/>
    <n v="5.0000000745058101E-2"/>
    <n v="132.84"/>
    <n v="1239.7899999992549"/>
  </r>
  <r>
    <d v="2021-06-26T00:00:00"/>
    <s v="Jun"/>
    <n v="2021"/>
    <x v="67"/>
    <s v="Mariscos"/>
    <s v="Sopa de almejas de Nueva Inglaterra de Jack"/>
    <n v="56"/>
    <n v="88"/>
    <n v="4928"/>
    <n v="5.0000000745058101E-2"/>
    <n v="591.36"/>
    <n v="5519.3099999992546"/>
  </r>
  <r>
    <d v="2021-06-26T00:00:00"/>
    <s v="Jun"/>
    <n v="2021"/>
    <x v="67"/>
    <s v="Condimentos"/>
    <s v="Salsa de pimiento picante de Luisiana"/>
    <n v="11"/>
    <n v="15"/>
    <n v="165"/>
    <n v="5.0000000745058101E-2"/>
    <n v="19.8"/>
    <n v="184.74999999925495"/>
  </r>
  <r>
    <d v="2021-06-26T00:00:00"/>
    <s v="Jun"/>
    <n v="2021"/>
    <x v="51"/>
    <s v="Bebidas"/>
    <s v="Rhönbräu Klosterbier"/>
    <n v="100"/>
    <n v="21"/>
    <n v="2100"/>
    <n v="0.20000000298023199"/>
    <n v="252"/>
    <n v="2351.7999999970198"/>
  </r>
  <r>
    <d v="2021-06-27T00:00:00"/>
    <s v="Jun"/>
    <n v="2021"/>
    <x v="77"/>
    <s v="Granos y Cereales"/>
    <s v="Ravioli Angelo"/>
    <n v="77"/>
    <n v="30"/>
    <n v="2310"/>
    <n v="0"/>
    <n v="277.2"/>
    <n v="2587.1999999999998"/>
  </r>
  <r>
    <d v="2021-06-27T00:00:00"/>
    <s v="Jun"/>
    <n v="2021"/>
    <x v="77"/>
    <s v="Bebidas"/>
    <s v="Lakkalikööri"/>
    <n v="18"/>
    <n v="71"/>
    <n v="1278"/>
    <n v="0"/>
    <n v="153.35999999999999"/>
    <n v="1431.36"/>
  </r>
  <r>
    <d v="2021-06-30T00:00:00"/>
    <s v="Jun"/>
    <n v="2021"/>
    <x v="16"/>
    <s v="Carnes y Aves"/>
    <s v="Salchicha asada de Turingia"/>
    <n v="28"/>
    <n v="95"/>
    <n v="2660"/>
    <n v="0"/>
    <n v="319.2"/>
    <n v="2979.2"/>
  </r>
  <r>
    <d v="2021-06-30T00:00:00"/>
    <s v="Jun"/>
    <n v="2021"/>
    <x v="16"/>
    <s v="Productos Lácteos"/>
    <s v="Pierrot camembert"/>
    <n v="74"/>
    <n v="57"/>
    <n v="4218"/>
    <n v="0.15000000596046401"/>
    <n v="506.15999999999997"/>
    <n v="4724.0099999940394"/>
  </r>
  <r>
    <d v="2021-06-30T00:00:00"/>
    <s v="Jun"/>
    <n v="2021"/>
    <x v="16"/>
    <s v="Productos Lácteos"/>
    <s v="Gudbrandsdalsost"/>
    <n v="87"/>
    <n v="27"/>
    <n v="2349"/>
    <n v="0.15000000596046401"/>
    <n v="281.88"/>
    <n v="2630.7299999940396"/>
  </r>
  <r>
    <d v="2021-06-30T00:00:00"/>
    <s v="Jun"/>
    <n v="2021"/>
    <x v="15"/>
    <s v="Productos Lácteos"/>
    <s v="Gorgonzola Telino"/>
    <n v="35"/>
    <n v="68"/>
    <n v="2380"/>
    <n v="5.0000000745058101E-2"/>
    <n v="285.59999999999997"/>
    <n v="2665.5499999992549"/>
  </r>
  <r>
    <d v="2021-07-01T00:00:00"/>
    <s v="Jul"/>
    <n v="2021"/>
    <x v="7"/>
    <s v="Dulces"/>
    <s v="Tortas Zaanse"/>
    <n v="6"/>
    <n v="95"/>
    <n v="570"/>
    <n v="0"/>
    <n v="68.399999999999991"/>
    <n v="638.4"/>
  </r>
  <r>
    <d v="2021-07-02T00:00:00"/>
    <s v="Jul"/>
    <n v="2021"/>
    <x v="31"/>
    <s v="Granos y Cereales"/>
    <s v="Filo Mix"/>
    <n v="49"/>
    <n v="82"/>
    <n v="4018"/>
    <n v="0.15000000596046401"/>
    <n v="482.15999999999997"/>
    <n v="4500.0099999940394"/>
  </r>
  <r>
    <d v="2021-07-02T00:00:00"/>
    <s v="Jul"/>
    <n v="2021"/>
    <x v="12"/>
    <s v="Dulces"/>
    <s v="Gummär Gummibärchen"/>
    <n v="51"/>
    <n v="29"/>
    <n v="1479"/>
    <n v="0"/>
    <n v="177.48"/>
    <n v="1656.48"/>
  </r>
  <r>
    <d v="2021-07-02T00:00:00"/>
    <s v="Jul"/>
    <n v="2021"/>
    <x v="12"/>
    <s v="Bebidas"/>
    <s v="Steeleye Stout"/>
    <n v="31"/>
    <n v="73"/>
    <n v="2263"/>
    <n v="0"/>
    <n v="271.56"/>
    <n v="2534.56"/>
  </r>
  <r>
    <d v="2021-07-02T00:00:00"/>
    <s v="Jul"/>
    <n v="2021"/>
    <x v="12"/>
    <s v="Condimentos"/>
    <s v="Salsa verde original de Frankfurt"/>
    <n v="44"/>
    <n v="51"/>
    <n v="2244"/>
    <n v="0"/>
    <n v="269.27999999999997"/>
    <n v="2513.2799999999997"/>
  </r>
  <r>
    <d v="2021-07-03T00:00:00"/>
    <s v="Jul"/>
    <n v="2021"/>
    <x v="21"/>
    <s v="Mariscos"/>
    <s v="Tigres de Carnarvon"/>
    <n v="46"/>
    <n v="88"/>
    <n v="4048"/>
    <n v="0.20000000298023199"/>
    <n v="485.76"/>
    <n v="4533.55999999702"/>
  </r>
  <r>
    <d v="2021-07-03T00:00:00"/>
    <s v="Jul"/>
    <n v="2021"/>
    <x v="21"/>
    <s v="Granos y Cereales"/>
    <s v="Fried Mee de hockey de Singapur"/>
    <n v="90"/>
    <n v="30"/>
    <n v="2700"/>
    <n v="0.20000000298023199"/>
    <n v="324"/>
    <n v="3023.7999999970198"/>
  </r>
  <r>
    <d v="2021-07-04T00:00:00"/>
    <s v="Jul"/>
    <n v="2021"/>
    <x v="80"/>
    <s v="Bebidas"/>
    <s v="Steeleye Stout"/>
    <n v="68"/>
    <n v="57"/>
    <n v="3876"/>
    <n v="0"/>
    <n v="465.12"/>
    <n v="4341.12"/>
  </r>
  <r>
    <d v="2021-07-07T00:00:00"/>
    <s v="Jul"/>
    <n v="2021"/>
    <x v="48"/>
    <s v="Bebidas"/>
    <s v="Chai"/>
    <n v="40"/>
    <n v="53"/>
    <n v="2120"/>
    <n v="0"/>
    <n v="254.39999999999998"/>
    <n v="2374.4"/>
  </r>
  <r>
    <d v="2021-07-07T00:00:00"/>
    <s v="Jul"/>
    <n v="2021"/>
    <x v="48"/>
    <s v="Condimentos"/>
    <s v="Salsa verde original de Frankfurt"/>
    <n v="85"/>
    <n v="92"/>
    <n v="7820"/>
    <n v="5.0000000745058101E-2"/>
    <n v="938.4"/>
    <n v="8758.3499999992546"/>
  </r>
  <r>
    <d v="2021-07-07T00:00:00"/>
    <s v="Jul"/>
    <n v="2021"/>
    <x v="60"/>
    <s v="Condimentos"/>
    <s v="Jarabe de anís"/>
    <n v="63"/>
    <n v="99"/>
    <n v="6237"/>
    <n v="0"/>
    <n v="748.43999999999994"/>
    <n v="6985.44"/>
  </r>
  <r>
    <d v="2021-07-07T00:00:00"/>
    <s v="Jul"/>
    <n v="2021"/>
    <x v="60"/>
    <s v="Productos Alimenticios"/>
    <s v="Peras secas orgánicas del tío Bob"/>
    <n v="55"/>
    <n v="66"/>
    <n v="3630"/>
    <n v="0"/>
    <n v="435.59999999999997"/>
    <n v="4065.6"/>
  </r>
  <r>
    <d v="2021-07-07T00:00:00"/>
    <s v="Jul"/>
    <n v="2021"/>
    <x v="60"/>
    <s v="Carnes y Aves"/>
    <s v="Tourtière"/>
    <n v="59"/>
    <n v="72"/>
    <n v="4248"/>
    <n v="0"/>
    <n v="509.76"/>
    <n v="4757.76"/>
  </r>
  <r>
    <d v="2021-07-08T00:00:00"/>
    <s v="Jul"/>
    <n v="2021"/>
    <x v="27"/>
    <s v="Condimentos"/>
    <s v="Genes Shouyu"/>
    <n v="32"/>
    <n v="99"/>
    <n v="3168"/>
    <n v="5.0000000745058101E-2"/>
    <n v="380.15999999999997"/>
    <n v="3548.1099999992548"/>
  </r>
  <r>
    <d v="2021-07-08T00:00:00"/>
    <s v="Jul"/>
    <n v="2021"/>
    <x v="27"/>
    <s v="Dulces"/>
    <s v="Gummär Gummibärchen"/>
    <n v="10"/>
    <n v="84"/>
    <n v="840"/>
    <n v="5.0000000745058101E-2"/>
    <n v="100.8"/>
    <n v="940.7499999992549"/>
  </r>
  <r>
    <d v="2021-07-09T00:00:00"/>
    <s v="Jul"/>
    <n v="2021"/>
    <x v="27"/>
    <s v="Dulces"/>
    <s v="Mermelada de Sir Rodney"/>
    <n v="20"/>
    <n v="13"/>
    <n v="260"/>
    <n v="0.20000000298023199"/>
    <n v="31.2"/>
    <n v="290.99999999701976"/>
  </r>
  <r>
    <d v="2021-07-09T00:00:00"/>
    <s v="Jul"/>
    <n v="2021"/>
    <x v="27"/>
    <s v="Productos Lácteos"/>
    <s v="Gudbrandsdalsost"/>
    <n v="16"/>
    <n v="39"/>
    <n v="624"/>
    <n v="0.20000000298023199"/>
    <n v="74.88"/>
    <n v="698.67999999701976"/>
  </r>
  <r>
    <d v="2021-07-09T00:00:00"/>
    <s v="Jul"/>
    <n v="2021"/>
    <x v="27"/>
    <s v="Bebidas"/>
    <s v="Lakkalikööri"/>
    <n v="40"/>
    <n v="19"/>
    <n v="760"/>
    <n v="0.20000000298023199"/>
    <n v="91.2"/>
    <n v="850.99999999701981"/>
  </r>
  <r>
    <d v="2021-07-09T00:00:00"/>
    <s v="Jul"/>
    <n v="2021"/>
    <x v="11"/>
    <s v="Granos y Cereales"/>
    <s v="Filo Mix"/>
    <n v="30"/>
    <n v="36"/>
    <n v="1080"/>
    <n v="0"/>
    <n v="129.6"/>
    <n v="1209.5999999999999"/>
  </r>
  <r>
    <d v="2021-07-09T00:00:00"/>
    <s v="Jul"/>
    <n v="2021"/>
    <x v="11"/>
    <s v="Mariscos"/>
    <s v="Escorts borgoña"/>
    <n v="56"/>
    <n v="45"/>
    <n v="2520"/>
    <n v="0"/>
    <n v="302.39999999999998"/>
    <n v="2822.4"/>
  </r>
  <r>
    <d v="2021-07-10T00:00:00"/>
    <s v="Jul"/>
    <n v="2021"/>
    <x v="9"/>
    <s v="Bebidas"/>
    <s v="Steeleye Stout"/>
    <n v="27"/>
    <n v="70"/>
    <n v="1890"/>
    <n v="0.25"/>
    <n v="226.79999999999998"/>
    <n v="2116.5500000000002"/>
  </r>
  <r>
    <d v="2021-07-10T00:00:00"/>
    <s v="Jul"/>
    <n v="2021"/>
    <x v="9"/>
    <s v="Condimentos"/>
    <s v="miel de maple"/>
    <n v="29"/>
    <n v="29"/>
    <n v="841"/>
    <n v="0.25"/>
    <n v="100.92"/>
    <n v="941.67"/>
  </r>
  <r>
    <d v="2021-07-10T00:00:00"/>
    <s v="Jul"/>
    <n v="2021"/>
    <x v="9"/>
    <s v="Productos Lácteos"/>
    <s v="Gudbrandsdalsost"/>
    <n v="71"/>
    <n v="12"/>
    <n v="852"/>
    <n v="0.25"/>
    <n v="102.24"/>
    <n v="953.99"/>
  </r>
  <r>
    <d v="2021-07-11T00:00:00"/>
    <s v="Jul"/>
    <n v="2021"/>
    <x v="19"/>
    <s v="Granos y Cereales"/>
    <s v="Gnocchi di nonna Alice"/>
    <n v="48"/>
    <n v="55"/>
    <n v="2640"/>
    <n v="0.20000000298023199"/>
    <n v="316.8"/>
    <n v="2956.5999999970199"/>
  </r>
  <r>
    <d v="2021-07-11T00:00:00"/>
    <s v="Jul"/>
    <n v="2021"/>
    <x v="19"/>
    <s v="Condimentos"/>
    <s v="Crema de verduras"/>
    <n v="2"/>
    <n v="88"/>
    <n v="176"/>
    <n v="0.20000000298023199"/>
    <n v="21.119999999999997"/>
    <n v="196.91999999701977"/>
  </r>
  <r>
    <d v="2021-07-11T00:00:00"/>
    <s v="Jul"/>
    <n v="2021"/>
    <x v="19"/>
    <s v="Bebidas"/>
    <s v="Rhönbräu Klosterbier"/>
    <n v="99"/>
    <n v="79"/>
    <n v="7821"/>
    <n v="0.20000000298023199"/>
    <n v="938.52"/>
    <n v="8759.3199999970202"/>
  </r>
  <r>
    <d v="2021-07-11T00:00:00"/>
    <s v="Jul"/>
    <n v="2021"/>
    <x v="53"/>
    <s v="Bebidas"/>
    <s v="Guaraná Fantástica"/>
    <n v="78"/>
    <n v="81"/>
    <n v="6318"/>
    <n v="0.20000000298023199"/>
    <n v="758.16"/>
    <n v="7075.9599999970196"/>
  </r>
  <r>
    <d v="2021-07-11T00:00:00"/>
    <s v="Jul"/>
    <n v="2021"/>
    <x v="53"/>
    <s v="Granos y Cereales"/>
    <s v="Ravioli Angelo"/>
    <n v="3"/>
    <n v="59"/>
    <n v="177"/>
    <n v="0"/>
    <n v="21.24"/>
    <n v="198.24"/>
  </r>
  <r>
    <d v="2021-07-11T00:00:00"/>
    <s v="Jul"/>
    <n v="2021"/>
    <x v="53"/>
    <s v="Condimentos"/>
    <s v="Salsa de pimiento picante de Luisiana"/>
    <n v="78"/>
    <n v="13"/>
    <n v="1014"/>
    <n v="0.20000000298023199"/>
    <n v="121.67999999999999"/>
    <n v="1135.4799999970198"/>
  </r>
  <r>
    <d v="2021-07-14T00:00:00"/>
    <s v="Jul"/>
    <n v="2021"/>
    <x v="13"/>
    <s v="Dulces"/>
    <s v="Chocolate Schoggi"/>
    <n v="53"/>
    <n v="67"/>
    <n v="3551"/>
    <n v="0"/>
    <n v="426.12"/>
    <n v="3977.12"/>
  </r>
  <r>
    <d v="2021-07-14T00:00:00"/>
    <s v="Jul"/>
    <n v="2021"/>
    <x v="13"/>
    <s v="Productos Lácteos"/>
    <s v="Queso crema"/>
    <n v="10"/>
    <n v="99"/>
    <n v="990"/>
    <n v="0"/>
    <n v="118.8"/>
    <n v="1108.8"/>
  </r>
  <r>
    <d v="2021-07-15T00:00:00"/>
    <s v="Jul"/>
    <n v="2021"/>
    <x v="32"/>
    <s v="Dulces"/>
    <s v="Tarta de azúcar"/>
    <n v="90"/>
    <n v="79"/>
    <n v="7110"/>
    <n v="0"/>
    <n v="853.19999999999993"/>
    <n v="7963.2"/>
  </r>
  <r>
    <d v="2021-07-16T00:00:00"/>
    <s v="Jul"/>
    <n v="2021"/>
    <x v="63"/>
    <s v="Carnes y Aves"/>
    <s v="Tourtière"/>
    <n v="79"/>
    <n v="99"/>
    <n v="7821"/>
    <n v="0"/>
    <n v="938.52"/>
    <n v="8759.52"/>
  </r>
  <r>
    <d v="2021-07-16T00:00:00"/>
    <s v="Jul"/>
    <n v="2021"/>
    <x v="63"/>
    <s v="Mariscos"/>
    <s v="Caviar rojo"/>
    <n v="12"/>
    <n v="59"/>
    <n v="708"/>
    <n v="0"/>
    <n v="84.96"/>
    <n v="792.96"/>
  </r>
  <r>
    <d v="2021-07-16T00:00:00"/>
    <s v="Jul"/>
    <n v="2021"/>
    <x v="8"/>
    <s v="Mariscos"/>
    <s v="Konbu"/>
    <n v="42"/>
    <n v="51"/>
    <n v="2142"/>
    <n v="0"/>
    <n v="257.03999999999996"/>
    <n v="2399.04"/>
  </r>
  <r>
    <d v="2021-07-16T00:00:00"/>
    <s v="Jul"/>
    <n v="2021"/>
    <x v="8"/>
    <s v="Productos Lácteos"/>
    <s v="Raclette Courdavault"/>
    <n v="26"/>
    <n v="32"/>
    <n v="832"/>
    <n v="0"/>
    <n v="99.84"/>
    <n v="931.84"/>
  </r>
  <r>
    <d v="2021-07-17T00:00:00"/>
    <s v="Jul"/>
    <n v="2021"/>
    <x v="60"/>
    <s v="Condimentos"/>
    <s v="Salsa verde original de Frankfurt"/>
    <n v="32"/>
    <n v="85"/>
    <n v="2720"/>
    <n v="0.25"/>
    <n v="326.39999999999998"/>
    <n v="3046.15"/>
  </r>
  <r>
    <d v="2021-07-18T00:00:00"/>
    <s v="Jul"/>
    <n v="2021"/>
    <x v="44"/>
    <s v="Granos y Cereales"/>
    <s v="Pan crujiente de Gustaf"/>
    <n v="15"/>
    <n v="90"/>
    <n v="1350"/>
    <n v="0"/>
    <n v="162"/>
    <n v="1512"/>
  </r>
  <r>
    <d v="2021-07-18T00:00:00"/>
    <s v="Jul"/>
    <n v="2021"/>
    <x v="44"/>
    <s v="Dulces"/>
    <s v="Maxilaku"/>
    <n v="22"/>
    <n v="61"/>
    <n v="1342"/>
    <n v="5.0000000745058101E-2"/>
    <n v="161.04"/>
    <n v="1502.9899999992549"/>
  </r>
  <r>
    <d v="2021-07-18T00:00:00"/>
    <s v="Jul"/>
    <n v="2021"/>
    <x v="46"/>
    <s v="Dulces"/>
    <s v="Chocolate"/>
    <n v="68"/>
    <n v="15"/>
    <n v="1020"/>
    <n v="0.10000000149011599"/>
    <n v="122.39999999999999"/>
    <n v="1142.29999999851"/>
  </r>
  <r>
    <d v="2021-07-18T00:00:00"/>
    <s v="Jul"/>
    <n v="2021"/>
    <x v="46"/>
    <s v="Bebidas"/>
    <s v="Lakkalikööri"/>
    <n v="83"/>
    <n v="53"/>
    <n v="4399"/>
    <n v="0.10000000149011599"/>
    <n v="527.88"/>
    <n v="4926.77999999851"/>
  </r>
  <r>
    <d v="2021-07-21T00:00:00"/>
    <s v="Jul"/>
    <n v="2021"/>
    <x v="48"/>
    <s v="Dulces"/>
    <s v="Pavlova"/>
    <n v="54"/>
    <n v="75"/>
    <n v="4050"/>
    <n v="5.0000000745058101E-2"/>
    <n v="486"/>
    <n v="4535.9499999992549"/>
  </r>
  <r>
    <d v="2021-07-21T00:00:00"/>
    <s v="Jul"/>
    <n v="2021"/>
    <x v="48"/>
    <s v="Productos Lácteos"/>
    <s v="Raclette Courdavault"/>
    <n v="13"/>
    <n v="69"/>
    <n v="897"/>
    <n v="5.0000000745058101E-2"/>
    <n v="107.64"/>
    <n v="1004.5899999992549"/>
  </r>
  <r>
    <d v="2021-07-21T00:00:00"/>
    <s v="Jul"/>
    <n v="2021"/>
    <x v="48"/>
    <s v="Productos Lácteos"/>
    <s v="Pierrot camembert"/>
    <n v="92"/>
    <n v="11"/>
    <n v="1012"/>
    <n v="5.0000000745058101E-2"/>
    <n v="121.44"/>
    <n v="1133.389999999255"/>
  </r>
  <r>
    <d v="2021-07-21T00:00:00"/>
    <s v="Jul"/>
    <n v="2021"/>
    <x v="48"/>
    <s v="Productos Lácteos"/>
    <s v="Queso crema"/>
    <n v="77"/>
    <n v="34"/>
    <n v="2618"/>
    <n v="5.0000000745058101E-2"/>
    <n v="314.15999999999997"/>
    <n v="2932.1099999992548"/>
  </r>
  <r>
    <d v="2021-07-22T00:00:00"/>
    <s v="Jul"/>
    <n v="2021"/>
    <x v="1"/>
    <s v="Condimentos"/>
    <s v="Condimento Cajún del Chef Anton"/>
    <n v="6"/>
    <n v="100"/>
    <n v="600"/>
    <n v="0.20000000298023199"/>
    <n v="72"/>
    <n v="671.79999999701977"/>
  </r>
  <r>
    <d v="2021-07-22T00:00:00"/>
    <s v="Jul"/>
    <n v="2021"/>
    <x v="1"/>
    <s v="Carnes y Aves"/>
    <s v="Paté chino"/>
    <n v="25"/>
    <n v="19"/>
    <n v="475"/>
    <n v="0.20000000298023199"/>
    <n v="57"/>
    <n v="531.79999999701977"/>
  </r>
  <r>
    <d v="2021-07-22T00:00:00"/>
    <s v="Jul"/>
    <n v="2021"/>
    <x v="1"/>
    <s v="Dulces"/>
    <s v="Tarta de azúcar"/>
    <n v="75"/>
    <n v="10"/>
    <n v="750"/>
    <n v="0.20000000298023199"/>
    <n v="90"/>
    <n v="839.79999999701977"/>
  </r>
  <r>
    <d v="2021-07-22T00:00:00"/>
    <s v="Jul"/>
    <n v="2021"/>
    <x v="44"/>
    <s v="Productos Alimenticios"/>
    <s v="Peras secas orgánicas del tío Bob"/>
    <n v="63"/>
    <n v="62"/>
    <n v="3906"/>
    <n v="0"/>
    <n v="468.71999999999997"/>
    <n v="4374.72"/>
  </r>
  <r>
    <d v="2021-07-22T00:00:00"/>
    <s v="Jul"/>
    <n v="2021"/>
    <x v="44"/>
    <s v="Carnes y Aves"/>
    <s v="Alice Cordero"/>
    <n v="14"/>
    <n v="91"/>
    <n v="1274"/>
    <n v="0"/>
    <n v="152.88"/>
    <n v="1426.88"/>
  </r>
  <r>
    <d v="2021-07-22T00:00:00"/>
    <s v="Jul"/>
    <n v="2021"/>
    <x v="44"/>
    <s v="Productos Lácteos"/>
    <s v="Queso de cabra"/>
    <n v="81"/>
    <n v="81"/>
    <n v="6561"/>
    <n v="0"/>
    <n v="787.31999999999994"/>
    <n v="7348.32"/>
  </r>
  <r>
    <d v="2021-07-22T00:00:00"/>
    <s v="Jul"/>
    <n v="2021"/>
    <x v="44"/>
    <s v="Mariscos"/>
    <s v="Carne de cangrejo de Boston"/>
    <n v="27"/>
    <n v="84"/>
    <n v="2268"/>
    <n v="0"/>
    <n v="272.15999999999997"/>
    <n v="2540.16"/>
  </r>
  <r>
    <d v="2021-07-22T00:00:00"/>
    <s v="Jul"/>
    <n v="2021"/>
    <x v="44"/>
    <s v="Productos Lácteos"/>
    <s v="Mozzarella di Giovanni"/>
    <n v="37"/>
    <n v="15"/>
    <n v="555"/>
    <n v="0"/>
    <n v="66.599999999999994"/>
    <n v="621.6"/>
  </r>
  <r>
    <d v="2021-07-23T00:00:00"/>
    <s v="Jul"/>
    <n v="2021"/>
    <x v="73"/>
    <s v="Granos y Cereales"/>
    <s v="Gnocchi di nonna Alice"/>
    <n v="7"/>
    <n v="58"/>
    <n v="406"/>
    <n v="0"/>
    <n v="48.72"/>
    <n v="454.72"/>
  </r>
  <r>
    <d v="2021-07-24T00:00:00"/>
    <s v="Jul"/>
    <n v="2021"/>
    <x v="40"/>
    <s v="Bebidas"/>
    <s v="Chai"/>
    <n v="40"/>
    <n v="40"/>
    <n v="1600"/>
    <n v="0"/>
    <n v="192"/>
    <n v="1792"/>
  </r>
  <r>
    <d v="2021-07-24T00:00:00"/>
    <s v="Jul"/>
    <n v="2021"/>
    <x v="40"/>
    <s v="Mariscos"/>
    <s v="Ikura"/>
    <n v="8"/>
    <n v="97"/>
    <n v="776"/>
    <n v="0"/>
    <n v="93.11999999999999"/>
    <n v="869.12"/>
  </r>
  <r>
    <d v="2021-07-24T00:00:00"/>
    <s v="Jul"/>
    <n v="2021"/>
    <x v="40"/>
    <s v="Dulces"/>
    <s v="Scones de Sir Rodney"/>
    <n v="70"/>
    <n v="49"/>
    <n v="3430"/>
    <n v="0"/>
    <n v="411.59999999999997"/>
    <n v="3841.6"/>
  </r>
  <r>
    <d v="2021-07-25T00:00:00"/>
    <s v="Jul"/>
    <n v="2021"/>
    <x v="52"/>
    <s v="Mariscos"/>
    <s v="Arenque en escabeche"/>
    <n v="59"/>
    <n v="74"/>
    <n v="4366"/>
    <n v="0.25"/>
    <n v="523.91999999999996"/>
    <n v="4889.67"/>
  </r>
  <r>
    <d v="2021-07-25T00:00:00"/>
    <s v="Jul"/>
    <n v="2021"/>
    <x v="62"/>
    <s v="Bebidas"/>
    <s v="Chai"/>
    <n v="38"/>
    <n v="28"/>
    <n v="1064"/>
    <n v="0"/>
    <n v="127.67999999999999"/>
    <n v="1191.68"/>
  </r>
  <r>
    <d v="2021-07-25T00:00:00"/>
    <s v="Jul"/>
    <n v="2021"/>
    <x v="62"/>
    <s v="Bebidas"/>
    <s v="Chang"/>
    <n v="50"/>
    <n v="28"/>
    <n v="1400"/>
    <n v="0"/>
    <n v="168"/>
    <n v="1568"/>
  </r>
  <r>
    <d v="2021-07-25T00:00:00"/>
    <s v="Jul"/>
    <n v="2021"/>
    <x v="62"/>
    <s v="Productos Lácteos"/>
    <s v="Pierrot camembert"/>
    <n v="20"/>
    <n v="100"/>
    <n v="2000"/>
    <n v="0"/>
    <n v="240"/>
    <n v="2240"/>
  </r>
  <r>
    <d v="2021-07-28T00:00:00"/>
    <s v="Jul"/>
    <n v="2021"/>
    <x v="44"/>
    <s v="Mariscos"/>
    <s v="Ikura"/>
    <n v="72"/>
    <n v="74"/>
    <n v="5328"/>
    <n v="0"/>
    <n v="639.36"/>
    <n v="5967.36"/>
  </r>
  <r>
    <d v="2021-07-28T00:00:00"/>
    <s v="Jul"/>
    <n v="2021"/>
    <x v="44"/>
    <s v="Mariscos"/>
    <s v="Arenque en escabeche"/>
    <n v="99"/>
    <n v="87"/>
    <n v="8613"/>
    <n v="0"/>
    <n v="1033.56"/>
    <n v="9646.56"/>
  </r>
  <r>
    <d v="2021-07-28T00:00:00"/>
    <s v="Jul"/>
    <n v="2021"/>
    <x v="44"/>
    <s v="Dulces"/>
    <s v="Maxilaku"/>
    <n v="97"/>
    <n v="63"/>
    <n v="6111"/>
    <n v="0"/>
    <n v="733.31999999999994"/>
    <n v="6844.32"/>
  </r>
  <r>
    <d v="2021-07-28T00:00:00"/>
    <s v="Jul"/>
    <n v="2021"/>
    <x v="44"/>
    <s v="Productos Lácteos"/>
    <s v="Pierrot camembert"/>
    <n v="93"/>
    <n v="56"/>
    <n v="5208"/>
    <n v="0"/>
    <n v="624.95999999999992"/>
    <n v="5832.96"/>
  </r>
  <r>
    <d v="2021-07-28T00:00:00"/>
    <s v="Jul"/>
    <n v="2021"/>
    <x v="44"/>
    <s v="Bebidas"/>
    <s v="Lakkalikööri"/>
    <n v="73"/>
    <n v="14"/>
    <n v="1022"/>
    <n v="0"/>
    <n v="122.64"/>
    <n v="1144.6400000000001"/>
  </r>
  <r>
    <d v="2021-07-29T00:00:00"/>
    <s v="Jul"/>
    <n v="2021"/>
    <x v="8"/>
    <s v="Mariscos"/>
    <s v="Konbu"/>
    <n v="76"/>
    <n v="79"/>
    <n v="6004"/>
    <n v="0.10000000149011599"/>
    <n v="720.48"/>
    <n v="6724.3799999985094"/>
  </r>
  <r>
    <d v="2021-07-29T00:00:00"/>
    <s v="Jul"/>
    <n v="2021"/>
    <x v="8"/>
    <s v="Bebidas"/>
    <s v="Rhönbräu Klosterbier"/>
    <n v="50"/>
    <n v="64"/>
    <n v="3200"/>
    <n v="0"/>
    <n v="384"/>
    <n v="3584"/>
  </r>
  <r>
    <d v="2021-07-29T00:00:00"/>
    <s v="Jul"/>
    <n v="2021"/>
    <x v="77"/>
    <s v="Productos Lácteos"/>
    <s v="Queso Cabrales"/>
    <n v="7"/>
    <n v="36"/>
    <n v="252"/>
    <n v="0"/>
    <n v="30.24"/>
    <n v="282.24"/>
  </r>
  <r>
    <d v="2021-07-29T00:00:00"/>
    <s v="Jul"/>
    <n v="2021"/>
    <x v="77"/>
    <s v="Dulces"/>
    <s v="Scones de Sir Rodney"/>
    <n v="44"/>
    <n v="45"/>
    <n v="1980"/>
    <n v="0"/>
    <n v="237.6"/>
    <n v="2217.6"/>
  </r>
  <r>
    <d v="2021-07-29T00:00:00"/>
    <s v="Jul"/>
    <n v="2021"/>
    <x v="77"/>
    <s v="Bebidas"/>
    <s v="Chartreuse verde"/>
    <n v="55"/>
    <n v="82"/>
    <n v="4510"/>
    <n v="0"/>
    <n v="541.19999999999993"/>
    <n v="5051.2"/>
  </r>
  <r>
    <d v="2021-07-30T00:00:00"/>
    <s v="Jul"/>
    <n v="2021"/>
    <x v="0"/>
    <s v="Carnes y Aves"/>
    <s v="Paté chino"/>
    <n v="16"/>
    <n v="29"/>
    <n v="464"/>
    <n v="0"/>
    <n v="55.68"/>
    <n v="519.67999999999995"/>
  </r>
  <r>
    <d v="2021-07-31T00:00:00"/>
    <s v="Jul"/>
    <n v="2021"/>
    <x v="80"/>
    <s v="Bebidas"/>
    <s v="Côte de Blaye"/>
    <n v="4"/>
    <n v="89"/>
    <n v="356"/>
    <n v="5.0000000745058101E-2"/>
    <n v="42.72"/>
    <n v="398.66999999925497"/>
  </r>
  <r>
    <d v="2021-07-31T00:00:00"/>
    <s v="Jul"/>
    <n v="2021"/>
    <x v="80"/>
    <s v="Granos y Cereales"/>
    <s v="Gnocchi di nonna Alice"/>
    <n v="14"/>
    <n v="62"/>
    <n v="868"/>
    <n v="0"/>
    <n v="104.16"/>
    <n v="972.16"/>
  </r>
  <r>
    <d v="2021-07-31T00:00:00"/>
    <s v="Jul"/>
    <n v="2021"/>
    <x v="80"/>
    <s v="Bebidas"/>
    <s v="Outback Lager"/>
    <n v="46"/>
    <n v="84"/>
    <n v="3864"/>
    <n v="5.0000000745058101E-2"/>
    <n v="463.68"/>
    <n v="4327.6299999992552"/>
  </r>
  <r>
    <d v="2021-07-31T00:00:00"/>
    <s v="Jul"/>
    <n v="2021"/>
    <x v="80"/>
    <s v="Productos Lácteos"/>
    <s v="Queso crema"/>
    <n v="12"/>
    <n v="24"/>
    <n v="288"/>
    <n v="5.0000000745058101E-2"/>
    <n v="34.56"/>
    <n v="322.50999999925494"/>
  </r>
  <r>
    <d v="2021-07-31T00:00:00"/>
    <s v="Jul"/>
    <n v="2021"/>
    <x v="80"/>
    <s v="Productos Lácteos"/>
    <s v="Raclette Courdavault"/>
    <n v="11"/>
    <n v="31"/>
    <n v="341"/>
    <n v="0.15000000596046401"/>
    <n v="40.92"/>
    <n v="381.76999999403955"/>
  </r>
  <r>
    <d v="2021-08-01T00:00:00"/>
    <s v="Ago"/>
    <n v="2021"/>
    <x v="48"/>
    <s v="Condimentos"/>
    <s v="Crema de arándanos de la abuela"/>
    <n v="19"/>
    <n v="90"/>
    <n v="1710"/>
    <n v="0"/>
    <n v="205.2"/>
    <n v="1915.2"/>
  </r>
  <r>
    <d v="2021-08-01T00:00:00"/>
    <s v="Ago"/>
    <n v="2021"/>
    <x v="48"/>
    <s v="Granos y Cereales"/>
    <s v="Gnocchi di nonna Alice"/>
    <n v="80"/>
    <n v="60"/>
    <n v="4800"/>
    <n v="0"/>
    <n v="576"/>
    <n v="5376"/>
  </r>
  <r>
    <d v="2021-08-01T00:00:00"/>
    <s v="Ago"/>
    <n v="2021"/>
    <x v="48"/>
    <s v="Dulces"/>
    <s v="Pan largo escocés"/>
    <n v="24"/>
    <n v="85"/>
    <n v="2040"/>
    <n v="0"/>
    <n v="244.79999999999998"/>
    <n v="2284.8000000000002"/>
  </r>
  <r>
    <d v="2021-08-04T00:00:00"/>
    <s v="Ago"/>
    <n v="2021"/>
    <x v="48"/>
    <s v="Dulces"/>
    <s v="Scones de Sir Rodney"/>
    <n v="74"/>
    <n v="50"/>
    <n v="3700"/>
    <n v="0"/>
    <n v="444"/>
    <n v="4144"/>
  </r>
  <r>
    <d v="2021-08-04T00:00:00"/>
    <s v="Ago"/>
    <n v="2021"/>
    <x v="48"/>
    <s v="Granos y Cereales"/>
    <s v="Pan crujiente de Gustaf"/>
    <n v="15"/>
    <n v="80"/>
    <n v="1200"/>
    <n v="0"/>
    <n v="144"/>
    <n v="1344"/>
  </r>
  <r>
    <d v="2021-08-05T00:00:00"/>
    <s v="Ago"/>
    <n v="2021"/>
    <x v="76"/>
    <s v="Bebidas"/>
    <s v="Guaraná Fantástica"/>
    <n v="19"/>
    <n v="23"/>
    <n v="437"/>
    <n v="0"/>
    <n v="52.44"/>
    <n v="489.44"/>
  </r>
  <r>
    <d v="2021-08-05T00:00:00"/>
    <s v="Ago"/>
    <n v="2021"/>
    <x v="76"/>
    <s v="Granos y Cereales"/>
    <s v="Filo Mix"/>
    <n v="54"/>
    <n v="12"/>
    <n v="648"/>
    <n v="0"/>
    <n v="77.759999999999991"/>
    <n v="725.76"/>
  </r>
  <r>
    <d v="2021-08-05T00:00:00"/>
    <s v="Ago"/>
    <n v="2021"/>
    <x v="41"/>
    <s v="Dulces"/>
    <s v="Galletas de chocolate a la hora del té"/>
    <n v="57"/>
    <n v="98"/>
    <n v="5586"/>
    <n v="0"/>
    <n v="670.31999999999994"/>
    <n v="6256.32"/>
  </r>
  <r>
    <d v="2021-08-05T00:00:00"/>
    <s v="Ago"/>
    <n v="2021"/>
    <x v="41"/>
    <s v="Granos y Cereales"/>
    <s v="Pan plano"/>
    <n v="8"/>
    <n v="68"/>
    <n v="544"/>
    <n v="0"/>
    <n v="65.28"/>
    <n v="609.28"/>
  </r>
  <r>
    <d v="2021-08-05T00:00:00"/>
    <s v="Ago"/>
    <n v="2021"/>
    <x v="41"/>
    <s v="Bebidas"/>
    <s v="Outback Lager"/>
    <n v="47"/>
    <n v="22"/>
    <n v="1034"/>
    <n v="0"/>
    <n v="124.08"/>
    <n v="1158.08"/>
  </r>
  <r>
    <d v="2021-08-05T00:00:00"/>
    <s v="Ago"/>
    <n v="2021"/>
    <x v="41"/>
    <s v="Productos Lácteos"/>
    <s v="Queso crema"/>
    <n v="81"/>
    <n v="38"/>
    <n v="3078"/>
    <n v="0"/>
    <n v="369.36"/>
    <n v="3447.36"/>
  </r>
  <r>
    <d v="2021-08-06T00:00:00"/>
    <s v="Ago"/>
    <n v="2021"/>
    <x v="30"/>
    <s v="Bebidas"/>
    <s v="Chang"/>
    <n v="45"/>
    <n v="16"/>
    <n v="720"/>
    <n v="0"/>
    <n v="86.399999999999991"/>
    <n v="806.4"/>
  </r>
  <r>
    <d v="2021-08-06T00:00:00"/>
    <s v="Ago"/>
    <n v="2021"/>
    <x v="30"/>
    <s v="Dulces"/>
    <s v="Pan largo escocés"/>
    <n v="32"/>
    <n v="100"/>
    <n v="3200"/>
    <n v="0.20000000298023199"/>
    <n v="384"/>
    <n v="3583.7999999970198"/>
  </r>
  <r>
    <d v="2021-08-07T00:00:00"/>
    <s v="Ago"/>
    <n v="2021"/>
    <x v="17"/>
    <s v="Productos Alimenticios"/>
    <s v="tofu"/>
    <n v="89"/>
    <n v="22"/>
    <n v="1958"/>
    <n v="0"/>
    <n v="234.95999999999998"/>
    <n v="2192.96"/>
  </r>
  <r>
    <d v="2021-08-07T00:00:00"/>
    <s v="Ago"/>
    <n v="2021"/>
    <x v="17"/>
    <s v="Dulces"/>
    <s v="Galletas de chocolate a la hora del té"/>
    <n v="38"/>
    <n v="29"/>
    <n v="1102"/>
    <n v="0.10000000149011599"/>
    <n v="132.24"/>
    <n v="1234.1399999985099"/>
  </r>
  <r>
    <d v="2021-08-07T00:00:00"/>
    <s v="Ago"/>
    <n v="2021"/>
    <x v="17"/>
    <s v="Dulces"/>
    <s v="Scones de Sir Rodney"/>
    <n v="43"/>
    <n v="79"/>
    <n v="3397"/>
    <n v="0.10000000149011599"/>
    <n v="407.64"/>
    <n v="3804.5399999985098"/>
  </r>
  <r>
    <d v="2021-08-07T00:00:00"/>
    <s v="Ago"/>
    <n v="2021"/>
    <x v="17"/>
    <s v="Bebidas"/>
    <s v="Guaraná Fantástica"/>
    <n v="98"/>
    <n v="13"/>
    <n v="1274"/>
    <n v="0"/>
    <n v="152.88"/>
    <n v="1426.88"/>
  </r>
  <r>
    <d v="2021-08-07T00:00:00"/>
    <s v="Ago"/>
    <n v="2021"/>
    <x v="17"/>
    <s v="Bebidas"/>
    <s v="Steeleye Stout"/>
    <n v="82"/>
    <n v="87"/>
    <n v="7134"/>
    <n v="0.10000000149011599"/>
    <n v="856.07999999999993"/>
    <n v="7989.9799999985098"/>
  </r>
  <r>
    <d v="2021-08-07T00:00:00"/>
    <s v="Ago"/>
    <n v="2021"/>
    <x v="84"/>
    <s v="Productos Alimenticios"/>
    <s v="Chucrut Rössle"/>
    <n v="30"/>
    <n v="62"/>
    <n v="1860"/>
    <n v="0"/>
    <n v="223.2"/>
    <n v="2083.1999999999998"/>
  </r>
  <r>
    <d v="2021-08-07T00:00:00"/>
    <s v="Ago"/>
    <n v="2021"/>
    <x v="84"/>
    <s v="Carnes y Aves"/>
    <s v="Salchicha asada de Turingia"/>
    <n v="62"/>
    <n v="17"/>
    <n v="1054"/>
    <n v="0"/>
    <n v="126.47999999999999"/>
    <n v="1180.48"/>
  </r>
  <r>
    <d v="2021-08-07T00:00:00"/>
    <s v="Ago"/>
    <n v="2021"/>
    <x v="84"/>
    <s v="Condimentos"/>
    <s v="Gula Malacca"/>
    <n v="59"/>
    <n v="42"/>
    <n v="2478"/>
    <n v="0"/>
    <n v="297.36"/>
    <n v="2775.36"/>
  </r>
  <r>
    <d v="2021-08-08T00:00:00"/>
    <s v="Ago"/>
    <n v="2021"/>
    <x v="38"/>
    <s v="Productos Alimenticios"/>
    <s v="tofu"/>
    <n v="91"/>
    <n v="46"/>
    <n v="4186"/>
    <n v="0"/>
    <n v="502.32"/>
    <n v="4688.32"/>
  </r>
  <r>
    <d v="2021-08-08T00:00:00"/>
    <s v="Ago"/>
    <n v="2021"/>
    <x v="38"/>
    <s v="Granos y Cereales"/>
    <s v="Fried Mee de hockey de Singapur"/>
    <n v="33"/>
    <n v="12"/>
    <n v="396"/>
    <n v="0"/>
    <n v="47.519999999999996"/>
    <n v="443.52"/>
  </r>
  <r>
    <d v="2021-08-08T00:00:00"/>
    <s v="Ago"/>
    <n v="2021"/>
    <x v="38"/>
    <s v="Productos Lácteos"/>
    <s v="Pierrot camembert"/>
    <n v="29"/>
    <n v="10"/>
    <n v="290"/>
    <n v="0"/>
    <n v="34.799999999999997"/>
    <n v="324.8"/>
  </r>
  <r>
    <d v="2021-08-11T00:00:00"/>
    <s v="Ago"/>
    <n v="2021"/>
    <x v="26"/>
    <s v="Carnes y Aves"/>
    <s v="Empanadas de Perth"/>
    <n v="60"/>
    <n v="16"/>
    <n v="960"/>
    <n v="0"/>
    <n v="115.19999999999999"/>
    <n v="1075.2"/>
  </r>
  <r>
    <d v="2021-08-11T00:00:00"/>
    <s v="Ago"/>
    <n v="2021"/>
    <x v="26"/>
    <s v="Productos Lácteos"/>
    <s v="Pierrot camembert"/>
    <n v="18"/>
    <n v="75"/>
    <n v="1350"/>
    <n v="0"/>
    <n v="162"/>
    <n v="1512"/>
  </r>
  <r>
    <d v="2021-08-11T00:00:00"/>
    <s v="Ago"/>
    <n v="2021"/>
    <x v="26"/>
    <s v="Productos Lácteos"/>
    <s v="Queso crema"/>
    <n v="22"/>
    <n v="53"/>
    <n v="1166"/>
    <n v="0"/>
    <n v="139.91999999999999"/>
    <n v="1305.92"/>
  </r>
  <r>
    <d v="2021-08-11T00:00:00"/>
    <s v="Ago"/>
    <n v="2021"/>
    <x v="44"/>
    <s v="Dulces"/>
    <s v="Tarta de azúcar"/>
    <n v="50"/>
    <n v="65"/>
    <n v="3250"/>
    <n v="0"/>
    <n v="390"/>
    <n v="3640"/>
  </r>
  <r>
    <d v="2021-08-11T00:00:00"/>
    <s v="Ago"/>
    <n v="2021"/>
    <x v="44"/>
    <s v="Mariscos"/>
    <s v="Caviar rojo"/>
    <n v="71"/>
    <n v="69"/>
    <n v="4899"/>
    <n v="0.15000000596046401"/>
    <n v="587.88"/>
    <n v="5486.7299999940396"/>
  </r>
  <r>
    <d v="2021-08-12T00:00:00"/>
    <s v="Ago"/>
    <n v="2021"/>
    <x v="15"/>
    <s v="Bebidas"/>
    <s v="Chai"/>
    <n v="62"/>
    <n v="67"/>
    <n v="4154"/>
    <n v="0"/>
    <n v="498.47999999999996"/>
    <n v="4652.4799999999996"/>
  </r>
  <r>
    <d v="2021-08-12T00:00:00"/>
    <s v="Ago"/>
    <n v="2021"/>
    <x v="36"/>
    <s v="Carnes y Aves"/>
    <s v="Salchicha asada de Turingia"/>
    <n v="85"/>
    <n v="72"/>
    <n v="6120"/>
    <n v="0"/>
    <n v="734.4"/>
    <n v="6854.4"/>
  </r>
  <r>
    <d v="2021-08-12T00:00:00"/>
    <s v="Ago"/>
    <n v="2021"/>
    <x v="36"/>
    <s v="Granos y Cereales"/>
    <s v="El buen Semmelknödel de Wimmer"/>
    <n v="21"/>
    <n v="75"/>
    <n v="1575"/>
    <n v="0"/>
    <n v="189"/>
    <n v="1764"/>
  </r>
  <r>
    <d v="2021-08-13T00:00:00"/>
    <s v="Ago"/>
    <n v="2021"/>
    <x v="43"/>
    <s v="Carnes y Aves"/>
    <s v="Paté chino"/>
    <n v="83"/>
    <n v="23"/>
    <n v="1909"/>
    <n v="5.0000000745058101E-2"/>
    <n v="229.07999999999998"/>
    <n v="2138.0299999992549"/>
  </r>
  <r>
    <d v="2021-08-13T00:00:00"/>
    <s v="Ago"/>
    <n v="2021"/>
    <x v="43"/>
    <s v="Bebidas"/>
    <s v="Lakkalikööri"/>
    <n v="35"/>
    <n v="83"/>
    <n v="2905"/>
    <n v="0"/>
    <n v="348.59999999999997"/>
    <n v="3253.6"/>
  </r>
  <r>
    <d v="2021-08-14T00:00:00"/>
    <s v="Ago"/>
    <n v="2021"/>
    <x v="52"/>
    <s v="Bebidas"/>
    <s v="Rhönbräu Klosterbier"/>
    <n v="76"/>
    <n v="29"/>
    <n v="2204"/>
    <n v="0.10000000149011599"/>
    <n v="264.48"/>
    <n v="2468.3799999985099"/>
  </r>
  <r>
    <d v="2021-08-14T00:00:00"/>
    <s v="Ago"/>
    <n v="2021"/>
    <x v="35"/>
    <s v="Bebidas"/>
    <s v="Chang"/>
    <n v="5"/>
    <n v="46"/>
    <n v="230"/>
    <n v="5.0000000745058101E-2"/>
    <n v="27.599999999999998"/>
    <n v="257.54999999925496"/>
  </r>
  <r>
    <d v="2021-08-14T00:00:00"/>
    <s v="Ago"/>
    <n v="2021"/>
    <x v="35"/>
    <s v="Productos Lácteos"/>
    <s v="Queso de cabra"/>
    <n v="57"/>
    <n v="74"/>
    <n v="4218"/>
    <n v="5.0000000745058101E-2"/>
    <n v="506.15999999999997"/>
    <n v="4724.1099999992548"/>
  </r>
  <r>
    <d v="2021-08-15T00:00:00"/>
    <s v="Ago"/>
    <n v="2021"/>
    <x v="9"/>
    <s v="Productos Lácteos"/>
    <s v="Queso Manchego La Pastora"/>
    <n v="29"/>
    <n v="78"/>
    <n v="2262"/>
    <n v="0.15000000596046401"/>
    <n v="271.44"/>
    <n v="2533.2899999940396"/>
  </r>
  <r>
    <d v="2021-08-15T00:00:00"/>
    <s v="Ago"/>
    <n v="2021"/>
    <x v="9"/>
    <s v="Mariscos"/>
    <s v="Konbu"/>
    <n v="36"/>
    <n v="40"/>
    <n v="1440"/>
    <n v="0.15000000596046401"/>
    <n v="172.79999999999998"/>
    <n v="1612.6499999940395"/>
  </r>
  <r>
    <d v="2021-08-15T00:00:00"/>
    <s v="Ago"/>
    <n v="2021"/>
    <x v="9"/>
    <s v="Dulces"/>
    <s v="Gummär Gummibärchen"/>
    <n v="10"/>
    <n v="14"/>
    <n v="140"/>
    <n v="0.15000000596046401"/>
    <n v="16.8"/>
    <n v="156.64999999403955"/>
  </r>
  <r>
    <d v="2021-08-15T00:00:00"/>
    <s v="Ago"/>
    <n v="2021"/>
    <x v="9"/>
    <s v="Dulces"/>
    <s v="Tarta de azúcar"/>
    <n v="19"/>
    <n v="57"/>
    <n v="1083"/>
    <n v="0.15000000596046401"/>
    <n v="129.96"/>
    <n v="1212.8099999940396"/>
  </r>
  <r>
    <d v="2021-08-15T00:00:00"/>
    <s v="Ago"/>
    <n v="2021"/>
    <x v="68"/>
    <s v="Productos Alimenticios"/>
    <s v="Peras secas orgánicas del tío Bob"/>
    <n v="38"/>
    <n v="14"/>
    <n v="532"/>
    <n v="0"/>
    <n v="63.839999999999996"/>
    <n v="595.84"/>
  </r>
  <r>
    <d v="2021-08-15T00:00:00"/>
    <s v="Ago"/>
    <n v="2021"/>
    <x v="68"/>
    <s v="Mariscos"/>
    <s v="Tigres de Carnarvon"/>
    <n v="89"/>
    <n v="24"/>
    <n v="2136"/>
    <n v="0"/>
    <n v="256.32"/>
    <n v="2392.3200000000002"/>
  </r>
  <r>
    <d v="2021-08-15T00:00:00"/>
    <s v="Ago"/>
    <n v="2021"/>
    <x v="68"/>
    <s v="Productos Alimenticios"/>
    <s v="Manjimup Dry Apples"/>
    <n v="5"/>
    <n v="80"/>
    <n v="400"/>
    <n v="0"/>
    <n v="48"/>
    <n v="448"/>
  </r>
  <r>
    <d v="2021-08-15T00:00:00"/>
    <s v="Ago"/>
    <n v="2021"/>
    <x v="68"/>
    <s v="Bebidas"/>
    <s v="Rhönbräu Klosterbier"/>
    <n v="81"/>
    <n v="53"/>
    <n v="4293"/>
    <n v="0"/>
    <n v="515.16"/>
    <n v="4808.16"/>
  </r>
  <r>
    <d v="2021-08-18T00:00:00"/>
    <s v="Ago"/>
    <n v="2021"/>
    <x v="23"/>
    <s v="Condimentos"/>
    <s v="Condimento Cajún del Chef Anton"/>
    <n v="54"/>
    <n v="39"/>
    <n v="2106"/>
    <n v="0.10000000149011599"/>
    <n v="252.72"/>
    <n v="2358.6199999985097"/>
  </r>
  <r>
    <d v="2021-08-18T00:00:00"/>
    <s v="Ago"/>
    <n v="2021"/>
    <x v="23"/>
    <s v="Condimentos"/>
    <s v="Mezcla de Gumbo del Chef Anton"/>
    <n v="39"/>
    <n v="40"/>
    <n v="1560"/>
    <n v="0.10000000149011599"/>
    <n v="187.2"/>
    <n v="1747.0999999985099"/>
  </r>
  <r>
    <d v="2021-08-18T00:00:00"/>
    <s v="Ago"/>
    <n v="2021"/>
    <x v="23"/>
    <s v="Granos y Cereales"/>
    <s v="Pan crujiente de Gustaf"/>
    <n v="20"/>
    <n v="47"/>
    <n v="940"/>
    <n v="0"/>
    <n v="112.8"/>
    <n v="1052.8"/>
  </r>
  <r>
    <d v="2021-08-19T00:00:00"/>
    <s v="Ago"/>
    <n v="2021"/>
    <x v="16"/>
    <s v="Condimentos"/>
    <s v="Condimento Cajún del Chef Anton"/>
    <n v="59"/>
    <n v="57"/>
    <n v="3363"/>
    <n v="0"/>
    <n v="403.56"/>
    <n v="3766.56"/>
  </r>
  <r>
    <d v="2021-08-19T00:00:00"/>
    <s v="Ago"/>
    <n v="2021"/>
    <x v="16"/>
    <s v="Mariscos"/>
    <s v="Escorts borgoña"/>
    <n v="24"/>
    <n v="62"/>
    <n v="1488"/>
    <n v="0"/>
    <n v="178.56"/>
    <n v="1666.56"/>
  </r>
  <r>
    <d v="2021-08-19T00:00:00"/>
    <s v="Ago"/>
    <n v="2021"/>
    <x v="61"/>
    <s v="Productos Lácteos"/>
    <s v="Queso Cabrales"/>
    <n v="37"/>
    <n v="72"/>
    <n v="2664"/>
    <n v="0"/>
    <n v="319.68"/>
    <n v="2983.68"/>
  </r>
  <r>
    <d v="2021-08-19T00:00:00"/>
    <s v="Ago"/>
    <n v="2021"/>
    <x v="61"/>
    <s v="Dulces"/>
    <s v="Valkoinen suklaa"/>
    <n v="39"/>
    <n v="100"/>
    <n v="3900"/>
    <n v="5.0000000745058101E-2"/>
    <n v="468"/>
    <n v="4367.9499999992549"/>
  </r>
  <r>
    <d v="2021-08-19T00:00:00"/>
    <s v="Ago"/>
    <n v="2021"/>
    <x v="61"/>
    <s v="Granos y Cereales"/>
    <s v="Gnocchi di nonna Alice"/>
    <n v="50"/>
    <n v="71"/>
    <n v="3550"/>
    <n v="5.0000000745058101E-2"/>
    <n v="426"/>
    <n v="3975.9499999992549"/>
  </r>
  <r>
    <d v="2021-08-20T00:00:00"/>
    <s v="Ago"/>
    <n v="2021"/>
    <x v="66"/>
    <s v="Mariscos"/>
    <s v="Arenque ahumado"/>
    <n v="62"/>
    <n v="93"/>
    <n v="5766"/>
    <n v="0"/>
    <n v="691.92"/>
    <n v="6457.92"/>
  </r>
  <r>
    <d v="2021-08-20T00:00:00"/>
    <s v="Ago"/>
    <n v="2021"/>
    <x v="66"/>
    <s v="Condimentos"/>
    <s v="Salsa de pimiento picante de Luisiana"/>
    <n v="16"/>
    <n v="36"/>
    <n v="576"/>
    <n v="0"/>
    <n v="69.12"/>
    <n v="645.12"/>
  </r>
  <r>
    <d v="2021-08-20T00:00:00"/>
    <s v="Ago"/>
    <n v="2021"/>
    <x v="66"/>
    <s v="Productos Lácteos"/>
    <s v="Mozzarella di Giovanni"/>
    <n v="25"/>
    <n v="77"/>
    <n v="1925"/>
    <n v="0"/>
    <n v="231"/>
    <n v="2156"/>
  </r>
  <r>
    <d v="2021-08-20T00:00:00"/>
    <s v="Ago"/>
    <n v="2021"/>
    <x v="64"/>
    <s v="Mariscos"/>
    <s v="Tigres de Carnarvon"/>
    <n v="76"/>
    <n v="17"/>
    <n v="1292"/>
    <n v="0"/>
    <n v="155.04"/>
    <n v="1447.04"/>
  </r>
  <r>
    <d v="2021-08-21T00:00:00"/>
    <s v="Ago"/>
    <n v="2021"/>
    <x v="35"/>
    <s v="Productos Lácteos"/>
    <s v="Gudbrandsdalsost"/>
    <n v="40"/>
    <n v="70"/>
    <n v="2800"/>
    <n v="0.25"/>
    <n v="336"/>
    <n v="3135.75"/>
  </r>
  <r>
    <d v="2021-08-21T00:00:00"/>
    <s v="Ago"/>
    <n v="2021"/>
    <x v="35"/>
    <s v="Bebidas"/>
    <s v="Outback Lager"/>
    <n v="70"/>
    <n v="93"/>
    <n v="6510"/>
    <n v="0.25"/>
    <n v="781.19999999999993"/>
    <n v="7290.95"/>
  </r>
  <r>
    <d v="2021-08-22T00:00:00"/>
    <s v="Ago"/>
    <n v="2021"/>
    <x v="8"/>
    <s v="Bebidas"/>
    <s v="Chang"/>
    <n v="97"/>
    <n v="30"/>
    <n v="2910"/>
    <n v="0"/>
    <n v="349.2"/>
    <n v="3259.2"/>
  </r>
  <r>
    <d v="2021-08-22T00:00:00"/>
    <s v="Ago"/>
    <n v="2021"/>
    <x v="8"/>
    <s v="Mariscos"/>
    <s v="Carne de cangrejo de Boston"/>
    <n v="60"/>
    <n v="84"/>
    <n v="5040"/>
    <n v="0"/>
    <n v="604.79999999999995"/>
    <n v="5644.8"/>
  </r>
  <r>
    <d v="2021-08-22T00:00:00"/>
    <s v="Ago"/>
    <n v="2021"/>
    <x v="50"/>
    <s v="Dulces"/>
    <s v="Scones de Sir Rodney"/>
    <n v="42"/>
    <n v="52"/>
    <n v="2184"/>
    <n v="0.20000000298023199"/>
    <n v="262.08"/>
    <n v="2445.8799999970197"/>
  </r>
  <r>
    <d v="2021-08-22T00:00:00"/>
    <s v="Ago"/>
    <n v="2021"/>
    <x v="50"/>
    <s v="Condimentos"/>
    <s v="miel de maple"/>
    <n v="3"/>
    <n v="77"/>
    <n v="231"/>
    <n v="0.20000000298023199"/>
    <n v="27.72"/>
    <n v="258.5199999970198"/>
  </r>
  <r>
    <d v="2021-08-25T00:00:00"/>
    <s v="Ago"/>
    <n v="2021"/>
    <x v="85"/>
    <s v="Productos Alimenticios"/>
    <s v="Chucrut Rössle"/>
    <n v="15"/>
    <n v="100"/>
    <n v="1500"/>
    <n v="0.25"/>
    <n v="180"/>
    <n v="1679.75"/>
  </r>
  <r>
    <d v="2021-08-25T00:00:00"/>
    <s v="Ago"/>
    <n v="2021"/>
    <x v="85"/>
    <s v="Bebidas"/>
    <s v="Chartreuse verde"/>
    <n v="8"/>
    <n v="37"/>
    <n v="296"/>
    <n v="0.25"/>
    <n v="35.519999999999996"/>
    <n v="331.27"/>
  </r>
  <r>
    <d v="2021-08-25T00:00:00"/>
    <s v="Ago"/>
    <n v="2021"/>
    <x v="85"/>
    <s v="Mariscos"/>
    <s v="arenque"/>
    <n v="18"/>
    <n v="55"/>
    <n v="990"/>
    <n v="0.25"/>
    <n v="118.8"/>
    <n v="1108.55"/>
  </r>
  <r>
    <d v="2021-08-25T00:00:00"/>
    <s v="Ago"/>
    <n v="2021"/>
    <x v="7"/>
    <s v="Mariscos"/>
    <s v="Tigres de Carnarvon"/>
    <n v="23"/>
    <n v="57"/>
    <n v="1311"/>
    <n v="0.10000000149011599"/>
    <n v="157.32"/>
    <n v="1468.2199999985098"/>
  </r>
  <r>
    <d v="2021-08-25T00:00:00"/>
    <s v="Ago"/>
    <n v="2021"/>
    <x v="7"/>
    <s v="Bebidas"/>
    <s v="Café Ipoh"/>
    <n v="67"/>
    <n v="93"/>
    <n v="6231"/>
    <n v="0"/>
    <n v="747.72"/>
    <n v="6978.72"/>
  </r>
  <r>
    <d v="2021-08-25T00:00:00"/>
    <s v="Ago"/>
    <n v="2021"/>
    <x v="7"/>
    <s v="Mariscos"/>
    <s v="arenque"/>
    <n v="8"/>
    <n v="38"/>
    <n v="304"/>
    <n v="0.10000000149011599"/>
    <n v="36.479999999999997"/>
    <n v="340.3799999985099"/>
  </r>
  <r>
    <d v="2021-08-26T00:00:00"/>
    <s v="Ago"/>
    <n v="2021"/>
    <x v="2"/>
    <s v="Mariscos"/>
    <s v="Tigres de Carnarvon"/>
    <n v="95"/>
    <n v="80"/>
    <n v="7600"/>
    <n v="0"/>
    <n v="912"/>
    <n v="8512"/>
  </r>
  <r>
    <d v="2021-08-26T00:00:00"/>
    <s v="Ago"/>
    <n v="2021"/>
    <x v="2"/>
    <s v="Mariscos"/>
    <s v="Arenque en escabeche"/>
    <n v="9"/>
    <n v="80"/>
    <n v="720"/>
    <n v="0"/>
    <n v="86.399999999999991"/>
    <n v="806.4"/>
  </r>
  <r>
    <d v="2021-08-27T00:00:00"/>
    <s v="Ago"/>
    <n v="2021"/>
    <x v="34"/>
    <s v="Bebidas"/>
    <s v="Chai"/>
    <n v="13"/>
    <n v="81"/>
    <n v="1053"/>
    <n v="0.25"/>
    <n v="126.36"/>
    <n v="1179.1099999999999"/>
  </r>
  <r>
    <d v="2021-08-27T00:00:00"/>
    <s v="Ago"/>
    <n v="2021"/>
    <x v="34"/>
    <s v="Mariscos"/>
    <s v="Ikura"/>
    <n v="90"/>
    <n v="91"/>
    <n v="8190"/>
    <n v="0.25"/>
    <n v="982.8"/>
    <n v="9172.5499999999993"/>
  </r>
  <r>
    <d v="2021-08-27T00:00:00"/>
    <s v="Ago"/>
    <n v="2021"/>
    <x v="34"/>
    <s v="Productos Lácteos"/>
    <s v="Queso crema"/>
    <n v="78"/>
    <n v="17"/>
    <n v="1326"/>
    <n v="0.25"/>
    <n v="159.12"/>
    <n v="1484.87"/>
  </r>
  <r>
    <d v="2021-08-27T00:00:00"/>
    <s v="Ago"/>
    <n v="2021"/>
    <x v="34"/>
    <s v="Condimentos"/>
    <s v="Salsa verde original de Frankfurt"/>
    <n v="36"/>
    <n v="77"/>
    <n v="2772"/>
    <n v="0.25"/>
    <n v="332.64"/>
    <n v="3104.39"/>
  </r>
  <r>
    <d v="2021-08-27T00:00:00"/>
    <s v="Ago"/>
    <n v="2021"/>
    <x v="12"/>
    <s v="Dulces"/>
    <s v="Galletas de chocolate a la hora del té"/>
    <n v="70"/>
    <n v="88"/>
    <n v="6160"/>
    <n v="0"/>
    <n v="739.19999999999993"/>
    <n v="6899.2"/>
  </r>
  <r>
    <d v="2021-08-27T00:00:00"/>
    <s v="Ago"/>
    <n v="2021"/>
    <x v="12"/>
    <s v="Bebidas"/>
    <s v="Chartreuse verde"/>
    <n v="66"/>
    <n v="38"/>
    <n v="2508"/>
    <n v="0"/>
    <n v="300.95999999999998"/>
    <n v="2808.96"/>
  </r>
  <r>
    <d v="2021-08-28T00:00:00"/>
    <s v="Ago"/>
    <n v="2021"/>
    <x v="30"/>
    <s v="Granos y Cereales"/>
    <s v="Pan crujiente de Gustaf"/>
    <n v="64"/>
    <n v="80"/>
    <n v="5120"/>
    <n v="0"/>
    <n v="614.4"/>
    <n v="5734.4"/>
  </r>
  <r>
    <d v="2021-08-28T00:00:00"/>
    <s v="Ago"/>
    <n v="2021"/>
    <x v="30"/>
    <s v="Bebidas"/>
    <s v="Guaraná Fantástica"/>
    <n v="74"/>
    <n v="14"/>
    <n v="1036"/>
    <n v="0.15000000596046401"/>
    <n v="124.32"/>
    <n v="1160.1699999940395"/>
  </r>
  <r>
    <d v="2021-08-28T00:00:00"/>
    <s v="Ago"/>
    <n v="2021"/>
    <x v="81"/>
    <s v="Productos Alimenticios"/>
    <s v="Chucrut Rössle"/>
    <n v="86"/>
    <n v="70"/>
    <n v="6020"/>
    <n v="0"/>
    <n v="722.4"/>
    <n v="6742.4"/>
  </r>
  <r>
    <d v="2021-08-28T00:00:00"/>
    <s v="Ago"/>
    <n v="2021"/>
    <x v="81"/>
    <s v="Productos Lácteos"/>
    <s v="Mozzarella di Giovanni"/>
    <n v="97"/>
    <n v="53"/>
    <n v="5141"/>
    <n v="0"/>
    <n v="616.91999999999996"/>
    <n v="5757.92"/>
  </r>
  <r>
    <d v="2021-08-29T00:00:00"/>
    <s v="Ago"/>
    <n v="2021"/>
    <x v="51"/>
    <s v="Mariscos"/>
    <s v="Nord-Ost Matjeshering"/>
    <n v="59"/>
    <n v="46"/>
    <n v="2714"/>
    <n v="0"/>
    <n v="325.68"/>
    <n v="3039.68"/>
  </r>
  <r>
    <d v="2021-08-29T00:00:00"/>
    <s v="Ago"/>
    <n v="2021"/>
    <x v="51"/>
    <s v="Carnes y Aves"/>
    <s v="Empanadas de Perth"/>
    <n v="71"/>
    <n v="99"/>
    <n v="7029"/>
    <n v="5.0000000745058101E-2"/>
    <n v="843.48"/>
    <n v="7872.4299999992545"/>
  </r>
  <r>
    <d v="2021-08-29T00:00:00"/>
    <s v="Ago"/>
    <n v="2021"/>
    <x v="51"/>
    <s v="Carnes y Aves"/>
    <s v="Tourtière"/>
    <n v="77"/>
    <n v="32"/>
    <n v="2464"/>
    <n v="0"/>
    <n v="295.68"/>
    <n v="2759.68"/>
  </r>
  <r>
    <d v="2021-09-01T00:00:00"/>
    <s v="Sep"/>
    <n v="2021"/>
    <x v="35"/>
    <s v="Dulces"/>
    <s v="Galletas de chocolate a la hora del té"/>
    <n v="10"/>
    <n v="34"/>
    <n v="340"/>
    <n v="0.25"/>
    <n v="40.799999999999997"/>
    <n v="380.55"/>
  </r>
  <r>
    <d v="2021-09-01T00:00:00"/>
    <s v="Sep"/>
    <n v="2021"/>
    <x v="35"/>
    <s v="Granos y Cereales"/>
    <s v="Pan crujiente de Gustaf"/>
    <n v="73"/>
    <n v="39"/>
    <n v="2847"/>
    <n v="0.25"/>
    <n v="341.64"/>
    <n v="3188.39"/>
  </r>
  <r>
    <d v="2021-09-01T00:00:00"/>
    <s v="Sep"/>
    <n v="2021"/>
    <x v="71"/>
    <s v="Mariscos"/>
    <s v="Nord-Ost Matjeshering"/>
    <n v="2"/>
    <n v="70"/>
    <n v="140"/>
    <n v="0.25"/>
    <n v="16.8"/>
    <n v="156.55000000000001"/>
  </r>
  <r>
    <d v="2021-09-01T00:00:00"/>
    <s v="Sep"/>
    <n v="2021"/>
    <x v="71"/>
    <s v="Granos y Cereales"/>
    <s v="Fried Mee de hockey de Singapur"/>
    <n v="63"/>
    <n v="30"/>
    <n v="1890"/>
    <n v="0"/>
    <n v="226.79999999999998"/>
    <n v="2116.8000000000002"/>
  </r>
  <r>
    <d v="2021-09-02T00:00:00"/>
    <s v="Sep"/>
    <n v="2021"/>
    <x v="17"/>
    <s v="Dulces"/>
    <s v="Pavlova"/>
    <n v="3"/>
    <n v="80"/>
    <n v="240"/>
    <n v="0.10000000149011599"/>
    <n v="28.799999999999997"/>
    <n v="268.6999999985099"/>
  </r>
  <r>
    <d v="2021-09-02T00:00:00"/>
    <s v="Sep"/>
    <n v="2021"/>
    <x v="17"/>
    <s v="Productos Lácteos"/>
    <s v="Pierrot camembert"/>
    <n v="34"/>
    <n v="61"/>
    <n v="2074"/>
    <n v="0.10000000149011599"/>
    <n v="248.88"/>
    <n v="2322.77999999851"/>
  </r>
  <r>
    <d v="2021-09-02T00:00:00"/>
    <s v="Sep"/>
    <n v="2021"/>
    <x v="26"/>
    <s v="Condimentos"/>
    <s v="Condimento Cajún del Chef Anton"/>
    <n v="44"/>
    <n v="39"/>
    <n v="1716"/>
    <n v="0.10000000149011599"/>
    <n v="205.92"/>
    <n v="1921.81999999851"/>
  </r>
  <r>
    <d v="2021-09-02T00:00:00"/>
    <s v="Sep"/>
    <n v="2021"/>
    <x v="26"/>
    <s v="Bebidas"/>
    <s v="Chartreuse verde"/>
    <n v="22"/>
    <n v="96"/>
    <n v="2112"/>
    <n v="0.10000000149011599"/>
    <n v="253.44"/>
    <n v="2365.3399999985099"/>
  </r>
  <r>
    <d v="2021-09-02T00:00:00"/>
    <s v="Sep"/>
    <n v="2021"/>
    <x v="26"/>
    <s v="Carnes y Aves"/>
    <s v="Tourtière"/>
    <n v="58"/>
    <n v="27"/>
    <n v="1566"/>
    <n v="0.10000000149011599"/>
    <n v="187.92"/>
    <n v="1753.81999999851"/>
  </r>
  <r>
    <d v="2021-09-03T00:00:00"/>
    <s v="Sep"/>
    <n v="2021"/>
    <x v="31"/>
    <s v="Mariscos"/>
    <s v="Sopa de almejas de Nueva Inglaterra de Jack"/>
    <n v="88"/>
    <n v="74"/>
    <n v="6512"/>
    <n v="0.20000000298023199"/>
    <n v="781.43999999999994"/>
    <n v="7293.2399999970194"/>
  </r>
  <r>
    <d v="2021-09-04T00:00:00"/>
    <s v="Sep"/>
    <n v="2021"/>
    <x v="80"/>
    <s v="Productos Alimenticios"/>
    <s v="tofu"/>
    <n v="38"/>
    <n v="72"/>
    <n v="2736"/>
    <n v="0.10000000149011599"/>
    <n v="328.32"/>
    <n v="3064.21999999851"/>
  </r>
  <r>
    <d v="2021-09-04T00:00:00"/>
    <s v="Sep"/>
    <n v="2021"/>
    <x v="80"/>
    <s v="Condimentos"/>
    <s v="Gula Malacca"/>
    <n v="18"/>
    <n v="62"/>
    <n v="1116"/>
    <n v="0.10000000149011599"/>
    <n v="133.91999999999999"/>
    <n v="1249.81999999851"/>
  </r>
  <r>
    <d v="2021-09-04T00:00:00"/>
    <s v="Sep"/>
    <n v="2021"/>
    <x v="80"/>
    <s v="Dulces"/>
    <s v="Tortas Zaanse"/>
    <n v="3"/>
    <n v="34"/>
    <n v="102"/>
    <n v="0.10000000149011599"/>
    <n v="12.24"/>
    <n v="114.13999999850988"/>
  </r>
  <r>
    <d v="2021-09-04T00:00:00"/>
    <s v="Sep"/>
    <n v="2021"/>
    <x v="44"/>
    <s v="Condimentos"/>
    <s v="Genes Shouyu"/>
    <n v="100"/>
    <n v="18"/>
    <n v="1800"/>
    <n v="0"/>
    <n v="216"/>
    <n v="2016"/>
  </r>
  <r>
    <d v="2021-09-04T00:00:00"/>
    <s v="Sep"/>
    <n v="2021"/>
    <x v="44"/>
    <s v="Mariscos"/>
    <s v="Sopa de almejas de Nueva Inglaterra de Jack"/>
    <n v="11"/>
    <n v="65"/>
    <n v="715"/>
    <n v="0"/>
    <n v="85.8"/>
    <n v="800.8"/>
  </r>
  <r>
    <d v="2021-09-04T00:00:00"/>
    <s v="Sep"/>
    <n v="2021"/>
    <x v="44"/>
    <s v="Mariscos"/>
    <s v="arenque"/>
    <n v="81"/>
    <n v="65"/>
    <n v="5265"/>
    <n v="0"/>
    <n v="631.79999999999995"/>
    <n v="5896.8"/>
  </r>
  <r>
    <d v="2021-09-04T00:00:00"/>
    <s v="Sep"/>
    <n v="2021"/>
    <x v="44"/>
    <s v="Dulces"/>
    <s v="Tortas Zaanse"/>
    <n v="73"/>
    <n v="71"/>
    <n v="5183"/>
    <n v="0"/>
    <n v="621.95999999999992"/>
    <n v="5804.96"/>
  </r>
  <r>
    <d v="2021-09-04T00:00:00"/>
    <s v="Sep"/>
    <n v="2021"/>
    <x v="44"/>
    <s v="Granos y Cereales"/>
    <s v="Gnocchi di nonna Alice"/>
    <n v="67"/>
    <n v="12"/>
    <n v="804"/>
    <n v="0"/>
    <n v="96.47999999999999"/>
    <n v="900.48"/>
  </r>
  <r>
    <d v="2021-09-04T00:00:00"/>
    <s v="Sep"/>
    <n v="2021"/>
    <x v="44"/>
    <s v="Productos Lácteos"/>
    <s v="Pierrot camembert"/>
    <n v="3"/>
    <n v="73"/>
    <n v="219"/>
    <n v="0"/>
    <n v="26.279999999999998"/>
    <n v="245.28"/>
  </r>
  <r>
    <d v="2021-09-05T00:00:00"/>
    <s v="Sep"/>
    <n v="2021"/>
    <x v="21"/>
    <s v="Dulces"/>
    <s v="Scones de Sir Rodney"/>
    <n v="82"/>
    <n v="95"/>
    <n v="7790"/>
    <n v="0"/>
    <n v="934.8"/>
    <n v="8724.7999999999993"/>
  </r>
  <r>
    <d v="2021-09-05T00:00:00"/>
    <s v="Sep"/>
    <n v="2021"/>
    <x v="21"/>
    <s v="Mariscos"/>
    <s v="Carne de cangrejo de Boston"/>
    <n v="99"/>
    <n v="96"/>
    <n v="9504"/>
    <n v="5.0000000745058101E-2"/>
    <n v="1140.48"/>
    <n v="10644.429999999255"/>
  </r>
  <r>
    <d v="2021-09-05T00:00:00"/>
    <s v="Sep"/>
    <n v="2021"/>
    <x v="21"/>
    <s v="Productos Lácteos"/>
    <s v="Pierrot camembert"/>
    <n v="84"/>
    <n v="49"/>
    <n v="4116"/>
    <n v="5.0000000745058101E-2"/>
    <n v="493.91999999999996"/>
    <n v="4609.869999999255"/>
  </r>
  <r>
    <d v="2021-09-05T00:00:00"/>
    <s v="Sep"/>
    <n v="2021"/>
    <x v="21"/>
    <s v="Condimentos"/>
    <s v="Salsa verde original de Frankfurt"/>
    <n v="79"/>
    <n v="92"/>
    <n v="7268"/>
    <n v="5.0000000745058101E-2"/>
    <n v="872.16"/>
    <n v="8140.1099999992548"/>
  </r>
  <r>
    <d v="2021-09-05T00:00:00"/>
    <s v="Sep"/>
    <n v="2021"/>
    <x v="61"/>
    <s v="Productos Lácteos"/>
    <s v="Gorgonzola Telino"/>
    <n v="89"/>
    <n v="72"/>
    <n v="6408"/>
    <n v="5.0000000745058101E-2"/>
    <n v="768.95999999999992"/>
    <n v="7176.909999999255"/>
  </r>
  <r>
    <d v="2021-09-05T00:00:00"/>
    <s v="Sep"/>
    <n v="2021"/>
    <x v="61"/>
    <s v="Mariscos"/>
    <s v="Carne de cangrejo de Boston"/>
    <n v="86"/>
    <n v="71"/>
    <n v="6106"/>
    <n v="5.0000000745058101E-2"/>
    <n v="732.72"/>
    <n v="6838.6699999992552"/>
  </r>
  <r>
    <d v="2021-09-05T00:00:00"/>
    <s v="Sep"/>
    <n v="2021"/>
    <x v="61"/>
    <s v="Bebidas"/>
    <s v="Outback Lager"/>
    <n v="49"/>
    <n v="21"/>
    <n v="1029"/>
    <n v="5.0000000745058101E-2"/>
    <n v="123.47999999999999"/>
    <n v="1152.429999999255"/>
  </r>
  <r>
    <d v="2021-09-08T00:00:00"/>
    <s v="Sep"/>
    <n v="2021"/>
    <x v="63"/>
    <s v="Dulces"/>
    <s v="Mermelada de Sir Rodney"/>
    <n v="96"/>
    <n v="67"/>
    <n v="6432"/>
    <n v="0"/>
    <n v="771.83999999999992"/>
    <n v="7203.84"/>
  </r>
  <r>
    <d v="2021-09-09T00:00:00"/>
    <s v="Sep"/>
    <n v="2021"/>
    <x v="34"/>
    <s v="Bebidas"/>
    <s v="Chartreuse verde"/>
    <n v="39"/>
    <n v="18"/>
    <n v="702"/>
    <n v="0.20000000298023199"/>
    <n v="84.24"/>
    <n v="786.03999999701978"/>
  </r>
  <r>
    <d v="2021-09-09T00:00:00"/>
    <s v="Sep"/>
    <n v="2021"/>
    <x v="34"/>
    <s v="Mariscos"/>
    <s v="Escorts borgoña"/>
    <n v="66"/>
    <n v="11"/>
    <n v="726"/>
    <n v="0.20000000298023199"/>
    <n v="87.11999999999999"/>
    <n v="812.91999999701977"/>
  </r>
  <r>
    <d v="2021-09-09T00:00:00"/>
    <s v="Sep"/>
    <n v="2021"/>
    <x v="37"/>
    <s v="Dulces"/>
    <s v="Pan largo escocés"/>
    <n v="83"/>
    <n v="80"/>
    <n v="6640"/>
    <n v="0"/>
    <n v="796.8"/>
    <n v="7436.8"/>
  </r>
  <r>
    <d v="2021-09-10T00:00:00"/>
    <s v="Sep"/>
    <n v="2021"/>
    <x v="47"/>
    <s v="Mariscos"/>
    <s v="Carne de cangrejo de Boston"/>
    <n v="44"/>
    <n v="66"/>
    <n v="2904"/>
    <n v="5.0000000745058101E-2"/>
    <n v="348.47999999999996"/>
    <n v="3252.429999999255"/>
  </r>
  <r>
    <d v="2021-09-10T00:00:00"/>
    <s v="Sep"/>
    <n v="2021"/>
    <x v="47"/>
    <s v="Granos y Cereales"/>
    <s v="Fried Mee de hockey de Singapur"/>
    <n v="7"/>
    <n v="91"/>
    <n v="637"/>
    <n v="5.0000000745058101E-2"/>
    <n v="76.44"/>
    <n v="713.389999999255"/>
  </r>
  <r>
    <d v="2021-09-10T00:00:00"/>
    <s v="Sep"/>
    <n v="2021"/>
    <x v="47"/>
    <s v="Productos Alimenticios"/>
    <s v="Manjimup Dry Apples"/>
    <n v="92"/>
    <n v="84"/>
    <n v="7728"/>
    <n v="5.0000000745058101E-2"/>
    <n v="927.36"/>
    <n v="8655.3099999992555"/>
  </r>
  <r>
    <d v="2021-09-10T00:00:00"/>
    <s v="Sep"/>
    <n v="2021"/>
    <x v="46"/>
    <s v="Mariscos"/>
    <s v="Ikura"/>
    <n v="25"/>
    <n v="83"/>
    <n v="2075"/>
    <n v="0.15000000596046401"/>
    <n v="249"/>
    <n v="2323.8499999940395"/>
  </r>
  <r>
    <d v="2021-09-10T00:00:00"/>
    <s v="Sep"/>
    <n v="2021"/>
    <x v="46"/>
    <s v="Granos y Cereales"/>
    <s v="Gnocchi di nonna Alice"/>
    <n v="14"/>
    <n v="80"/>
    <n v="1120"/>
    <n v="0.15000000596046401"/>
    <n v="134.4"/>
    <n v="1254.2499999940396"/>
  </r>
  <r>
    <d v="2021-09-10T00:00:00"/>
    <s v="Sep"/>
    <n v="2021"/>
    <x v="46"/>
    <s v="Condimentos"/>
    <s v="Salsa de pimiento picante de Luisiana"/>
    <n v="81"/>
    <n v="57"/>
    <n v="4617"/>
    <n v="0.15000000596046401"/>
    <n v="554.04"/>
    <n v="5170.8899999940395"/>
  </r>
  <r>
    <d v="2021-09-11T00:00:00"/>
    <s v="Sep"/>
    <n v="2021"/>
    <x v="37"/>
    <s v="Productos Alimenticios"/>
    <s v="Manjimup Dry Apples"/>
    <n v="89"/>
    <n v="69"/>
    <n v="6141"/>
    <n v="0"/>
    <n v="736.92"/>
    <n v="6877.92"/>
  </r>
  <r>
    <d v="2021-09-11T00:00:00"/>
    <s v="Sep"/>
    <n v="2021"/>
    <x v="37"/>
    <s v="Productos Lácteos"/>
    <s v="Raclette Courdavault"/>
    <n v="59"/>
    <n v="23"/>
    <n v="1357"/>
    <n v="0"/>
    <n v="162.84"/>
    <n v="1519.84"/>
  </r>
  <r>
    <d v="2021-09-11T00:00:00"/>
    <s v="Sep"/>
    <n v="2021"/>
    <x v="37"/>
    <s v="Bebidas"/>
    <s v="Lakkalikööri"/>
    <n v="80"/>
    <n v="89"/>
    <n v="7120"/>
    <n v="0"/>
    <n v="854.4"/>
    <n v="7974.4"/>
  </r>
  <r>
    <d v="2021-09-12T00:00:00"/>
    <s v="Sep"/>
    <n v="2021"/>
    <x v="6"/>
    <s v="Carnes y Aves"/>
    <s v="Salchicha asada de Turingia"/>
    <n v="47"/>
    <n v="55"/>
    <n v="2585"/>
    <n v="0"/>
    <n v="310.2"/>
    <n v="2895.2"/>
  </r>
  <r>
    <d v="2021-09-12T00:00:00"/>
    <s v="Sep"/>
    <n v="2021"/>
    <x v="6"/>
    <s v="Condimentos"/>
    <s v="Salsa de pimiento picante de Luisiana"/>
    <n v="66"/>
    <n v="100"/>
    <n v="6600"/>
    <n v="0"/>
    <n v="792"/>
    <n v="7392"/>
  </r>
  <r>
    <d v="2021-09-12T00:00:00"/>
    <s v="Sep"/>
    <n v="2021"/>
    <x v="9"/>
    <s v="Productos Lácteos"/>
    <s v="Gudbrandsdalsost"/>
    <n v="21"/>
    <n v="60"/>
    <n v="1260"/>
    <n v="0.20000000298023199"/>
    <n v="151.19999999999999"/>
    <n v="1410.9999999970198"/>
  </r>
  <r>
    <d v="2021-09-12T00:00:00"/>
    <s v="Sep"/>
    <n v="2021"/>
    <x v="9"/>
    <s v="Productos Lácteos"/>
    <s v="Queso crema"/>
    <n v="24"/>
    <n v="54"/>
    <n v="1296"/>
    <n v="0.20000000298023199"/>
    <n v="155.51999999999998"/>
    <n v="1451.3199999970197"/>
  </r>
  <r>
    <d v="2021-09-15T00:00:00"/>
    <s v="Sep"/>
    <n v="2021"/>
    <x v="35"/>
    <s v="Productos Lácteos"/>
    <s v="Gorgonzola Telino"/>
    <n v="34"/>
    <n v="14"/>
    <n v="476"/>
    <n v="0.10000000149011599"/>
    <n v="57.12"/>
    <n v="533.01999999850989"/>
  </r>
  <r>
    <d v="2021-09-15T00:00:00"/>
    <s v="Sep"/>
    <n v="2021"/>
    <x v="35"/>
    <s v="Carnes y Aves"/>
    <s v="Paté chino"/>
    <n v="43"/>
    <n v="46"/>
    <n v="1978"/>
    <n v="0.10000000149011599"/>
    <n v="237.35999999999999"/>
    <n v="2215.25999999851"/>
  </r>
  <r>
    <d v="2021-09-15T00:00:00"/>
    <s v="Sep"/>
    <n v="2021"/>
    <x v="35"/>
    <s v="Granos y Cereales"/>
    <s v="El buen Semmelknödel de Wimmer"/>
    <n v="46"/>
    <n v="78"/>
    <n v="3588"/>
    <n v="0.10000000149011599"/>
    <n v="430.56"/>
    <n v="4018.4599999985098"/>
  </r>
  <r>
    <d v="2021-09-15T00:00:00"/>
    <s v="Sep"/>
    <n v="2021"/>
    <x v="50"/>
    <s v="Mariscos"/>
    <s v="Arenque en escabeche"/>
    <n v="82"/>
    <n v="96"/>
    <n v="7872"/>
    <n v="0"/>
    <n v="944.64"/>
    <n v="8816.64"/>
  </r>
  <r>
    <d v="2021-09-16T00:00:00"/>
    <s v="Sep"/>
    <n v="2021"/>
    <x v="17"/>
    <s v="Granos y Cereales"/>
    <s v="Pan plano"/>
    <n v="31"/>
    <n v="69"/>
    <n v="2139"/>
    <n v="0"/>
    <n v="256.68"/>
    <n v="2395.6799999999998"/>
  </r>
  <r>
    <d v="2021-09-16T00:00:00"/>
    <s v="Sep"/>
    <n v="2021"/>
    <x v="17"/>
    <s v="Mariscos"/>
    <s v="arenque"/>
    <n v="25"/>
    <n v="78"/>
    <n v="1950"/>
    <n v="0"/>
    <n v="234"/>
    <n v="2184"/>
  </r>
  <r>
    <d v="2021-09-16T00:00:00"/>
    <s v="Sep"/>
    <n v="2021"/>
    <x v="17"/>
    <s v="Bebidas"/>
    <s v="Lager de leñador riendo"/>
    <n v="69"/>
    <n v="40"/>
    <n v="2760"/>
    <n v="0"/>
    <n v="331.2"/>
    <n v="3091.2"/>
  </r>
  <r>
    <d v="2021-09-16T00:00:00"/>
    <s v="Sep"/>
    <n v="2021"/>
    <x v="17"/>
    <s v="Mariscos"/>
    <s v="Caviar rojo"/>
    <n v="42"/>
    <n v="24"/>
    <n v="1008"/>
    <n v="0"/>
    <n v="120.96"/>
    <n v="1128.96"/>
  </r>
  <r>
    <d v="2021-09-16T00:00:00"/>
    <s v="Sep"/>
    <n v="2021"/>
    <x v="17"/>
    <s v="Bebidas"/>
    <s v="Rhönbräu Klosterbier"/>
    <n v="76"/>
    <n v="73"/>
    <n v="5548"/>
    <n v="0"/>
    <n v="665.76"/>
    <n v="6213.76"/>
  </r>
  <r>
    <d v="2021-09-17T00:00:00"/>
    <s v="Sep"/>
    <n v="2021"/>
    <x v="86"/>
    <s v="Dulces"/>
    <s v="Pavlova"/>
    <n v="61"/>
    <n v="78"/>
    <n v="4758"/>
    <n v="0"/>
    <n v="570.95999999999992"/>
    <n v="5328.96"/>
  </r>
  <r>
    <d v="2021-09-17T00:00:00"/>
    <s v="Sep"/>
    <n v="2021"/>
    <x v="86"/>
    <s v="Dulces"/>
    <s v="Tarta de azúcar"/>
    <n v="1"/>
    <n v="79"/>
    <n v="79"/>
    <n v="0"/>
    <n v="9.48"/>
    <n v="88.48"/>
  </r>
  <r>
    <d v="2021-09-17T00:00:00"/>
    <s v="Sep"/>
    <n v="2021"/>
    <x v="86"/>
    <s v="Condimentos"/>
    <s v="Salsa de pimiento picante de Luisiana"/>
    <n v="38"/>
    <n v="11"/>
    <n v="418"/>
    <n v="0"/>
    <n v="50.16"/>
    <n v="468.15999999999997"/>
  </r>
  <r>
    <d v="2021-09-17T00:00:00"/>
    <s v="Sep"/>
    <n v="2021"/>
    <x v="26"/>
    <s v="Bebidas"/>
    <s v="Côte de Blaye"/>
    <n v="62"/>
    <n v="26"/>
    <n v="1612"/>
    <n v="0.10000000149011599"/>
    <n v="193.44"/>
    <n v="1805.3399999985099"/>
  </r>
  <r>
    <d v="2021-09-17T00:00:00"/>
    <s v="Sep"/>
    <n v="2021"/>
    <x v="26"/>
    <s v="Productos Lácteos"/>
    <s v="Queso crema"/>
    <n v="22"/>
    <n v="24"/>
    <n v="528"/>
    <n v="0"/>
    <n v="63.36"/>
    <n v="591.36"/>
  </r>
  <r>
    <d v="2021-09-18T00:00:00"/>
    <s v="Sep"/>
    <n v="2021"/>
    <x v="0"/>
    <s v="Dulces"/>
    <s v="Pavlova"/>
    <n v="64"/>
    <n v="92"/>
    <n v="5888"/>
    <n v="0"/>
    <n v="706.56"/>
    <n v="6594.5599999999995"/>
  </r>
  <r>
    <d v="2021-09-18T00:00:00"/>
    <s v="Sep"/>
    <n v="2021"/>
    <x v="0"/>
    <s v="Granos y Cereales"/>
    <s v="Fried Mee de hockey de Singapur"/>
    <n v="18"/>
    <n v="35"/>
    <n v="630"/>
    <n v="0"/>
    <n v="75.599999999999994"/>
    <n v="705.6"/>
  </r>
  <r>
    <d v="2021-09-18T00:00:00"/>
    <s v="Sep"/>
    <n v="2021"/>
    <x v="0"/>
    <s v="Bebidas"/>
    <s v="Café Ipoh"/>
    <n v="94"/>
    <n v="64"/>
    <n v="6016"/>
    <n v="0"/>
    <n v="721.92"/>
    <n v="6737.92"/>
  </r>
  <r>
    <d v="2021-09-18T00:00:00"/>
    <s v="Sep"/>
    <n v="2021"/>
    <x v="41"/>
    <s v="Granos y Cereales"/>
    <s v="Pan plano"/>
    <n v="48"/>
    <n v="28"/>
    <n v="1344"/>
    <n v="0"/>
    <n v="161.28"/>
    <n v="1505.28"/>
  </r>
  <r>
    <d v="2021-09-19T00:00:00"/>
    <s v="Sep"/>
    <n v="2021"/>
    <x v="17"/>
    <s v="Productos Alimenticios"/>
    <s v="tofu"/>
    <n v="55"/>
    <n v="27"/>
    <n v="1485"/>
    <n v="0"/>
    <n v="178.2"/>
    <n v="1663.2"/>
  </r>
  <r>
    <d v="2021-09-19T00:00:00"/>
    <s v="Sep"/>
    <n v="2021"/>
    <x v="17"/>
    <s v="Carnes y Aves"/>
    <s v="Empanadas de Perth"/>
    <n v="58"/>
    <n v="94"/>
    <n v="5452"/>
    <n v="0"/>
    <n v="654.24"/>
    <n v="6106.24"/>
  </r>
  <r>
    <d v="2021-09-19T00:00:00"/>
    <s v="Sep"/>
    <n v="2021"/>
    <x v="17"/>
    <s v="Mariscos"/>
    <s v="Escorts borgoña"/>
    <n v="41"/>
    <n v="38"/>
    <n v="1558"/>
    <n v="0"/>
    <n v="186.95999999999998"/>
    <n v="1744.96"/>
  </r>
  <r>
    <d v="2021-09-22T00:00:00"/>
    <s v="Sep"/>
    <n v="2021"/>
    <x v="24"/>
    <s v="Mariscos"/>
    <s v="Ikura"/>
    <n v="95"/>
    <n v="58"/>
    <n v="5510"/>
    <n v="0"/>
    <n v="661.19999999999993"/>
    <n v="6171.2"/>
  </r>
  <r>
    <d v="2021-09-22T00:00:00"/>
    <s v="Sep"/>
    <n v="2021"/>
    <x v="24"/>
    <s v="Dulces"/>
    <s v="Galletas de chocolate a la hora del té"/>
    <n v="68"/>
    <n v="98"/>
    <n v="6664"/>
    <n v="0"/>
    <n v="799.68"/>
    <n v="7463.68"/>
  </r>
  <r>
    <d v="2021-09-22T00:00:00"/>
    <s v="Sep"/>
    <n v="2021"/>
    <x v="24"/>
    <s v="Condimentos"/>
    <s v="Gula Malacca"/>
    <n v="5"/>
    <n v="48"/>
    <n v="240"/>
    <n v="0"/>
    <n v="28.799999999999997"/>
    <n v="268.8"/>
  </r>
  <r>
    <d v="2021-09-22T00:00:00"/>
    <s v="Sep"/>
    <n v="2021"/>
    <x v="58"/>
    <s v="Dulces"/>
    <s v="Gummär Gummibärchen"/>
    <n v="86"/>
    <n v="86"/>
    <n v="7396"/>
    <n v="0.15000000596046401"/>
    <n v="887.52"/>
    <n v="8283.36999999404"/>
  </r>
  <r>
    <d v="2021-09-22T00:00:00"/>
    <s v="Sep"/>
    <n v="2021"/>
    <x v="58"/>
    <s v="Productos Lácteos"/>
    <s v="Queso de cabra"/>
    <n v="54"/>
    <n v="91"/>
    <n v="4914"/>
    <n v="0.15000000596046401"/>
    <n v="589.67999999999995"/>
    <n v="5503.5299999940398"/>
  </r>
  <r>
    <d v="2021-09-23T00:00:00"/>
    <s v="Sep"/>
    <n v="2021"/>
    <x v="44"/>
    <s v="Productos Lácteos"/>
    <s v="Queso Manchego La Pastora"/>
    <n v="48"/>
    <n v="18"/>
    <n v="864"/>
    <n v="0"/>
    <n v="103.67999999999999"/>
    <n v="967.68"/>
  </r>
  <r>
    <d v="2021-09-23T00:00:00"/>
    <s v="Sep"/>
    <n v="2021"/>
    <x v="44"/>
    <s v="Productos Lácteos"/>
    <s v="Queso de cabra"/>
    <n v="33"/>
    <n v="32"/>
    <n v="1056"/>
    <n v="0"/>
    <n v="126.72"/>
    <n v="1182.72"/>
  </r>
  <r>
    <d v="2021-09-23T00:00:00"/>
    <s v="Sep"/>
    <n v="2021"/>
    <x v="44"/>
    <s v="Mariscos"/>
    <s v="Sopa de almejas de Nueva Inglaterra de Jack"/>
    <n v="78"/>
    <n v="63"/>
    <n v="4914"/>
    <n v="0"/>
    <n v="589.67999999999995"/>
    <n v="5503.68"/>
  </r>
  <r>
    <d v="2021-09-23T00:00:00"/>
    <s v="Sep"/>
    <n v="2021"/>
    <x v="44"/>
    <s v="Carnes y Aves"/>
    <s v="Tourtière"/>
    <n v="76"/>
    <n v="78"/>
    <n v="5928"/>
    <n v="0"/>
    <n v="711.36"/>
    <n v="6639.36"/>
  </r>
  <r>
    <d v="2021-09-23T00:00:00"/>
    <s v="Sep"/>
    <n v="2021"/>
    <x v="15"/>
    <s v="Productos Lácteos"/>
    <s v="Raclette Courdavault"/>
    <n v="99"/>
    <n v="12"/>
    <n v="1188"/>
    <n v="0"/>
    <n v="142.56"/>
    <n v="1330.56"/>
  </r>
  <r>
    <d v="2021-09-24T00:00:00"/>
    <s v="Sep"/>
    <n v="2021"/>
    <x v="11"/>
    <s v="Dulces"/>
    <s v="Pavlova"/>
    <n v="55"/>
    <n v="37"/>
    <n v="2035"/>
    <n v="0.25"/>
    <n v="244.2"/>
    <n v="2278.9499999999998"/>
  </r>
  <r>
    <d v="2021-09-24T00:00:00"/>
    <s v="Sep"/>
    <n v="2021"/>
    <x v="11"/>
    <s v="Productos Lácteos"/>
    <s v="Gorgonzola Telino"/>
    <n v="33"/>
    <n v="57"/>
    <n v="1881"/>
    <n v="0.25"/>
    <n v="225.72"/>
    <n v="2106.4699999999998"/>
  </r>
  <r>
    <d v="2021-09-24T00:00:00"/>
    <s v="Sep"/>
    <n v="2021"/>
    <x v="11"/>
    <s v="Granos y Cereales"/>
    <s v="Fried Mee de hockey de Singapur"/>
    <n v="17"/>
    <n v="63"/>
    <n v="1071"/>
    <n v="0.25"/>
    <n v="128.51999999999998"/>
    <n v="1199.27"/>
  </r>
  <r>
    <d v="2021-09-25T00:00:00"/>
    <s v="Sep"/>
    <n v="2021"/>
    <x v="80"/>
    <s v="Dulces"/>
    <s v="Galletas de chocolate a la hora del té"/>
    <n v="5"/>
    <n v="37"/>
    <n v="185"/>
    <n v="0.10000000149011599"/>
    <n v="22.2"/>
    <n v="207.09999999850987"/>
  </r>
  <r>
    <d v="2021-09-25T00:00:00"/>
    <s v="Sep"/>
    <n v="2021"/>
    <x v="80"/>
    <s v="Dulces"/>
    <s v="Scones de Sir Rodney"/>
    <n v="27"/>
    <n v="96"/>
    <n v="2592"/>
    <n v="0.10000000149011599"/>
    <n v="311.03999999999996"/>
    <n v="2902.9399999985098"/>
  </r>
  <r>
    <d v="2021-09-25T00:00:00"/>
    <s v="Sep"/>
    <n v="2021"/>
    <x v="80"/>
    <s v="Granos y Cereales"/>
    <s v="El buen Semmelknödel de Wimmer"/>
    <n v="35"/>
    <n v="18"/>
    <n v="630"/>
    <n v="0"/>
    <n v="75.599999999999994"/>
    <n v="705.6"/>
  </r>
  <r>
    <d v="2021-09-25T00:00:00"/>
    <s v="Sep"/>
    <n v="2021"/>
    <x v="58"/>
    <s v="Productos Lácteos"/>
    <s v="Queso de cabra"/>
    <n v="6"/>
    <n v="44"/>
    <n v="264"/>
    <n v="0"/>
    <n v="31.68"/>
    <n v="295.68"/>
  </r>
  <r>
    <d v="2021-09-25T00:00:00"/>
    <s v="Sep"/>
    <n v="2021"/>
    <x v="58"/>
    <s v="Condimentos"/>
    <s v="Okra picante de Louisiana"/>
    <n v="72"/>
    <n v="76"/>
    <n v="5472"/>
    <n v="0"/>
    <n v="656.64"/>
    <n v="6128.64"/>
  </r>
  <r>
    <d v="2021-09-25T00:00:00"/>
    <s v="Sep"/>
    <n v="2021"/>
    <x v="58"/>
    <s v="Bebidas"/>
    <s v="Rhönbräu Klosterbier"/>
    <n v="97"/>
    <n v="23"/>
    <n v="2231"/>
    <n v="0"/>
    <n v="267.71999999999997"/>
    <n v="2498.7199999999998"/>
  </r>
  <r>
    <d v="2021-09-26T00:00:00"/>
    <s v="Sep"/>
    <n v="2021"/>
    <x v="40"/>
    <s v="Granos y Cereales"/>
    <s v="Filo Mix"/>
    <n v="10"/>
    <n v="53"/>
    <n v="530"/>
    <n v="0"/>
    <n v="63.599999999999994"/>
    <n v="593.6"/>
  </r>
  <r>
    <d v="2021-09-26T00:00:00"/>
    <s v="Sep"/>
    <n v="2021"/>
    <x v="67"/>
    <s v="Mariscos"/>
    <s v="Carne de cangrejo de Boston"/>
    <n v="98"/>
    <n v="70"/>
    <n v="6860"/>
    <n v="0"/>
    <n v="823.19999999999993"/>
    <n v="7683.2"/>
  </r>
  <r>
    <d v="2021-09-26T00:00:00"/>
    <s v="Sep"/>
    <n v="2021"/>
    <x v="67"/>
    <s v="Dulces"/>
    <s v="Tortas Zaanse"/>
    <n v="92"/>
    <n v="64"/>
    <n v="5888"/>
    <n v="0"/>
    <n v="706.56"/>
    <n v="6594.5599999999995"/>
  </r>
  <r>
    <d v="2021-09-26T00:00:00"/>
    <s v="Sep"/>
    <n v="2021"/>
    <x v="67"/>
    <s v="Productos Lácteos"/>
    <s v="Pierrot camembert"/>
    <n v="59"/>
    <n v="72"/>
    <n v="4248"/>
    <n v="0"/>
    <n v="509.76"/>
    <n v="4757.76"/>
  </r>
  <r>
    <d v="2021-09-29T00:00:00"/>
    <s v="Sep"/>
    <n v="2021"/>
    <x v="71"/>
    <s v="Mariscos"/>
    <s v="Ikura"/>
    <n v="95"/>
    <n v="94"/>
    <n v="8930"/>
    <n v="0"/>
    <n v="1071.5999999999999"/>
    <n v="10001.6"/>
  </r>
  <r>
    <d v="2021-09-29T00:00:00"/>
    <s v="Sep"/>
    <n v="2021"/>
    <x v="71"/>
    <s v="Mariscos"/>
    <s v="Sopa de almejas de Nueva Inglaterra de Jack"/>
    <n v="9"/>
    <n v="47"/>
    <n v="423"/>
    <n v="0"/>
    <n v="50.76"/>
    <n v="473.76"/>
  </r>
  <r>
    <d v="2021-09-29T00:00:00"/>
    <s v="Sep"/>
    <n v="2021"/>
    <x v="71"/>
    <s v="Dulces"/>
    <s v="Tortas Zaanse"/>
    <n v="66"/>
    <n v="67"/>
    <n v="4422"/>
    <n v="0"/>
    <n v="530.64"/>
    <n v="4952.6400000000003"/>
  </r>
  <r>
    <d v="2021-09-30T00:00:00"/>
    <s v="Sep"/>
    <n v="2021"/>
    <x v="53"/>
    <s v="Carnes y Aves"/>
    <s v="Alice Cordero"/>
    <n v="16"/>
    <n v="64"/>
    <n v="1024"/>
    <n v="0.20000000298023199"/>
    <n v="122.88"/>
    <n v="1146.6799999970199"/>
  </r>
  <r>
    <d v="2021-09-30T00:00:00"/>
    <s v="Sep"/>
    <n v="2021"/>
    <x v="53"/>
    <s v="Dulces"/>
    <s v="Gummär Gummibärchen"/>
    <n v="5"/>
    <n v="21"/>
    <n v="105"/>
    <n v="0"/>
    <n v="12.6"/>
    <n v="117.6"/>
  </r>
  <r>
    <d v="2021-09-30T00:00:00"/>
    <s v="Sep"/>
    <n v="2021"/>
    <x v="34"/>
    <s v="Carnes y Aves"/>
    <s v="Mishi Kobe Niku"/>
    <n v="59"/>
    <n v="69"/>
    <n v="4071"/>
    <n v="0.25"/>
    <n v="488.52"/>
    <n v="4559.2700000000004"/>
  </r>
  <r>
    <d v="2021-09-30T00:00:00"/>
    <s v="Sep"/>
    <n v="2021"/>
    <x v="34"/>
    <s v="Carnes y Aves"/>
    <s v="Salchicha asada de Turingia"/>
    <n v="40"/>
    <n v="24"/>
    <n v="960"/>
    <n v="0"/>
    <n v="115.19999999999999"/>
    <n v="1075.2"/>
  </r>
  <r>
    <d v="2021-09-30T00:00:00"/>
    <s v="Sep"/>
    <n v="2021"/>
    <x v="34"/>
    <s v="Mariscos"/>
    <s v="Arenque en escabeche"/>
    <n v="19"/>
    <n v="14"/>
    <n v="266"/>
    <n v="0.25"/>
    <n v="31.919999999999998"/>
    <n v="297.67"/>
  </r>
  <r>
    <d v="2021-10-01T00:00:00"/>
    <s v="Oct"/>
    <n v="2021"/>
    <x v="60"/>
    <s v="Mariscos"/>
    <s v="Ikura"/>
    <n v="48"/>
    <n v="68"/>
    <n v="3264"/>
    <n v="0.10000000149011599"/>
    <n v="391.68"/>
    <n v="3655.5799999985097"/>
  </r>
  <r>
    <d v="2021-10-01T00:00:00"/>
    <s v="Oct"/>
    <n v="2021"/>
    <x v="60"/>
    <s v="Productos Alimenticios"/>
    <s v="Chucrut Rössle"/>
    <n v="77"/>
    <n v="33"/>
    <n v="2541"/>
    <n v="0.10000000149011599"/>
    <n v="304.92"/>
    <n v="2845.81999999851"/>
  </r>
  <r>
    <d v="2021-10-01T00:00:00"/>
    <s v="Oct"/>
    <n v="2021"/>
    <x v="60"/>
    <s v="Bebidas"/>
    <s v="Sasquatch Ale"/>
    <n v="11"/>
    <n v="95"/>
    <n v="1045"/>
    <n v="0"/>
    <n v="125.39999999999999"/>
    <n v="1170.4000000000001"/>
  </r>
  <r>
    <d v="2021-10-01T00:00:00"/>
    <s v="Oct"/>
    <n v="2021"/>
    <x v="26"/>
    <s v="Bebidas"/>
    <s v="Chai"/>
    <n v="67"/>
    <n v="13"/>
    <n v="871"/>
    <n v="0.25"/>
    <n v="104.52"/>
    <n v="975.27"/>
  </r>
  <r>
    <d v="2021-10-02T00:00:00"/>
    <s v="Oct"/>
    <n v="2021"/>
    <x v="2"/>
    <s v="Granos y Cereales"/>
    <s v="Gnocchi di nonna Alice"/>
    <n v="5"/>
    <n v="39"/>
    <n v="195"/>
    <n v="0.25"/>
    <n v="23.4"/>
    <n v="218.15"/>
  </r>
  <r>
    <d v="2021-10-02T00:00:00"/>
    <s v="Oct"/>
    <n v="2021"/>
    <x v="2"/>
    <s v="Condimentos"/>
    <s v="Salsa verde original de Frankfurt"/>
    <n v="11"/>
    <n v="75"/>
    <n v="825"/>
    <n v="0.25"/>
    <n v="99"/>
    <n v="923.75"/>
  </r>
  <r>
    <d v="2021-10-03T00:00:00"/>
    <s v="Oct"/>
    <n v="2021"/>
    <x v="21"/>
    <s v="Bebidas"/>
    <s v="Chai"/>
    <n v="27"/>
    <n v="22"/>
    <n v="594"/>
    <n v="0"/>
    <n v="71.28"/>
    <n v="665.28"/>
  </r>
  <r>
    <d v="2021-10-03T00:00:00"/>
    <s v="Oct"/>
    <n v="2021"/>
    <x v="21"/>
    <s v="Carnes y Aves"/>
    <s v="Salchicha asada de Turingia"/>
    <n v="72"/>
    <n v="65"/>
    <n v="4680"/>
    <n v="0"/>
    <n v="561.6"/>
    <n v="5241.6000000000004"/>
  </r>
  <r>
    <d v="2021-10-03T00:00:00"/>
    <s v="Oct"/>
    <n v="2021"/>
    <x v="21"/>
    <s v="Bebidas"/>
    <s v="Café Ipoh"/>
    <n v="54"/>
    <n v="22"/>
    <n v="1188"/>
    <n v="0"/>
    <n v="142.56"/>
    <n v="1330.56"/>
  </r>
  <r>
    <d v="2021-10-03T00:00:00"/>
    <s v="Oct"/>
    <n v="2021"/>
    <x v="21"/>
    <s v="Condimentos"/>
    <s v="Gula Malacca"/>
    <n v="90"/>
    <n v="10"/>
    <n v="900"/>
    <n v="0"/>
    <n v="108"/>
    <n v="1008"/>
  </r>
  <r>
    <d v="2021-10-03T00:00:00"/>
    <s v="Oct"/>
    <n v="2021"/>
    <x v="21"/>
    <s v="Dulces"/>
    <s v="Tarta de azúcar"/>
    <n v="24"/>
    <n v="88"/>
    <n v="2112"/>
    <n v="0"/>
    <n v="253.44"/>
    <n v="2365.44"/>
  </r>
  <r>
    <d v="2021-10-03T00:00:00"/>
    <s v="Oct"/>
    <n v="2021"/>
    <x v="85"/>
    <s v="Condimentos"/>
    <s v="Crema de verduras"/>
    <n v="27"/>
    <n v="54"/>
    <n v="1458"/>
    <n v="0"/>
    <n v="174.95999999999998"/>
    <n v="1632.96"/>
  </r>
  <r>
    <d v="2021-10-06T00:00:00"/>
    <s v="Oct"/>
    <n v="2021"/>
    <x v="19"/>
    <s v="Carnes y Aves"/>
    <s v="Mishi Kobe Niku"/>
    <n v="46"/>
    <n v="31"/>
    <n v="1426"/>
    <n v="0"/>
    <n v="171.12"/>
    <n v="1597.12"/>
  </r>
  <r>
    <d v="2021-10-06T00:00:00"/>
    <s v="Oct"/>
    <n v="2021"/>
    <x v="19"/>
    <s v="Carnes y Aves"/>
    <s v="Tourtière"/>
    <n v="52"/>
    <n v="47"/>
    <n v="2444"/>
    <n v="0.15000000596046401"/>
    <n v="293.27999999999997"/>
    <n v="2737.1299999940393"/>
  </r>
  <r>
    <d v="2021-10-06T00:00:00"/>
    <s v="Oct"/>
    <n v="2021"/>
    <x v="19"/>
    <s v="Productos Lácteos"/>
    <s v="Gudbrandsdalsost"/>
    <n v="88"/>
    <n v="85"/>
    <n v="7480"/>
    <n v="0.15000000596046401"/>
    <n v="897.6"/>
    <n v="8377.4499999940399"/>
  </r>
  <r>
    <d v="2021-10-06T00:00:00"/>
    <s v="Oct"/>
    <n v="2021"/>
    <x v="19"/>
    <s v="Mariscos"/>
    <s v="Caviar rojo"/>
    <n v="75"/>
    <n v="70"/>
    <n v="5250"/>
    <n v="0.15000000596046401"/>
    <n v="630"/>
    <n v="5879.8499999940395"/>
  </r>
  <r>
    <d v="2021-10-06T00:00:00"/>
    <s v="Oct"/>
    <n v="2021"/>
    <x v="21"/>
    <s v="Productos Alimenticios"/>
    <s v="Peras secas orgánicas del tío Bob"/>
    <n v="23"/>
    <n v="60"/>
    <n v="1380"/>
    <n v="0"/>
    <n v="165.6"/>
    <n v="1545.6"/>
  </r>
  <r>
    <d v="2021-10-06T00:00:00"/>
    <s v="Oct"/>
    <n v="2021"/>
    <x v="21"/>
    <s v="Productos Lácteos"/>
    <s v="Raclette Courdavault"/>
    <n v="70"/>
    <n v="47"/>
    <n v="3290"/>
    <n v="0"/>
    <n v="394.8"/>
    <n v="3684.8"/>
  </r>
  <r>
    <d v="2021-10-06T00:00:00"/>
    <s v="Oct"/>
    <n v="2021"/>
    <x v="21"/>
    <s v="Bebidas"/>
    <s v="Outback Lager"/>
    <n v="5"/>
    <n v="78"/>
    <n v="390"/>
    <n v="0"/>
    <n v="46.8"/>
    <n v="436.8"/>
  </r>
  <r>
    <d v="2021-10-07T00:00:00"/>
    <s v="Oct"/>
    <n v="2021"/>
    <x v="0"/>
    <s v="Condimentos"/>
    <s v="Salsa de arándanos Northwoods"/>
    <n v="54"/>
    <n v="87"/>
    <n v="4698"/>
    <n v="0"/>
    <n v="563.76"/>
    <n v="5261.76"/>
  </r>
  <r>
    <d v="2021-10-07T00:00:00"/>
    <s v="Oct"/>
    <n v="2021"/>
    <x v="0"/>
    <s v="Productos Lácteos"/>
    <s v="Queso Manchego La Pastora"/>
    <n v="46"/>
    <n v="59"/>
    <n v="2714"/>
    <n v="0"/>
    <n v="325.68"/>
    <n v="3039.68"/>
  </r>
  <r>
    <d v="2021-10-07T00:00:00"/>
    <s v="Oct"/>
    <n v="2021"/>
    <x v="0"/>
    <s v="Bebidas"/>
    <s v="Guaraná Fantástica"/>
    <n v="48"/>
    <n v="13"/>
    <n v="624"/>
    <n v="0"/>
    <n v="74.88"/>
    <n v="698.88"/>
  </r>
  <r>
    <d v="2021-10-08T00:00:00"/>
    <s v="Oct"/>
    <n v="2021"/>
    <x v="19"/>
    <s v="Carnes y Aves"/>
    <s v="Alice Cordero"/>
    <n v="56"/>
    <n v="88"/>
    <n v="4928"/>
    <n v="0"/>
    <n v="591.36"/>
    <n v="5519.36"/>
  </r>
  <r>
    <d v="2021-10-08T00:00:00"/>
    <s v="Oct"/>
    <n v="2021"/>
    <x v="19"/>
    <s v="Mariscos"/>
    <s v="arenque"/>
    <n v="64"/>
    <n v="60"/>
    <n v="3840"/>
    <n v="0"/>
    <n v="460.79999999999995"/>
    <n v="4300.8"/>
  </r>
  <r>
    <d v="2021-10-08T00:00:00"/>
    <s v="Oct"/>
    <n v="2021"/>
    <x v="66"/>
    <s v="Dulces"/>
    <s v="Galletas de chocolate a la hora del té"/>
    <n v="58"/>
    <n v="49"/>
    <n v="2842"/>
    <n v="0.25"/>
    <n v="341.03999999999996"/>
    <n v="3182.79"/>
  </r>
  <r>
    <d v="2021-10-08T00:00:00"/>
    <s v="Oct"/>
    <n v="2021"/>
    <x v="66"/>
    <s v="Bebidas"/>
    <s v="Steeleye Stout"/>
    <n v="89"/>
    <n v="94"/>
    <n v="8366"/>
    <n v="0.25"/>
    <n v="1003.92"/>
    <n v="9369.67"/>
  </r>
  <r>
    <d v="2021-10-08T00:00:00"/>
    <s v="Oct"/>
    <n v="2021"/>
    <x v="66"/>
    <s v="Mariscos"/>
    <s v="Escorts borgoña"/>
    <n v="78"/>
    <n v="12"/>
    <n v="936"/>
    <n v="0.25"/>
    <n v="112.32"/>
    <n v="1048.07"/>
  </r>
  <r>
    <d v="2021-10-08T00:00:00"/>
    <s v="Oct"/>
    <n v="2021"/>
    <x v="66"/>
    <s v="Bebidas"/>
    <s v="Outback Lager"/>
    <n v="25"/>
    <n v="98"/>
    <n v="2450"/>
    <n v="0.25"/>
    <n v="294"/>
    <n v="2743.75"/>
  </r>
  <r>
    <d v="2021-10-09T00:00:00"/>
    <s v="Oct"/>
    <n v="2021"/>
    <x v="9"/>
    <s v="Productos Lácteos"/>
    <s v="Queso Cabrales"/>
    <n v="81"/>
    <n v="84"/>
    <n v="6804"/>
    <n v="0"/>
    <n v="816.48"/>
    <n v="7620.48"/>
  </r>
  <r>
    <d v="2021-10-09T00:00:00"/>
    <s v="Oct"/>
    <n v="2021"/>
    <x v="9"/>
    <s v="Carnes y Aves"/>
    <s v="Alice Cordero"/>
    <n v="39"/>
    <n v="17"/>
    <n v="663"/>
    <n v="5.0000000745058101E-2"/>
    <n v="79.56"/>
    <n v="742.50999999925489"/>
  </r>
  <r>
    <d v="2021-10-09T00:00:00"/>
    <s v="Oct"/>
    <n v="2021"/>
    <x v="9"/>
    <s v="Carnes y Aves"/>
    <s v="Salchicha asada de Turingia"/>
    <n v="89"/>
    <n v="64"/>
    <n v="5696"/>
    <n v="5.0000000745058101E-2"/>
    <n v="683.52"/>
    <n v="6379.4699999992554"/>
  </r>
  <r>
    <d v="2021-10-09T00:00:00"/>
    <s v="Oct"/>
    <n v="2021"/>
    <x v="9"/>
    <s v="Condimentos"/>
    <s v="Salsa de pimiento picante de Luisiana"/>
    <n v="30"/>
    <n v="54"/>
    <n v="1620"/>
    <n v="5.0000000745058101E-2"/>
    <n v="194.4"/>
    <n v="1814.349999999255"/>
  </r>
  <r>
    <d v="2021-10-09T00:00:00"/>
    <s v="Oct"/>
    <n v="2021"/>
    <x v="9"/>
    <s v="Bebidas"/>
    <s v="Outback Lager"/>
    <n v="9"/>
    <n v="88"/>
    <n v="792"/>
    <n v="5.0000000745058101E-2"/>
    <n v="95.039999999999992"/>
    <n v="886.98999999925491"/>
  </r>
  <r>
    <d v="2021-10-09T00:00:00"/>
    <s v="Oct"/>
    <n v="2021"/>
    <x v="25"/>
    <s v="Dulces"/>
    <s v="Tortas Zaanse"/>
    <n v="70"/>
    <n v="17"/>
    <n v="1190"/>
    <n v="0"/>
    <n v="142.79999999999998"/>
    <n v="1332.8"/>
  </r>
  <r>
    <d v="2021-10-10T00:00:00"/>
    <s v="Oct"/>
    <n v="2021"/>
    <x v="44"/>
    <s v="Bebidas"/>
    <s v="Chai"/>
    <n v="49"/>
    <n v="52"/>
    <n v="2548"/>
    <n v="0.20000000298023199"/>
    <n v="305.76"/>
    <n v="2853.55999999702"/>
  </r>
  <r>
    <d v="2021-10-10T00:00:00"/>
    <s v="Oct"/>
    <n v="2021"/>
    <x v="44"/>
    <s v="Bebidas"/>
    <s v="Sasquatch Ale"/>
    <n v="68"/>
    <n v="21"/>
    <n v="1428"/>
    <n v="0.20000000298023199"/>
    <n v="171.35999999999999"/>
    <n v="1599.1599999970197"/>
  </r>
  <r>
    <d v="2021-10-10T00:00:00"/>
    <s v="Oct"/>
    <n v="2021"/>
    <x v="44"/>
    <s v="Dulces"/>
    <s v="Pan largo escocés"/>
    <n v="100"/>
    <n v="74"/>
    <n v="7400"/>
    <n v="0.20000000298023199"/>
    <n v="888"/>
    <n v="8287.7999999970198"/>
  </r>
  <r>
    <d v="2021-10-10T00:00:00"/>
    <s v="Oct"/>
    <n v="2021"/>
    <x v="44"/>
    <s v="Productos Lácteos"/>
    <s v="Queso crema"/>
    <n v="5"/>
    <n v="26"/>
    <n v="130"/>
    <n v="0.20000000298023199"/>
    <n v="15.6"/>
    <n v="145.39999999701976"/>
  </r>
  <r>
    <d v="2021-10-13T00:00:00"/>
    <s v="Oct"/>
    <n v="2021"/>
    <x v="34"/>
    <s v="Productos Lácteos"/>
    <s v="Raclette Courdavault"/>
    <n v="27"/>
    <n v="37"/>
    <n v="999"/>
    <n v="0.15000000596046401"/>
    <n v="119.88"/>
    <n v="1118.7299999940396"/>
  </r>
  <r>
    <d v="2021-10-13T00:00:00"/>
    <s v="Oct"/>
    <n v="2021"/>
    <x v="34"/>
    <s v="Productos Lácteos"/>
    <s v="Queso crema"/>
    <n v="19"/>
    <n v="74"/>
    <n v="1406"/>
    <n v="0.15000000596046401"/>
    <n v="168.72"/>
    <n v="1574.5699999940396"/>
  </r>
  <r>
    <d v="2021-10-13T00:00:00"/>
    <s v="Oct"/>
    <n v="2021"/>
    <x v="34"/>
    <s v="Bebidas"/>
    <s v="Lakkalikööri"/>
    <n v="37"/>
    <n v="29"/>
    <n v="1073"/>
    <n v="0.15000000596046401"/>
    <n v="128.76"/>
    <n v="1201.6099999940395"/>
  </r>
  <r>
    <d v="2021-10-13T00:00:00"/>
    <s v="Oct"/>
    <n v="2021"/>
    <x v="85"/>
    <s v="Condimentos"/>
    <s v="Jarabe de anís"/>
    <n v="59"/>
    <n v="19"/>
    <n v="1121"/>
    <n v="0"/>
    <n v="134.51999999999998"/>
    <n v="1255.52"/>
  </r>
  <r>
    <d v="2021-10-13T00:00:00"/>
    <s v="Oct"/>
    <n v="2021"/>
    <x v="85"/>
    <s v="Bebidas"/>
    <s v="Lakkalikööri"/>
    <n v="7"/>
    <n v="74"/>
    <n v="518"/>
    <n v="0"/>
    <n v="62.16"/>
    <n v="580.16"/>
  </r>
  <r>
    <d v="2021-10-14T00:00:00"/>
    <s v="Oct"/>
    <n v="2021"/>
    <x v="14"/>
    <s v="Bebidas"/>
    <s v="Chang"/>
    <n v="45"/>
    <n v="83"/>
    <n v="3735"/>
    <n v="0"/>
    <n v="448.2"/>
    <n v="4183.2"/>
  </r>
  <r>
    <d v="2021-10-14T00:00:00"/>
    <s v="Oct"/>
    <n v="2021"/>
    <x v="14"/>
    <s v="Productos Lácteos"/>
    <s v="Raclette Courdavault"/>
    <n v="99"/>
    <n v="44"/>
    <n v="4356"/>
    <n v="0"/>
    <n v="522.72"/>
    <n v="4878.72"/>
  </r>
  <r>
    <d v="2021-10-14T00:00:00"/>
    <s v="Oct"/>
    <n v="2021"/>
    <x v="14"/>
    <s v="Mariscos"/>
    <s v="Caviar rojo"/>
    <n v="76"/>
    <n v="51"/>
    <n v="3876"/>
    <n v="0"/>
    <n v="465.12"/>
    <n v="4341.12"/>
  </r>
  <r>
    <d v="2021-10-14T00:00:00"/>
    <s v="Oct"/>
    <n v="2021"/>
    <x v="61"/>
    <s v="Condimentos"/>
    <s v="Condimento Cajún del Chef Anton"/>
    <n v="95"/>
    <n v="84"/>
    <n v="7980"/>
    <n v="0"/>
    <n v="957.59999999999991"/>
    <n v="8937.6"/>
  </r>
  <r>
    <d v="2021-10-14T00:00:00"/>
    <s v="Oct"/>
    <n v="2021"/>
    <x v="61"/>
    <s v="Bebidas"/>
    <s v="Guaraná Fantástica"/>
    <n v="96"/>
    <n v="90"/>
    <n v="8640"/>
    <n v="0"/>
    <n v="1036.8"/>
    <n v="9676.7999999999993"/>
  </r>
  <r>
    <d v="2021-10-14T00:00:00"/>
    <s v="Oct"/>
    <n v="2021"/>
    <x v="61"/>
    <s v="Dulces"/>
    <s v="Chocolate"/>
    <n v="62"/>
    <n v="21"/>
    <n v="1302"/>
    <n v="0"/>
    <n v="156.23999999999998"/>
    <n v="1458.24"/>
  </r>
  <r>
    <d v="2021-10-15T00:00:00"/>
    <s v="Oct"/>
    <n v="2021"/>
    <x v="8"/>
    <s v="Productos Lácteos"/>
    <s v="Gorgonzola Telino"/>
    <n v="34"/>
    <n v="42"/>
    <n v="1428"/>
    <n v="0"/>
    <n v="171.35999999999999"/>
    <n v="1599.36"/>
  </r>
  <r>
    <d v="2021-10-15T00:00:00"/>
    <s v="Oct"/>
    <n v="2021"/>
    <x v="8"/>
    <s v="Productos Lácteos"/>
    <s v="Mascarpone Fabioli"/>
    <n v="87"/>
    <n v="65"/>
    <n v="5655"/>
    <n v="0"/>
    <n v="678.6"/>
    <n v="6333.6"/>
  </r>
  <r>
    <d v="2021-10-16T00:00:00"/>
    <s v="Oct"/>
    <n v="2021"/>
    <x v="11"/>
    <s v="Dulces"/>
    <s v="Pavlova"/>
    <n v="57"/>
    <n v="54"/>
    <n v="3078"/>
    <n v="0"/>
    <n v="369.36"/>
    <n v="3447.36"/>
  </r>
  <r>
    <d v="2021-10-16T00:00:00"/>
    <s v="Oct"/>
    <n v="2021"/>
    <x v="11"/>
    <s v="Bebidas"/>
    <s v="Café Ipoh"/>
    <n v="40"/>
    <n v="16"/>
    <n v="640"/>
    <n v="0"/>
    <n v="76.8"/>
    <n v="716.8"/>
  </r>
  <r>
    <d v="2021-10-16T00:00:00"/>
    <s v="Oct"/>
    <n v="2021"/>
    <x v="11"/>
    <s v="Productos Lácteos"/>
    <s v="Raclette Courdavault"/>
    <n v="5"/>
    <n v="95"/>
    <n v="475"/>
    <n v="0"/>
    <n v="57"/>
    <n v="532"/>
  </r>
  <r>
    <d v="2021-10-16T00:00:00"/>
    <s v="Oct"/>
    <n v="2021"/>
    <x v="54"/>
    <s v="Carnes y Aves"/>
    <s v="Paté chino"/>
    <n v="72"/>
    <n v="14"/>
    <n v="1008"/>
    <n v="0"/>
    <n v="120.96"/>
    <n v="1128.96"/>
  </r>
  <r>
    <d v="2021-10-16T00:00:00"/>
    <s v="Oct"/>
    <n v="2021"/>
    <x v="54"/>
    <s v="Granos y Cereales"/>
    <s v="Ravioli Angelo"/>
    <n v="37"/>
    <n v="82"/>
    <n v="3034"/>
    <n v="0"/>
    <n v="364.08"/>
    <n v="3398.08"/>
  </r>
  <r>
    <d v="2021-10-16T00:00:00"/>
    <s v="Oct"/>
    <n v="2021"/>
    <x v="54"/>
    <s v="Bebidas"/>
    <s v="Outback Lager"/>
    <n v="8"/>
    <n v="89"/>
    <n v="712"/>
    <n v="0.15000000596046401"/>
    <n v="85.44"/>
    <n v="797.28999999403959"/>
  </r>
  <r>
    <d v="2021-10-17T00:00:00"/>
    <s v="Oct"/>
    <n v="2021"/>
    <x v="39"/>
    <s v="Condimentos"/>
    <s v="Mezcla de Gumbo del Chef Anton"/>
    <n v="2"/>
    <n v="36"/>
    <n v="72"/>
    <n v="0"/>
    <n v="8.64"/>
    <n v="80.64"/>
  </r>
  <r>
    <d v="2021-10-17T00:00:00"/>
    <s v="Oct"/>
    <n v="2021"/>
    <x v="39"/>
    <s v="Mariscos"/>
    <s v="Arenque en escabeche"/>
    <n v="72"/>
    <n v="72"/>
    <n v="5184"/>
    <n v="0"/>
    <n v="622.07999999999993"/>
    <n v="5806.08"/>
  </r>
  <r>
    <d v="2021-10-17T00:00:00"/>
    <s v="Oct"/>
    <n v="2021"/>
    <x v="71"/>
    <s v="Condimentos"/>
    <s v="Salsa de arándanos Northwoods"/>
    <n v="96"/>
    <n v="71"/>
    <n v="6816"/>
    <n v="0"/>
    <n v="817.92"/>
    <n v="7633.92"/>
  </r>
  <r>
    <d v="2021-10-17T00:00:00"/>
    <s v="Oct"/>
    <n v="2021"/>
    <x v="71"/>
    <s v="Productos Alimenticios"/>
    <s v="Manjimup Dry Apples"/>
    <n v="94"/>
    <n v="98"/>
    <n v="9212"/>
    <n v="0"/>
    <n v="1105.44"/>
    <n v="10317.44"/>
  </r>
  <r>
    <d v="2021-10-17T00:00:00"/>
    <s v="Oct"/>
    <n v="2021"/>
    <x v="71"/>
    <s v="Productos Lácteos"/>
    <s v="Pierrot camembert"/>
    <n v="78"/>
    <n v="30"/>
    <n v="2340"/>
    <n v="0"/>
    <n v="280.8"/>
    <n v="2620.8000000000002"/>
  </r>
  <r>
    <d v="2021-10-20T00:00:00"/>
    <s v="Oct"/>
    <n v="2021"/>
    <x v="70"/>
    <s v="Dulces"/>
    <s v="Galletas de chocolate a la hora del té"/>
    <n v="41"/>
    <n v="16"/>
    <n v="656"/>
    <n v="0"/>
    <n v="78.72"/>
    <n v="734.72"/>
  </r>
  <r>
    <d v="2021-10-20T00:00:00"/>
    <s v="Oct"/>
    <n v="2021"/>
    <x v="70"/>
    <s v="Dulces"/>
    <s v="Tortas Zaanse"/>
    <n v="87"/>
    <n v="30"/>
    <n v="2610"/>
    <n v="0"/>
    <n v="313.2"/>
    <n v="2923.2"/>
  </r>
  <r>
    <d v="2021-10-21T00:00:00"/>
    <s v="Oct"/>
    <n v="2021"/>
    <x v="44"/>
    <s v="Dulces"/>
    <s v="Galletas de chocolate a la hora del té"/>
    <n v="27"/>
    <n v="97"/>
    <n v="2619"/>
    <n v="0"/>
    <n v="314.27999999999997"/>
    <n v="2933.2799999999997"/>
  </r>
  <r>
    <d v="2021-10-21T00:00:00"/>
    <s v="Oct"/>
    <n v="2021"/>
    <x v="44"/>
    <s v="Mariscos"/>
    <s v="Sopa de almejas de Nueva Inglaterra de Jack"/>
    <n v="8"/>
    <n v="88"/>
    <n v="704"/>
    <n v="0"/>
    <n v="84.47999999999999"/>
    <n v="788.48"/>
  </r>
  <r>
    <d v="2021-10-21T00:00:00"/>
    <s v="Oct"/>
    <n v="2021"/>
    <x v="44"/>
    <s v="Carnes y Aves"/>
    <s v="Empanadas de Perth"/>
    <n v="55"/>
    <n v="29"/>
    <n v="1595"/>
    <n v="0"/>
    <n v="191.4"/>
    <n v="1786.4"/>
  </r>
  <r>
    <d v="2021-10-21T00:00:00"/>
    <s v="Oct"/>
    <n v="2021"/>
    <x v="34"/>
    <s v="Carnes y Aves"/>
    <s v="Empanadas de Perth"/>
    <n v="78"/>
    <n v="47"/>
    <n v="3666"/>
    <n v="5.0000000745058101E-2"/>
    <n v="439.91999999999996"/>
    <n v="4105.869999999255"/>
  </r>
  <r>
    <d v="2021-10-21T00:00:00"/>
    <s v="Oct"/>
    <n v="2021"/>
    <x v="34"/>
    <s v="Granos y Cereales"/>
    <s v="Gnocchi di nonna Alice"/>
    <n v="28"/>
    <n v="64"/>
    <n v="1792"/>
    <n v="0"/>
    <n v="215.04"/>
    <n v="2007.04"/>
  </r>
  <r>
    <d v="2021-10-22T00:00:00"/>
    <s v="Oct"/>
    <n v="2021"/>
    <x v="44"/>
    <s v="Mariscos"/>
    <s v="Ikura"/>
    <n v="2"/>
    <n v="23"/>
    <n v="46"/>
    <n v="0"/>
    <n v="5.52"/>
    <n v="51.519999999999996"/>
  </r>
  <r>
    <d v="2021-10-22T00:00:00"/>
    <s v="Oct"/>
    <n v="2021"/>
    <x v="44"/>
    <s v="Dulces"/>
    <s v="Gummär Gummibärchen"/>
    <n v="33"/>
    <n v="85"/>
    <n v="2805"/>
    <n v="0"/>
    <n v="336.59999999999997"/>
    <n v="3141.6"/>
  </r>
  <r>
    <d v="2021-10-22T00:00:00"/>
    <s v="Oct"/>
    <n v="2021"/>
    <x v="44"/>
    <s v="Mariscos"/>
    <s v="Arenque ahumado"/>
    <n v="23"/>
    <n v="64"/>
    <n v="1472"/>
    <n v="0"/>
    <n v="176.64"/>
    <n v="1648.6399999999999"/>
  </r>
  <r>
    <d v="2021-10-22T00:00:00"/>
    <s v="Oct"/>
    <n v="2021"/>
    <x v="44"/>
    <s v="Mariscos"/>
    <s v="arenque"/>
    <n v="5"/>
    <n v="73"/>
    <n v="365"/>
    <n v="0"/>
    <n v="43.8"/>
    <n v="408.8"/>
  </r>
  <r>
    <d v="2021-10-22T00:00:00"/>
    <s v="Oct"/>
    <n v="2021"/>
    <x v="44"/>
    <s v="Bebidas"/>
    <s v="Chang"/>
    <n v="4"/>
    <n v="48"/>
    <n v="192"/>
    <n v="0.25"/>
    <n v="23.04"/>
    <n v="214.79"/>
  </r>
  <r>
    <d v="2021-10-22T00:00:00"/>
    <s v="Oct"/>
    <n v="2021"/>
    <x v="44"/>
    <s v="Carnes y Aves"/>
    <s v="Alice Cordero"/>
    <n v="77"/>
    <n v="71"/>
    <n v="5467"/>
    <n v="0.25"/>
    <n v="656.04"/>
    <n v="6122.79"/>
  </r>
  <r>
    <d v="2021-10-22T00:00:00"/>
    <s v="Oct"/>
    <n v="2021"/>
    <x v="44"/>
    <s v="Dulces"/>
    <s v="Tortas Zaanse"/>
    <n v="52"/>
    <n v="88"/>
    <n v="4576"/>
    <n v="0.25"/>
    <n v="549.12"/>
    <n v="5124.87"/>
  </r>
  <r>
    <d v="2021-10-22T00:00:00"/>
    <s v="Oct"/>
    <n v="2021"/>
    <x v="44"/>
    <s v="Granos y Cereales"/>
    <s v="Gnocchi di nonna Alice"/>
    <n v="62"/>
    <n v="21"/>
    <n v="1302"/>
    <n v="0.25"/>
    <n v="156.23999999999998"/>
    <n v="1457.99"/>
  </r>
  <r>
    <d v="2021-10-22T00:00:00"/>
    <s v="Oct"/>
    <n v="2021"/>
    <x v="44"/>
    <s v="Mariscos"/>
    <s v="Escorts borgoña"/>
    <n v="39"/>
    <n v="66"/>
    <n v="2574"/>
    <n v="0.25"/>
    <n v="308.88"/>
    <n v="2882.63"/>
  </r>
  <r>
    <d v="2021-10-23T00:00:00"/>
    <s v="Oct"/>
    <n v="2021"/>
    <x v="47"/>
    <s v="Mariscos"/>
    <s v="Ikura"/>
    <n v="9"/>
    <n v="34"/>
    <n v="306"/>
    <n v="0"/>
    <n v="36.72"/>
    <n v="342.72"/>
  </r>
  <r>
    <d v="2021-10-23T00:00:00"/>
    <s v="Oct"/>
    <n v="2021"/>
    <x v="47"/>
    <s v="Productos Lácteos"/>
    <s v="Queso crema"/>
    <n v="2"/>
    <n v="66"/>
    <n v="132"/>
    <n v="0"/>
    <n v="15.84"/>
    <n v="147.84"/>
  </r>
  <r>
    <d v="2021-10-24T00:00:00"/>
    <s v="Oct"/>
    <n v="2021"/>
    <x v="74"/>
    <s v="Dulces"/>
    <s v="Scones de Sir Rodney"/>
    <n v="57"/>
    <n v="37"/>
    <n v="2109"/>
    <n v="0"/>
    <n v="253.07999999999998"/>
    <n v="2362.08"/>
  </r>
  <r>
    <d v="2021-10-24T00:00:00"/>
    <s v="Oct"/>
    <n v="2021"/>
    <x v="74"/>
    <s v="Productos Alimenticios"/>
    <s v="Manjimup Dry Apples"/>
    <n v="52"/>
    <n v="57"/>
    <n v="2964"/>
    <n v="0"/>
    <n v="355.68"/>
    <n v="3319.68"/>
  </r>
  <r>
    <d v="2021-10-24T00:00:00"/>
    <s v="Oct"/>
    <n v="2021"/>
    <x v="74"/>
    <s v="Condimentos"/>
    <s v="miel de maple"/>
    <n v="61"/>
    <n v="16"/>
    <n v="976"/>
    <n v="0"/>
    <n v="117.11999999999999"/>
    <n v="1093.1199999999999"/>
  </r>
  <r>
    <d v="2021-10-24T00:00:00"/>
    <s v="Oct"/>
    <n v="2021"/>
    <x v="17"/>
    <s v="Dulces"/>
    <s v="Scones de Sir Rodney"/>
    <n v="11"/>
    <n v="88"/>
    <n v="968"/>
    <n v="5.0000000745058101E-2"/>
    <n v="116.16"/>
    <n v="1084.109999999255"/>
  </r>
  <r>
    <d v="2021-10-24T00:00:00"/>
    <s v="Oct"/>
    <n v="2021"/>
    <x v="17"/>
    <s v="Carnes y Aves"/>
    <s v="Tourtière"/>
    <n v="41"/>
    <n v="46"/>
    <n v="1886"/>
    <n v="0"/>
    <n v="226.32"/>
    <n v="2112.3200000000002"/>
  </r>
  <r>
    <d v="2021-10-24T00:00:00"/>
    <s v="Oct"/>
    <n v="2021"/>
    <x v="17"/>
    <s v="Productos Lácteos"/>
    <s v="Gudbrandsdalsost"/>
    <n v="59"/>
    <n v="61"/>
    <n v="3599"/>
    <n v="5.0000000745058101E-2"/>
    <n v="431.88"/>
    <n v="4030.8299999992551"/>
  </r>
  <r>
    <d v="2021-10-27T00:00:00"/>
    <s v="Oct"/>
    <n v="2021"/>
    <x v="43"/>
    <s v="Productos Lácteos"/>
    <s v="Queso Manchego La Pastora"/>
    <n v="19"/>
    <n v="100"/>
    <n v="1900"/>
    <n v="0"/>
    <n v="228"/>
    <n v="2128"/>
  </r>
  <r>
    <d v="2021-10-27T00:00:00"/>
    <s v="Oct"/>
    <n v="2021"/>
    <x v="43"/>
    <s v="Dulces"/>
    <s v="Pavlova"/>
    <n v="50"/>
    <n v="34"/>
    <n v="1700"/>
    <n v="0"/>
    <n v="204"/>
    <n v="1904"/>
  </r>
  <r>
    <d v="2021-10-27T00:00:00"/>
    <s v="Oct"/>
    <n v="2021"/>
    <x v="43"/>
    <s v="Mariscos"/>
    <s v="Arenque en escabeche"/>
    <n v="45"/>
    <n v="10"/>
    <n v="450"/>
    <n v="0"/>
    <n v="54"/>
    <n v="504"/>
  </r>
  <r>
    <d v="2021-10-27T00:00:00"/>
    <s v="Oct"/>
    <n v="2021"/>
    <x v="43"/>
    <s v="Dulces"/>
    <s v="Tarta de azúcar"/>
    <n v="78"/>
    <n v="87"/>
    <n v="6786"/>
    <n v="0"/>
    <n v="814.31999999999994"/>
    <n v="7600.32"/>
  </r>
  <r>
    <d v="2021-10-27T00:00:00"/>
    <s v="Oct"/>
    <n v="2021"/>
    <x v="83"/>
    <s v="Mariscos"/>
    <s v="Tigres de Carnarvon"/>
    <n v="35"/>
    <n v="97"/>
    <n v="3395"/>
    <n v="0.25"/>
    <n v="407.4"/>
    <n v="3802.15"/>
  </r>
  <r>
    <d v="2021-10-27T00:00:00"/>
    <s v="Oct"/>
    <n v="2021"/>
    <x v="83"/>
    <s v="Mariscos"/>
    <s v="Nord-Ost Matjeshering"/>
    <n v="22"/>
    <n v="62"/>
    <n v="1364"/>
    <n v="0.25"/>
    <n v="163.68"/>
    <n v="1527.43"/>
  </r>
  <r>
    <d v="2021-10-27T00:00:00"/>
    <s v="Oct"/>
    <n v="2021"/>
    <x v="83"/>
    <s v="Carnes y Aves"/>
    <s v="Tourtière"/>
    <n v="17"/>
    <n v="13"/>
    <n v="221"/>
    <n v="0.25"/>
    <n v="26.52"/>
    <n v="247.27"/>
  </r>
  <r>
    <d v="2021-10-28T00:00:00"/>
    <s v="Oct"/>
    <n v="2021"/>
    <x v="12"/>
    <s v="Bebidas"/>
    <s v="Steeleye Stout"/>
    <n v="33"/>
    <n v="60"/>
    <n v="1980"/>
    <n v="0"/>
    <n v="237.6"/>
    <n v="2217.6"/>
  </r>
  <r>
    <d v="2021-10-28T00:00:00"/>
    <s v="Oct"/>
    <n v="2021"/>
    <x v="12"/>
    <s v="Productos Lácteos"/>
    <s v="Queso crema"/>
    <n v="57"/>
    <n v="100"/>
    <n v="5700"/>
    <n v="0"/>
    <n v="684"/>
    <n v="6384"/>
  </r>
  <r>
    <d v="2021-10-29T00:00:00"/>
    <s v="Oct"/>
    <n v="2021"/>
    <x v="21"/>
    <s v="Condimentos"/>
    <s v="Gula Malacca"/>
    <n v="69"/>
    <n v="15"/>
    <n v="1035"/>
    <n v="5.0000000745058101E-2"/>
    <n v="124.19999999999999"/>
    <n v="1159.149999999255"/>
  </r>
  <r>
    <d v="2021-10-29T00:00:00"/>
    <s v="Oct"/>
    <n v="2021"/>
    <x v="44"/>
    <s v="Bebidas"/>
    <s v="Chang"/>
    <n v="64"/>
    <n v="54"/>
    <n v="3456"/>
    <n v="0"/>
    <n v="414.71999999999997"/>
    <n v="3870.72"/>
  </r>
  <r>
    <d v="2021-10-29T00:00:00"/>
    <s v="Oct"/>
    <n v="2021"/>
    <x v="44"/>
    <s v="Productos Lácteos"/>
    <s v="Gorgonzola Telino"/>
    <n v="1"/>
    <n v="31"/>
    <n v="31"/>
    <n v="0"/>
    <n v="3.7199999999999998"/>
    <n v="34.72"/>
  </r>
  <r>
    <d v="2021-10-29T00:00:00"/>
    <s v="Oct"/>
    <n v="2021"/>
    <x v="44"/>
    <s v="Dulces"/>
    <s v="Pan largo escocés"/>
    <n v="54"/>
    <n v="12"/>
    <n v="648"/>
    <n v="0"/>
    <n v="77.759999999999991"/>
    <n v="725.76"/>
  </r>
  <r>
    <d v="2021-10-29T00:00:00"/>
    <s v="Oct"/>
    <n v="2021"/>
    <x v="44"/>
    <s v="Bebidas"/>
    <s v="Rhönbräu Klosterbier"/>
    <n v="11"/>
    <n v="52"/>
    <n v="572"/>
    <n v="0"/>
    <n v="68.64"/>
    <n v="640.64"/>
  </r>
  <r>
    <d v="2021-10-30T00:00:00"/>
    <s v="Oct"/>
    <n v="2021"/>
    <x v="19"/>
    <s v="Dulces"/>
    <s v="Gummär Gummibärchen"/>
    <n v="46"/>
    <n v="90"/>
    <n v="4140"/>
    <n v="0"/>
    <n v="496.79999999999995"/>
    <n v="4636.8"/>
  </r>
  <r>
    <d v="2021-10-30T00:00:00"/>
    <s v="Oct"/>
    <n v="2021"/>
    <x v="48"/>
    <s v="Mariscos"/>
    <s v="Ikura"/>
    <n v="37"/>
    <n v="10"/>
    <n v="370"/>
    <n v="0"/>
    <n v="44.4"/>
    <n v="414.4"/>
  </r>
  <r>
    <d v="2021-10-30T00:00:00"/>
    <s v="Oct"/>
    <n v="2021"/>
    <x v="48"/>
    <s v="Condimentos"/>
    <s v="miel de maple"/>
    <n v="82"/>
    <n v="39"/>
    <n v="3198"/>
    <n v="0"/>
    <n v="383.76"/>
    <n v="3581.76"/>
  </r>
  <r>
    <d v="2021-10-31T00:00:00"/>
    <s v="Oct"/>
    <n v="2021"/>
    <x v="51"/>
    <s v="Mariscos"/>
    <s v="Sopa de almejas de Nueva Inglaterra de Jack"/>
    <n v="64"/>
    <n v="12"/>
    <n v="768"/>
    <n v="0"/>
    <n v="92.16"/>
    <n v="860.16"/>
  </r>
  <r>
    <d v="2021-10-31T00:00:00"/>
    <s v="Oct"/>
    <n v="2021"/>
    <x v="51"/>
    <s v="Granos y Cereales"/>
    <s v="Filo Mix"/>
    <n v="63"/>
    <n v="38"/>
    <n v="2394"/>
    <n v="0"/>
    <n v="287.27999999999997"/>
    <n v="2681.2799999999997"/>
  </r>
  <r>
    <d v="2021-10-31T00:00:00"/>
    <s v="Oct"/>
    <n v="2021"/>
    <x v="51"/>
    <s v="Carnes y Aves"/>
    <s v="Paté chino"/>
    <n v="27"/>
    <n v="14"/>
    <n v="378"/>
    <n v="0"/>
    <n v="45.36"/>
    <n v="423.36"/>
  </r>
  <r>
    <d v="2021-11-03T00:00:00"/>
    <s v="Nov"/>
    <n v="2021"/>
    <x v="57"/>
    <s v="Condimentos"/>
    <s v="Condimento Cajún del Chef Anton"/>
    <n v="73"/>
    <n v="66"/>
    <n v="4818"/>
    <n v="0"/>
    <n v="578.16"/>
    <n v="5396.16"/>
  </r>
  <r>
    <d v="2021-11-03T00:00:00"/>
    <s v="Nov"/>
    <n v="2021"/>
    <x v="57"/>
    <s v="Productos Lácteos"/>
    <s v="Queso Cabrales"/>
    <n v="27"/>
    <n v="14"/>
    <n v="378"/>
    <n v="0"/>
    <n v="45.36"/>
    <n v="423.36"/>
  </r>
  <r>
    <d v="2021-11-03T00:00:00"/>
    <s v="Nov"/>
    <n v="2021"/>
    <x v="31"/>
    <s v="Carnes y Aves"/>
    <s v="Alice Cordero"/>
    <n v="75"/>
    <n v="60"/>
    <n v="4500"/>
    <n v="5.0000000745058101E-2"/>
    <n v="540"/>
    <n v="5039.9499999992549"/>
  </r>
  <r>
    <d v="2021-11-03T00:00:00"/>
    <s v="Nov"/>
    <n v="2021"/>
    <x v="31"/>
    <s v="Granos y Cereales"/>
    <s v="Gnocchi di nonna Alice"/>
    <n v="41"/>
    <n v="77"/>
    <n v="3157"/>
    <n v="5.0000000745058101E-2"/>
    <n v="378.84"/>
    <n v="3535.7899999992551"/>
  </r>
  <r>
    <d v="2021-11-03T00:00:00"/>
    <s v="Nov"/>
    <n v="2021"/>
    <x v="31"/>
    <s v="Productos Lácteos"/>
    <s v="Raclette Courdavault"/>
    <n v="45"/>
    <n v="64"/>
    <n v="2880"/>
    <n v="5.0000000745058101E-2"/>
    <n v="345.59999999999997"/>
    <n v="3225.5499999992549"/>
  </r>
  <r>
    <d v="2021-11-04T00:00:00"/>
    <s v="Nov"/>
    <n v="2021"/>
    <x v="61"/>
    <s v="Mariscos"/>
    <s v="Nord-Ost Matjeshering"/>
    <n v="16"/>
    <n v="83"/>
    <n v="1328"/>
    <n v="0"/>
    <n v="159.35999999999999"/>
    <n v="1487.36"/>
  </r>
  <r>
    <d v="2021-11-04T00:00:00"/>
    <s v="Nov"/>
    <n v="2021"/>
    <x v="61"/>
    <s v="Mariscos"/>
    <s v="Carne de cangrejo de Boston"/>
    <n v="69"/>
    <n v="96"/>
    <n v="6624"/>
    <n v="0"/>
    <n v="794.88"/>
    <n v="7418.88"/>
  </r>
  <r>
    <d v="2021-11-04T00:00:00"/>
    <s v="Nov"/>
    <n v="2021"/>
    <x v="61"/>
    <s v="Carnes y Aves"/>
    <s v="Paté chino"/>
    <n v="62"/>
    <n v="94"/>
    <n v="5828"/>
    <n v="0"/>
    <n v="699.36"/>
    <n v="6527.36"/>
  </r>
  <r>
    <d v="2021-11-04T00:00:00"/>
    <s v="Nov"/>
    <n v="2021"/>
    <x v="61"/>
    <s v="Productos Lácteos"/>
    <s v="Pierrot camembert"/>
    <n v="80"/>
    <n v="80"/>
    <n v="6400"/>
    <n v="0"/>
    <n v="768"/>
    <n v="7168"/>
  </r>
  <r>
    <d v="2021-11-04T00:00:00"/>
    <s v="Nov"/>
    <n v="2021"/>
    <x v="66"/>
    <s v="Bebidas"/>
    <s v="Chai"/>
    <n v="47"/>
    <n v="23"/>
    <n v="1081"/>
    <n v="0"/>
    <n v="129.72"/>
    <n v="1210.72"/>
  </r>
  <r>
    <d v="2021-11-04T00:00:00"/>
    <s v="Nov"/>
    <n v="2021"/>
    <x v="66"/>
    <s v="Dulces"/>
    <s v="Scones de Sir Rodney"/>
    <n v="83"/>
    <n v="25"/>
    <n v="2075"/>
    <n v="0"/>
    <n v="249"/>
    <n v="2324"/>
  </r>
  <r>
    <d v="2021-11-04T00:00:00"/>
    <s v="Nov"/>
    <n v="2021"/>
    <x v="66"/>
    <s v="Dulces"/>
    <s v="Valkoinen suklaa"/>
    <n v="94"/>
    <n v="11"/>
    <n v="1034"/>
    <n v="0"/>
    <n v="124.08"/>
    <n v="1158.08"/>
  </r>
  <r>
    <d v="2021-11-05T00:00:00"/>
    <s v="Nov"/>
    <n v="2021"/>
    <x v="47"/>
    <s v="Dulces"/>
    <s v="Pavlova"/>
    <n v="18"/>
    <n v="52"/>
    <n v="936"/>
    <n v="5.0000000745058101E-2"/>
    <n v="112.32"/>
    <n v="1048.2699999992549"/>
  </r>
  <r>
    <d v="2021-11-05T00:00:00"/>
    <s v="Nov"/>
    <n v="2021"/>
    <x v="47"/>
    <s v="Productos Lácteos"/>
    <s v="Gorgonzola Telino"/>
    <n v="29"/>
    <n v="94"/>
    <n v="2726"/>
    <n v="5.0000000745058101E-2"/>
    <n v="327.12"/>
    <n v="3053.0699999992548"/>
  </r>
  <r>
    <d v="2021-11-05T00:00:00"/>
    <s v="Nov"/>
    <n v="2021"/>
    <x v="47"/>
    <s v="Condimentos"/>
    <s v="Salsa de pimiento picante de Luisiana"/>
    <n v="86"/>
    <n v="99"/>
    <n v="8514"/>
    <n v="5.0000000745058101E-2"/>
    <n v="1021.68"/>
    <n v="9535.6299999992552"/>
  </r>
  <r>
    <d v="2021-11-06T00:00:00"/>
    <s v="Nov"/>
    <n v="2021"/>
    <x v="5"/>
    <s v="Dulces"/>
    <s v="Scones de Sir Rodney"/>
    <n v="95"/>
    <n v="31"/>
    <n v="2945"/>
    <n v="5.0000000745058101E-2"/>
    <n v="353.4"/>
    <n v="3298.349999999255"/>
  </r>
  <r>
    <d v="2021-11-06T00:00:00"/>
    <s v="Nov"/>
    <n v="2021"/>
    <x v="5"/>
    <s v="Productos Alimenticios"/>
    <s v="Manjimup Dry Apples"/>
    <n v="72"/>
    <n v="63"/>
    <n v="4536"/>
    <n v="5.0000000745058101E-2"/>
    <n v="544.31999999999994"/>
    <n v="5080.2699999992547"/>
  </r>
  <r>
    <d v="2021-11-06T00:00:00"/>
    <s v="Nov"/>
    <n v="2021"/>
    <x v="47"/>
    <s v="Bebidas"/>
    <s v="Lakkalikööri"/>
    <n v="98"/>
    <n v="48"/>
    <n v="4704"/>
    <n v="0"/>
    <n v="564.48"/>
    <n v="5268.48"/>
  </r>
  <r>
    <d v="2021-11-07T00:00:00"/>
    <s v="Nov"/>
    <n v="2021"/>
    <x v="26"/>
    <s v="Productos Alimenticios"/>
    <s v="tofu"/>
    <n v="15"/>
    <n v="73"/>
    <n v="1095"/>
    <n v="0"/>
    <n v="131.4"/>
    <n v="1226.4000000000001"/>
  </r>
  <r>
    <d v="2021-11-07T00:00:00"/>
    <s v="Nov"/>
    <n v="2021"/>
    <x v="26"/>
    <s v="Productos Alimenticios"/>
    <s v="Chucrut Rössle"/>
    <n v="18"/>
    <n v="95"/>
    <n v="1710"/>
    <n v="0"/>
    <n v="205.2"/>
    <n v="1915.2"/>
  </r>
  <r>
    <d v="2021-11-07T00:00:00"/>
    <s v="Nov"/>
    <n v="2021"/>
    <x v="26"/>
    <s v="Granos y Cereales"/>
    <s v="Filo Mix"/>
    <n v="42"/>
    <n v="47"/>
    <n v="1974"/>
    <n v="0"/>
    <n v="236.88"/>
    <n v="2210.88"/>
  </r>
  <r>
    <d v="2021-11-07T00:00:00"/>
    <s v="Nov"/>
    <n v="2021"/>
    <x v="71"/>
    <s v="Condimentos"/>
    <s v="Crema de arándanos de la abuela"/>
    <n v="29"/>
    <n v="57"/>
    <n v="1653"/>
    <n v="0"/>
    <n v="198.35999999999999"/>
    <n v="1851.36"/>
  </r>
  <r>
    <d v="2021-11-07T00:00:00"/>
    <s v="Nov"/>
    <n v="2021"/>
    <x v="71"/>
    <s v="Mariscos"/>
    <s v="Nord-Ost Matjeshering"/>
    <n v="4"/>
    <n v="15"/>
    <n v="60"/>
    <n v="0"/>
    <n v="7.1999999999999993"/>
    <n v="67.2"/>
  </r>
  <r>
    <d v="2021-11-07T00:00:00"/>
    <s v="Nov"/>
    <n v="2021"/>
    <x v="71"/>
    <s v="Bebidas"/>
    <s v="Lakkalikööri"/>
    <n v="87"/>
    <n v="36"/>
    <n v="3132"/>
    <n v="0"/>
    <n v="375.84"/>
    <n v="3507.84"/>
  </r>
  <r>
    <d v="2021-11-10T00:00:00"/>
    <s v="Nov"/>
    <n v="2021"/>
    <x v="83"/>
    <s v="Condimentos"/>
    <s v="miel de maple"/>
    <n v="91"/>
    <n v="41"/>
    <n v="3731"/>
    <n v="0.10000000149011599"/>
    <n v="447.71999999999997"/>
    <n v="4178.6199999985101"/>
  </r>
  <r>
    <d v="2021-11-10T00:00:00"/>
    <s v="Nov"/>
    <n v="2021"/>
    <x v="83"/>
    <s v="Condimentos"/>
    <s v="Salsa verde original de Frankfurt"/>
    <n v="100"/>
    <n v="18"/>
    <n v="1800"/>
    <n v="0.10000000149011599"/>
    <n v="216"/>
    <n v="2015.8999999985099"/>
  </r>
  <r>
    <d v="2021-11-11T00:00:00"/>
    <s v="Nov"/>
    <n v="2021"/>
    <x v="34"/>
    <s v="Condimentos"/>
    <s v="Salsa de pimiento picante de Luisiana"/>
    <n v="36"/>
    <n v="57"/>
    <n v="2052"/>
    <n v="0"/>
    <n v="246.23999999999998"/>
    <n v="2298.2399999999998"/>
  </r>
  <r>
    <d v="2021-11-11T00:00:00"/>
    <s v="Nov"/>
    <n v="2021"/>
    <x v="34"/>
    <s v="Bebidas"/>
    <s v="Rhönbräu Klosterbier"/>
    <n v="79"/>
    <n v="44"/>
    <n v="3476"/>
    <n v="0"/>
    <n v="417.12"/>
    <n v="3893.12"/>
  </r>
  <r>
    <d v="2021-11-11T00:00:00"/>
    <s v="Nov"/>
    <n v="2021"/>
    <x v="22"/>
    <s v="Mariscos"/>
    <s v="Konbu"/>
    <n v="49"/>
    <n v="99"/>
    <n v="4851"/>
    <n v="0"/>
    <n v="582.12"/>
    <n v="5433.12"/>
  </r>
  <r>
    <d v="2021-11-11T00:00:00"/>
    <s v="Nov"/>
    <n v="2021"/>
    <x v="22"/>
    <s v="Mariscos"/>
    <s v="Sopa de almejas de Nueva Inglaterra de Jack"/>
    <n v="43"/>
    <n v="94"/>
    <n v="4042"/>
    <n v="0"/>
    <n v="485.03999999999996"/>
    <n v="4527.04"/>
  </r>
  <r>
    <d v="2021-11-12T00:00:00"/>
    <s v="Nov"/>
    <n v="2021"/>
    <x v="87"/>
    <s v="Dulces"/>
    <s v="Pavlova"/>
    <n v="69"/>
    <n v="58"/>
    <n v="4002"/>
    <n v="0"/>
    <n v="480.24"/>
    <n v="4482.24"/>
  </r>
  <r>
    <d v="2021-11-12T00:00:00"/>
    <s v="Nov"/>
    <n v="2021"/>
    <x v="22"/>
    <s v="Mariscos"/>
    <s v="Arenque en escabeche"/>
    <n v="24"/>
    <n v="18"/>
    <n v="432"/>
    <n v="0"/>
    <n v="51.839999999999996"/>
    <n v="483.84"/>
  </r>
  <r>
    <d v="2021-11-12T00:00:00"/>
    <s v="Nov"/>
    <n v="2021"/>
    <x v="22"/>
    <s v="Granos y Cereales"/>
    <s v="Filo Mix"/>
    <n v="12"/>
    <n v="40"/>
    <n v="480"/>
    <n v="0"/>
    <n v="57.599999999999994"/>
    <n v="537.6"/>
  </r>
  <r>
    <d v="2021-11-13T00:00:00"/>
    <s v="Nov"/>
    <n v="2021"/>
    <x v="19"/>
    <s v="Productos Alimenticios"/>
    <s v="Chucrut Rössle"/>
    <n v="55"/>
    <n v="60"/>
    <n v="3300"/>
    <n v="0.20000000298023199"/>
    <n v="396"/>
    <n v="3695.7999999970198"/>
  </r>
  <r>
    <d v="2021-11-13T00:00:00"/>
    <s v="Nov"/>
    <n v="2021"/>
    <x v="19"/>
    <s v="Bebidas"/>
    <s v="Steeleye Stout"/>
    <n v="42"/>
    <n v="70"/>
    <n v="2940"/>
    <n v="0.20000000298023199"/>
    <n v="352.8"/>
    <n v="3292.5999999970199"/>
  </r>
  <r>
    <d v="2021-11-13T00:00:00"/>
    <s v="Nov"/>
    <n v="2021"/>
    <x v="19"/>
    <s v="Mariscos"/>
    <s v="Arenque ahumado"/>
    <n v="10"/>
    <n v="89"/>
    <n v="890"/>
    <n v="0.20000000298023199"/>
    <n v="106.8"/>
    <n v="996.59999999701972"/>
  </r>
  <r>
    <d v="2021-11-13T00:00:00"/>
    <s v="Nov"/>
    <n v="2021"/>
    <x v="19"/>
    <s v="Granos y Cereales"/>
    <s v="Gnocchi di nonna Alice"/>
    <n v="47"/>
    <n v="45"/>
    <n v="2115"/>
    <n v="0.20000000298023199"/>
    <n v="253.79999999999998"/>
    <n v="2368.5999999970199"/>
  </r>
  <r>
    <d v="2021-11-14T00:00:00"/>
    <s v="Nov"/>
    <n v="2021"/>
    <x v="54"/>
    <s v="Bebidas"/>
    <s v="Chang"/>
    <n v="90"/>
    <n v="22"/>
    <n v="1980"/>
    <n v="0.20000000298023199"/>
    <n v="237.6"/>
    <n v="2217.3999999970197"/>
  </r>
  <r>
    <d v="2021-11-14T00:00:00"/>
    <s v="Nov"/>
    <n v="2021"/>
    <x v="65"/>
    <s v="Condimentos"/>
    <s v="Jarabe de anís"/>
    <n v="18"/>
    <n v="91"/>
    <n v="1638"/>
    <n v="0"/>
    <n v="196.56"/>
    <n v="1834.56"/>
  </r>
  <r>
    <d v="2021-11-14T00:00:00"/>
    <s v="Nov"/>
    <n v="2021"/>
    <x v="65"/>
    <s v="Productos Lácteos"/>
    <s v="Pierrot camembert"/>
    <n v="29"/>
    <n v="85"/>
    <n v="2465"/>
    <n v="0"/>
    <n v="295.8"/>
    <n v="2760.8"/>
  </r>
  <r>
    <d v="2021-11-14T00:00:00"/>
    <s v="Nov"/>
    <n v="2021"/>
    <x v="65"/>
    <s v="Productos Lácteos"/>
    <s v="Mozzarella di Giovanni"/>
    <n v="16"/>
    <n v="77"/>
    <n v="1232"/>
    <n v="0"/>
    <n v="147.84"/>
    <n v="1379.84"/>
  </r>
  <r>
    <d v="2021-11-17T00:00:00"/>
    <s v="Nov"/>
    <n v="2021"/>
    <x v="54"/>
    <s v="Mariscos"/>
    <s v="arenque"/>
    <n v="57"/>
    <n v="56"/>
    <n v="3192"/>
    <n v="5.0000000745058101E-2"/>
    <n v="383.03999999999996"/>
    <n v="3574.9899999992549"/>
  </r>
  <r>
    <d v="2021-11-17T00:00:00"/>
    <s v="Nov"/>
    <n v="2021"/>
    <x v="60"/>
    <s v="Mariscos"/>
    <s v="Carne de cangrejo de Boston"/>
    <n v="4"/>
    <n v="29"/>
    <n v="116"/>
    <n v="0.20000000298023199"/>
    <n v="13.92"/>
    <n v="129.71999999701976"/>
  </r>
  <r>
    <d v="2021-11-18T00:00:00"/>
    <s v="Nov"/>
    <n v="2021"/>
    <x v="21"/>
    <s v="Mariscos"/>
    <s v="Tigres de Carnarvon"/>
    <n v="6"/>
    <n v="16"/>
    <n v="96"/>
    <n v="0"/>
    <n v="11.52"/>
    <n v="107.52"/>
  </r>
  <r>
    <d v="2021-11-18T00:00:00"/>
    <s v="Nov"/>
    <n v="2021"/>
    <x v="21"/>
    <s v="Condimentos"/>
    <s v="Gula Malacca"/>
    <n v="14"/>
    <n v="51"/>
    <n v="714"/>
    <n v="0"/>
    <n v="85.679999999999993"/>
    <n v="799.68"/>
  </r>
  <r>
    <d v="2021-11-18T00:00:00"/>
    <s v="Nov"/>
    <n v="2021"/>
    <x v="21"/>
    <s v="Productos Lácteos"/>
    <s v="Raclette Courdavault"/>
    <n v="28"/>
    <n v="94"/>
    <n v="2632"/>
    <n v="0"/>
    <n v="315.83999999999997"/>
    <n v="2947.84"/>
  </r>
  <r>
    <d v="2021-11-18T00:00:00"/>
    <s v="Nov"/>
    <n v="2021"/>
    <x v="21"/>
    <s v="Productos Lácteos"/>
    <s v="Mozzarella di Giovanni"/>
    <n v="67"/>
    <n v="10"/>
    <n v="670"/>
    <n v="0"/>
    <n v="80.399999999999991"/>
    <n v="750.4"/>
  </r>
  <r>
    <d v="2021-11-19T00:00:00"/>
    <s v="Nov"/>
    <n v="2021"/>
    <x v="5"/>
    <s v="Mariscos"/>
    <s v="Konbu"/>
    <n v="82"/>
    <n v="19"/>
    <n v="1558"/>
    <n v="0"/>
    <n v="186.95999999999998"/>
    <n v="1744.96"/>
  </r>
  <r>
    <d v="2021-11-19T00:00:00"/>
    <s v="Nov"/>
    <n v="2021"/>
    <x v="5"/>
    <s v="Granos y Cereales"/>
    <s v="Fried Mee de hockey de Singapur"/>
    <n v="57"/>
    <n v="50"/>
    <n v="2850"/>
    <n v="0"/>
    <n v="342"/>
    <n v="3192"/>
  </r>
  <r>
    <d v="2021-11-19T00:00:00"/>
    <s v="Nov"/>
    <n v="2021"/>
    <x v="5"/>
    <s v="Dulces"/>
    <s v="Tarta de azúcar"/>
    <n v="39"/>
    <n v="13"/>
    <n v="507"/>
    <n v="0"/>
    <n v="60.839999999999996"/>
    <n v="567.84"/>
  </r>
  <r>
    <d v="2021-11-19T00:00:00"/>
    <s v="Nov"/>
    <n v="2021"/>
    <x v="5"/>
    <s v="Productos Lácteos"/>
    <s v="Gudbrandsdalsost"/>
    <n v="77"/>
    <n v="47"/>
    <n v="3619"/>
    <n v="0"/>
    <n v="434.28"/>
    <n v="4053.2799999999997"/>
  </r>
  <r>
    <d v="2021-11-20T00:00:00"/>
    <s v="Nov"/>
    <n v="2021"/>
    <x v="44"/>
    <s v="Granos y Cereales"/>
    <s v="Pan plano"/>
    <n v="30"/>
    <n v="54"/>
    <n v="1620"/>
    <n v="0"/>
    <n v="194.4"/>
    <n v="1814.4"/>
  </r>
  <r>
    <d v="2021-11-20T00:00:00"/>
    <s v="Nov"/>
    <n v="2021"/>
    <x v="44"/>
    <s v="Mariscos"/>
    <s v="Carne de cangrejo de Boston"/>
    <n v="7"/>
    <n v="40"/>
    <n v="280"/>
    <n v="0"/>
    <n v="33.6"/>
    <n v="313.60000000000002"/>
  </r>
  <r>
    <d v="2021-11-20T00:00:00"/>
    <s v="Nov"/>
    <n v="2021"/>
    <x v="44"/>
    <s v="Granos y Cereales"/>
    <s v="Gnocchi di nonna Alice"/>
    <n v="68"/>
    <n v="90"/>
    <n v="6120"/>
    <n v="0"/>
    <n v="734.4"/>
    <n v="6854.4"/>
  </r>
  <r>
    <d v="2021-11-20T00:00:00"/>
    <s v="Nov"/>
    <n v="2021"/>
    <x v="41"/>
    <s v="Granos y Cereales"/>
    <s v="Gnocchi di nonna Alice"/>
    <n v="5"/>
    <n v="23"/>
    <n v="115"/>
    <n v="0"/>
    <n v="13.799999999999999"/>
    <n v="128.80000000000001"/>
  </r>
  <r>
    <d v="2021-11-20T00:00:00"/>
    <s v="Nov"/>
    <n v="2021"/>
    <x v="41"/>
    <s v="Productos Lácteos"/>
    <s v="Raclette Courdavault"/>
    <n v="63"/>
    <n v="33"/>
    <n v="2079"/>
    <n v="0"/>
    <n v="249.48"/>
    <n v="2328.48"/>
  </r>
  <r>
    <d v="2021-11-20T00:00:00"/>
    <s v="Nov"/>
    <n v="2021"/>
    <x v="41"/>
    <s v="Bebidas"/>
    <s v="Lakkalikööri"/>
    <n v="74"/>
    <n v="23"/>
    <n v="1702"/>
    <n v="0"/>
    <n v="204.23999999999998"/>
    <n v="1906.24"/>
  </r>
  <r>
    <d v="2021-11-21T00:00:00"/>
    <s v="Nov"/>
    <n v="2021"/>
    <x v="16"/>
    <s v="Productos Alimenticios"/>
    <s v="tofu"/>
    <n v="26"/>
    <n v="35"/>
    <n v="910"/>
    <n v="0.15000000596046401"/>
    <n v="109.2"/>
    <n v="1019.0499999940396"/>
  </r>
  <r>
    <d v="2021-11-21T00:00:00"/>
    <s v="Nov"/>
    <n v="2021"/>
    <x v="16"/>
    <s v="Mariscos"/>
    <s v="Arenque ahumado"/>
    <n v="78"/>
    <n v="77"/>
    <n v="6006"/>
    <n v="0.15000000596046401"/>
    <n v="720.72"/>
    <n v="6726.5699999940398"/>
  </r>
  <r>
    <d v="2021-11-21T00:00:00"/>
    <s v="Nov"/>
    <n v="2021"/>
    <x v="16"/>
    <s v="Productos Lácteos"/>
    <s v="Raclette Courdavault"/>
    <n v="78"/>
    <n v="14"/>
    <n v="1092"/>
    <n v="0.15000000596046401"/>
    <n v="131.04"/>
    <n v="1222.8899999940395"/>
  </r>
  <r>
    <d v="2021-11-24T00:00:00"/>
    <s v="Nov"/>
    <n v="2021"/>
    <x v="6"/>
    <s v="Dulces"/>
    <s v="Gummär Gummibärchen"/>
    <n v="32"/>
    <n v="43"/>
    <n v="1376"/>
    <n v="0.10000000149011599"/>
    <n v="165.12"/>
    <n v="1541.0199999985098"/>
  </r>
  <r>
    <d v="2021-11-24T00:00:00"/>
    <s v="Nov"/>
    <n v="2021"/>
    <x v="6"/>
    <s v="Mariscos"/>
    <s v="Nord-Ost Matjeshering"/>
    <n v="89"/>
    <n v="88"/>
    <n v="7832"/>
    <n v="0"/>
    <n v="939.83999999999992"/>
    <n v="8771.84"/>
  </r>
  <r>
    <d v="2021-11-24T00:00:00"/>
    <s v="Nov"/>
    <n v="2021"/>
    <x v="6"/>
    <s v="Dulces"/>
    <s v="Valkoinen suklaa"/>
    <n v="48"/>
    <n v="14"/>
    <n v="672"/>
    <n v="0.10000000149011599"/>
    <n v="80.64"/>
    <n v="752.53999999850987"/>
  </r>
  <r>
    <d v="2021-11-24T00:00:00"/>
    <s v="Nov"/>
    <n v="2021"/>
    <x v="6"/>
    <s v="Mariscos"/>
    <s v="Caviar rojo"/>
    <n v="38"/>
    <n v="40"/>
    <n v="1520"/>
    <n v="0"/>
    <n v="182.4"/>
    <n v="1702.4"/>
  </r>
  <r>
    <d v="2021-11-24T00:00:00"/>
    <s v="Nov"/>
    <n v="2021"/>
    <x v="78"/>
    <s v="Bebidas"/>
    <s v="Chai"/>
    <n v="86"/>
    <n v="35"/>
    <n v="3010"/>
    <n v="0"/>
    <n v="361.2"/>
    <n v="3371.2"/>
  </r>
  <r>
    <d v="2021-11-24T00:00:00"/>
    <s v="Nov"/>
    <n v="2021"/>
    <x v="78"/>
    <s v="Productos Lácteos"/>
    <s v="Gudbrandsdalsost"/>
    <n v="35"/>
    <n v="48"/>
    <n v="1680"/>
    <n v="0"/>
    <n v="201.6"/>
    <n v="1881.6"/>
  </r>
  <r>
    <d v="2021-11-25T00:00:00"/>
    <s v="Nov"/>
    <n v="2021"/>
    <x v="70"/>
    <s v="Mariscos"/>
    <s v="Arenque ahumado"/>
    <n v="87"/>
    <n v="36"/>
    <n v="3132"/>
    <n v="0"/>
    <n v="375.84"/>
    <n v="3507.84"/>
  </r>
  <r>
    <d v="2021-11-25T00:00:00"/>
    <s v="Nov"/>
    <n v="2021"/>
    <x v="70"/>
    <s v="Productos Alimenticios"/>
    <s v="Tofu de larga duración"/>
    <n v="97"/>
    <n v="47"/>
    <n v="4559"/>
    <n v="0"/>
    <n v="547.07999999999993"/>
    <n v="5106.08"/>
  </r>
  <r>
    <d v="2021-11-25T00:00:00"/>
    <s v="Nov"/>
    <n v="2021"/>
    <x v="23"/>
    <s v="Mariscos"/>
    <s v="Carne de cangrejo de Boston"/>
    <n v="24"/>
    <n v="12"/>
    <n v="288"/>
    <n v="0"/>
    <n v="34.56"/>
    <n v="322.56"/>
  </r>
  <r>
    <d v="2021-11-26T00:00:00"/>
    <s v="Nov"/>
    <n v="2021"/>
    <x v="47"/>
    <s v="Dulces"/>
    <s v="Tortas Zaanse"/>
    <n v="76"/>
    <n v="77"/>
    <n v="5852"/>
    <n v="0.25"/>
    <n v="702.24"/>
    <n v="6553.99"/>
  </r>
  <r>
    <d v="2021-11-26T00:00:00"/>
    <s v="Nov"/>
    <n v="2021"/>
    <x v="47"/>
    <s v="Granos y Cereales"/>
    <s v="Gnocchi di nonna Alice"/>
    <n v="65"/>
    <n v="94"/>
    <n v="6110"/>
    <n v="0.25"/>
    <n v="733.19999999999993"/>
    <n v="6842.95"/>
  </r>
  <r>
    <d v="2021-11-26T00:00:00"/>
    <s v="Nov"/>
    <n v="2021"/>
    <x v="47"/>
    <s v="Granos y Cereales"/>
    <s v="Ravioli Angelo"/>
    <n v="62"/>
    <n v="60"/>
    <n v="3720"/>
    <n v="0.25"/>
    <n v="446.4"/>
    <n v="4166.1499999999996"/>
  </r>
  <r>
    <d v="2021-11-26T00:00:00"/>
    <s v="Nov"/>
    <n v="2021"/>
    <x v="47"/>
    <s v="Productos Lácteos"/>
    <s v="Gudbrandsdalsost"/>
    <n v="37"/>
    <n v="89"/>
    <n v="3293"/>
    <n v="0.25"/>
    <n v="395.15999999999997"/>
    <n v="3687.91"/>
  </r>
  <r>
    <d v="2021-11-27T00:00:00"/>
    <s v="Nov"/>
    <n v="2021"/>
    <x v="20"/>
    <s v="Mariscos"/>
    <s v="Tigres de Carnarvon"/>
    <n v="20"/>
    <n v="55"/>
    <n v="1100"/>
    <n v="0.20000000298023199"/>
    <n v="132"/>
    <n v="1231.7999999970198"/>
  </r>
  <r>
    <d v="2021-11-27T00:00:00"/>
    <s v="Nov"/>
    <n v="2021"/>
    <x v="20"/>
    <s v="Mariscos"/>
    <s v="Arenque en escabeche"/>
    <n v="17"/>
    <n v="94"/>
    <n v="1598"/>
    <n v="0.20000000298023199"/>
    <n v="191.76"/>
    <n v="1789.5599999970198"/>
  </r>
  <r>
    <d v="2021-11-27T00:00:00"/>
    <s v="Nov"/>
    <n v="2021"/>
    <x v="20"/>
    <s v="Dulces"/>
    <s v="Pan largo escocés"/>
    <n v="72"/>
    <n v="27"/>
    <n v="1944"/>
    <n v="0.20000000298023199"/>
    <n v="233.28"/>
    <n v="2177.07999999702"/>
  </r>
  <r>
    <d v="2021-11-27T00:00:00"/>
    <s v="Nov"/>
    <n v="2021"/>
    <x v="20"/>
    <s v="Productos Lácteos"/>
    <s v="Gudbrandsdalsost"/>
    <n v="5"/>
    <n v="39"/>
    <n v="195"/>
    <n v="0.20000000298023199"/>
    <n v="23.4"/>
    <n v="218.19999999701977"/>
  </r>
  <r>
    <d v="2021-11-27T00:00:00"/>
    <s v="Nov"/>
    <n v="2021"/>
    <x v="44"/>
    <s v="Productos Lácteos"/>
    <s v="Raclette Courdavault"/>
    <n v="100"/>
    <n v="92"/>
    <n v="9200"/>
    <n v="0"/>
    <n v="1104"/>
    <n v="10304"/>
  </r>
  <r>
    <d v="2021-11-27T00:00:00"/>
    <s v="Nov"/>
    <n v="2021"/>
    <x v="44"/>
    <s v="Dulces"/>
    <s v="Tarta de azúcar"/>
    <n v="18"/>
    <n v="38"/>
    <n v="684"/>
    <n v="0"/>
    <n v="82.08"/>
    <n v="766.08"/>
  </r>
  <r>
    <d v="2021-11-27T00:00:00"/>
    <s v="Nov"/>
    <n v="2021"/>
    <x v="44"/>
    <s v="Granos y Cereales"/>
    <s v="El buen Semmelknödel de Wimmer"/>
    <n v="59"/>
    <n v="93"/>
    <n v="5487"/>
    <n v="0"/>
    <n v="658.43999999999994"/>
    <n v="6145.44"/>
  </r>
  <r>
    <d v="2021-11-27T00:00:00"/>
    <s v="Nov"/>
    <n v="2021"/>
    <x v="44"/>
    <s v="Condimentos"/>
    <s v="Salsa de pimiento picante de Luisiana"/>
    <n v="95"/>
    <n v="77"/>
    <n v="7315"/>
    <n v="10"/>
    <n v="877.8"/>
    <n v="8182.8"/>
  </r>
  <r>
    <d v="2021-10-22T00:00:00"/>
    <s v="Oct"/>
    <n v="2021"/>
    <x v="85"/>
    <s v="Condimentos"/>
    <s v="Condimento Cajún del Chef Anton"/>
    <n v="11"/>
    <n v="43"/>
    <n v="473"/>
    <n v="5"/>
    <n v="56.76"/>
    <n v="524.76"/>
  </r>
  <r>
    <d v="2021-10-22T00:00:00"/>
    <s v="Oct"/>
    <n v="2021"/>
    <x v="85"/>
    <s v="Condimentos"/>
    <s v="Salsa de arándanos Northwoods"/>
    <n v="40"/>
    <n v="84"/>
    <n v="3360"/>
    <n v="2"/>
    <n v="403.2"/>
    <n v="3761.2"/>
  </r>
  <r>
    <d v="2021-10-22T00:00:00"/>
    <s v="Oct"/>
    <n v="2021"/>
    <x v="85"/>
    <s v="Condimentos"/>
    <s v="Salsa de pimiento picante de Luisiana"/>
    <n v="7"/>
    <n v="10"/>
    <n v="70"/>
    <n v="5"/>
    <n v="8.4"/>
    <n v="73.400000000000006"/>
  </r>
  <r>
    <d v="2021-10-22T00:00:00"/>
    <s v="Oct"/>
    <n v="2021"/>
    <x v="85"/>
    <s v="Condimentos"/>
    <s v="Gula Malacca"/>
    <n v="83"/>
    <n v="87"/>
    <n v="7221"/>
    <n v="3"/>
    <n v="866.52"/>
    <n v="8084.52"/>
  </r>
  <r>
    <d v="2021-11-02T00:00:00"/>
    <s v="Nov"/>
    <n v="2021"/>
    <x v="85"/>
    <s v="Condimentos"/>
    <s v="Salsa verde original de Frankfurt"/>
    <n v="47"/>
    <n v="38"/>
    <n v="1786"/>
    <n v="0"/>
    <n v="214.32"/>
    <n v="2000.32"/>
  </r>
  <r>
    <d v="2021-11-02T00:00:00"/>
    <s v="Nov"/>
    <n v="2021"/>
    <x v="85"/>
    <s v="Condimentos"/>
    <s v="Mezcla de Gumbo del Chef Anton"/>
    <n v="1"/>
    <n v="10"/>
    <n v="10"/>
    <n v="0"/>
    <n v="1.2"/>
    <n v="11.2"/>
  </r>
  <r>
    <d v="2021-11-14T00:00:00"/>
    <s v="Nov"/>
    <n v="2021"/>
    <x v="85"/>
    <s v="Condimentos"/>
    <s v="Salsa de pimiento picante de Luisiana"/>
    <n v="14"/>
    <n v="50"/>
    <n v="700"/>
    <n v="25"/>
    <n v="84"/>
    <n v="759"/>
  </r>
  <r>
    <d v="2021-11-14T00:00:00"/>
    <s v="Nov"/>
    <n v="2021"/>
    <x v="85"/>
    <s v="Condimentos"/>
    <s v="Okra picante de Louisiana"/>
    <n v="58"/>
    <n v="11"/>
    <n v="638"/>
    <n v="35"/>
    <n v="76.56"/>
    <n v="679.56"/>
  </r>
  <r>
    <d v="2021-11-19T00:00:00"/>
    <s v="Nov"/>
    <n v="2021"/>
    <x v="45"/>
    <s v="Productos Lácteos"/>
    <s v="Gorgonzola Telino"/>
    <n v="35"/>
    <n v="37"/>
    <n v="1295"/>
    <n v="0"/>
    <n v="155.4"/>
    <n v="1450.4"/>
  </r>
  <r>
    <d v="2021-11-19T00:00:00"/>
    <s v="Nov"/>
    <n v="2021"/>
    <x v="45"/>
    <s v="Mariscos"/>
    <s v="Sopa de almejas de Nueva Inglaterra de Jack"/>
    <n v="90"/>
    <n v="59"/>
    <n v="5310"/>
    <n v="0"/>
    <n v="637.19999999999993"/>
    <n v="5947.2"/>
  </r>
  <r>
    <d v="2021-11-19T00:00:00"/>
    <s v="Nov"/>
    <n v="2021"/>
    <x v="45"/>
    <s v="Condimentos"/>
    <s v="Crema de verduras"/>
    <n v="73"/>
    <n v="16"/>
    <n v="1168"/>
    <n v="0"/>
    <n v="140.16"/>
    <n v="1308.1600000000001"/>
  </r>
  <r>
    <d v="2021-11-19T00:00:00"/>
    <s v="Nov"/>
    <n v="2021"/>
    <x v="45"/>
    <s v="Productos Lácteos"/>
    <s v="Gudbrandsdalsost"/>
    <n v="42"/>
    <n v="64"/>
    <n v="2688"/>
    <n v="0"/>
    <n v="322.56"/>
    <n v="3010.56"/>
  </r>
  <r>
    <d v="2021-11-19T00:00:00"/>
    <s v="Nov"/>
    <n v="2021"/>
    <x v="45"/>
    <s v="Carnes y Aves"/>
    <s v="Paté chino"/>
    <n v="51"/>
    <n v="92"/>
    <n v="4692"/>
    <n v="25"/>
    <n v="563.04"/>
    <n v="5230.04"/>
  </r>
  <r>
    <d v="2021-11-17T00:00:00"/>
    <s v="Nov"/>
    <n v="2021"/>
    <x v="85"/>
    <s v="Carnes y Aves"/>
    <s v="Paté chino"/>
    <n v="99"/>
    <n v="89"/>
    <n v="8811"/>
    <n v="0"/>
    <n v="1057.32"/>
    <n v="9868.32"/>
  </r>
  <r>
    <d v="2021-11-18T00:00:00"/>
    <s v="Nov"/>
    <n v="2021"/>
    <x v="85"/>
    <s v="Granos y Cereales"/>
    <s v="Gnocchi di nonna Alice"/>
    <n v="89"/>
    <n v="27"/>
    <n v="2403"/>
    <n v="0"/>
    <n v="288.36"/>
    <n v="2691.36"/>
  </r>
  <r>
    <d v="2022-09-13T00:00:00"/>
    <s v="Sep"/>
    <n v="2022"/>
    <x v="85"/>
    <s v="Condimentos"/>
    <s v="Mezcla de Gumbo del Chef Anton"/>
    <n v="97"/>
    <n v="93"/>
    <n v="9021"/>
    <n v="0"/>
    <n v="1082.52"/>
    <n v="10103.52"/>
  </r>
  <r>
    <d v="2022-09-13T00:00:00"/>
    <s v="Sep"/>
    <n v="2022"/>
    <x v="85"/>
    <s v="Bebidas"/>
    <s v="Chang"/>
    <n v="16"/>
    <n v="31"/>
    <n v="496"/>
    <n v="0"/>
    <n v="59.519999999999996"/>
    <n v="555.52"/>
  </r>
  <r>
    <d v="2022-09-13T00:00:00"/>
    <s v="Sep"/>
    <n v="2022"/>
    <x v="85"/>
    <s v="Productos Lácteos"/>
    <s v="Queso Cabrales"/>
    <n v="75"/>
    <n v="68"/>
    <n v="5100"/>
    <n v="0"/>
    <n v="612"/>
    <n v="5712"/>
  </r>
  <r>
    <d v="2022-09-13T00:00:00"/>
    <s v="Sep"/>
    <n v="2022"/>
    <x v="85"/>
    <s v="Condimentos"/>
    <s v="Mezcla de Gumbo del Chef Anton"/>
    <n v="93"/>
    <n v="30"/>
    <n v="2790"/>
    <n v="0"/>
    <n v="334.8"/>
    <n v="3124.8"/>
  </r>
  <r>
    <d v="2022-09-13T00:00:00"/>
    <s v="Sep"/>
    <n v="2022"/>
    <x v="85"/>
    <s v="Mariscos"/>
    <s v="Ikura"/>
    <n v="59"/>
    <n v="48"/>
    <n v="2832"/>
    <n v="0"/>
    <n v="339.84"/>
    <n v="3171.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33F933-4BAE-42C0-9B56-6C806B10E9EF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2:D91" firstHeaderRow="1" firstDataRow="1" firstDataCol="1"/>
  <pivotFields count="12">
    <pivotField numFmtId="164" showAll="0"/>
    <pivotField showAll="0"/>
    <pivotField showAll="0"/>
    <pivotField axis="axisRow" showAll="0">
      <items count="89">
        <item x="20"/>
        <item x="28"/>
        <item x="25"/>
        <item x="38"/>
        <item x="1"/>
        <item x="71"/>
        <item x="57"/>
        <item x="52"/>
        <item x="58"/>
        <item x="51"/>
        <item x="12"/>
        <item x="86"/>
        <item x="29"/>
        <item x="19"/>
        <item x="8"/>
        <item x="81"/>
        <item x="26"/>
        <item x="87"/>
        <item x="59"/>
        <item x="72"/>
        <item x="65"/>
        <item x="15"/>
        <item x="66"/>
        <item x="16"/>
        <item x="37"/>
        <item x="10"/>
        <item x="53"/>
        <item x="23"/>
        <item x="42"/>
        <item x="77"/>
        <item x="55"/>
        <item x="41"/>
        <item x="82"/>
        <item x="67"/>
        <item x="80"/>
        <item x="49"/>
        <item x="83"/>
        <item x="30"/>
        <item x="40"/>
        <item x="48"/>
        <item x="75"/>
        <item x="64"/>
        <item x="44"/>
        <item x="36"/>
        <item x="50"/>
        <item x="73"/>
        <item x="47"/>
        <item x="46"/>
        <item x="84"/>
        <item x="39"/>
        <item x="61"/>
        <item x="18"/>
        <item x="85"/>
        <item x="2"/>
        <item x="14"/>
        <item x="45"/>
        <item x="68"/>
        <item x="0"/>
        <item x="31"/>
        <item x="3"/>
        <item x="24"/>
        <item x="6"/>
        <item x="21"/>
        <item x="60"/>
        <item x="70"/>
        <item x="4"/>
        <item x="34"/>
        <item x="79"/>
        <item x="22"/>
        <item x="7"/>
        <item x="13"/>
        <item x="33"/>
        <item x="17"/>
        <item x="43"/>
        <item x="27"/>
        <item x="11"/>
        <item x="35"/>
        <item x="9"/>
        <item x="74"/>
        <item x="78"/>
        <item x="56"/>
        <item x="54"/>
        <item x="32"/>
        <item x="5"/>
        <item x="63"/>
        <item x="76"/>
        <item x="69"/>
        <item x="62"/>
        <item t="default"/>
      </items>
    </pivotField>
    <pivotField showAll="0"/>
    <pivotField showAll="0"/>
    <pivotField showAll="0"/>
    <pivotField numFmtId="165" showAll="0"/>
    <pivotField numFmtId="165" showAll="0"/>
    <pivotField numFmtId="165" showAll="0"/>
    <pivotField numFmtId="165" showAll="0"/>
    <pivotField dataField="1" numFmtId="165" showAll="0"/>
  </pivotFields>
  <rowFields count="1">
    <field x="3"/>
  </rowFields>
  <rowItems count="8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 t="grand">
      <x/>
    </i>
  </rowItems>
  <colItems count="1">
    <i/>
  </colItems>
  <dataFields count="1">
    <dataField name="Suma de Total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A2F6D-926F-4CFD-B11A-B3F8192F31A2}">
  <sheetPr codeName="Hoja2">
    <tabColor theme="4"/>
  </sheetPr>
  <dimension ref="A1:Q88"/>
  <sheetViews>
    <sheetView showGridLines="0" workbookViewId="0">
      <pane xSplit="1" topLeftCell="B1" activePane="topRight" state="frozen"/>
      <selection pane="topRight" activeCell="E18" sqref="E18"/>
    </sheetView>
  </sheetViews>
  <sheetFormatPr baseColWidth="10" defaultRowHeight="14.4" x14ac:dyDescent="0.3"/>
  <cols>
    <col min="1" max="1" width="20.6640625" customWidth="1"/>
    <col min="2" max="2" width="10.6640625" customWidth="1"/>
    <col min="4" max="4" width="15.33203125" customWidth="1"/>
    <col min="17" max="17" width="0" hidden="1" customWidth="1"/>
  </cols>
  <sheetData>
    <row r="1" spans="1:17" ht="15" customHeight="1" x14ac:dyDescent="0.3">
      <c r="A1" s="28" t="s">
        <v>203</v>
      </c>
      <c r="Q1" t="str" cm="1">
        <f t="array" ref="Q1:Q88">_xlfn.UNIQUE(BaseDeDatos!$F$2:$F$2422)</f>
        <v>Matias Contreras</v>
      </c>
    </row>
    <row r="2" spans="1:17" ht="15" customHeight="1" x14ac:dyDescent="0.3">
      <c r="A2" s="28"/>
      <c r="C2" s="18" t="s">
        <v>198</v>
      </c>
      <c r="Q2" t="str">
        <v>Anabela Domingues</v>
      </c>
    </row>
    <row r="3" spans="1:17" ht="15" customHeight="1" x14ac:dyDescent="0.3">
      <c r="A3" s="21"/>
      <c r="Q3" t="str">
        <v>María Fuentes</v>
      </c>
    </row>
    <row r="4" spans="1:17" ht="15" customHeight="1" x14ac:dyDescent="0.3">
      <c r="A4" s="21"/>
      <c r="Q4" t="str">
        <v>Mery Saavedra</v>
      </c>
    </row>
    <row r="5" spans="1:17" ht="15" customHeight="1" x14ac:dyDescent="0.3">
      <c r="A5" s="21"/>
      <c r="Q5" t="str">
        <v>Pascual Cartagena</v>
      </c>
    </row>
    <row r="6" spans="1:17" ht="15" customHeight="1" x14ac:dyDescent="0.3">
      <c r="A6" s="21"/>
      <c r="C6" s="1" t="s">
        <v>0</v>
      </c>
      <c r="D6" s="2" t="s">
        <v>1</v>
      </c>
      <c r="E6" s="3" t="s">
        <v>2</v>
      </c>
      <c r="F6" s="4" t="s">
        <v>3</v>
      </c>
      <c r="G6" s="5" t="s">
        <v>4</v>
      </c>
      <c r="H6" s="5" t="s">
        <v>5</v>
      </c>
      <c r="I6" s="5" t="s">
        <v>6</v>
      </c>
      <c r="J6" s="2" t="s">
        <v>7</v>
      </c>
      <c r="K6" s="2" t="s">
        <v>8</v>
      </c>
      <c r="L6" s="2" t="s">
        <v>9</v>
      </c>
      <c r="M6" s="2" t="s">
        <v>10</v>
      </c>
      <c r="N6" s="2" t="s">
        <v>11</v>
      </c>
      <c r="Q6" t="str">
        <v>Yolanda Wilches</v>
      </c>
    </row>
    <row r="7" spans="1:17" ht="15" customHeight="1" x14ac:dyDescent="0.3">
      <c r="A7" s="21"/>
      <c r="Q7" t="str">
        <v>Miguel Loja</v>
      </c>
    </row>
    <row r="8" spans="1:17" ht="15" customHeight="1" x14ac:dyDescent="0.3">
      <c r="A8" s="21"/>
      <c r="Q8" t="str">
        <v>Paul Paredes</v>
      </c>
    </row>
    <row r="9" spans="1:17" ht="15" customHeight="1" x14ac:dyDescent="0.3">
      <c r="A9" s="21"/>
      <c r="Q9" t="str">
        <v>Carlos López</v>
      </c>
    </row>
    <row r="10" spans="1:17" ht="15" customHeight="1" x14ac:dyDescent="0.3">
      <c r="A10" s="21"/>
      <c r="Q10" t="str">
        <v>Rolando Mendez</v>
      </c>
    </row>
    <row r="11" spans="1:17" ht="15" customHeight="1" x14ac:dyDescent="0.3">
      <c r="A11" s="21"/>
      <c r="Q11" t="str">
        <v>Franco Cholter</v>
      </c>
    </row>
    <row r="12" spans="1:17" ht="15" customHeight="1" x14ac:dyDescent="0.3">
      <c r="A12" s="21"/>
      <c r="Q12" t="str">
        <v>Rene Ramirez</v>
      </c>
    </row>
    <row r="13" spans="1:17" ht="15" customHeight="1" x14ac:dyDescent="0.3">
      <c r="A13" s="21"/>
      <c r="Q13" t="str">
        <v>Bernarda Buestan</v>
      </c>
    </row>
    <row r="14" spans="1:17" ht="15" customHeight="1" x14ac:dyDescent="0.3">
      <c r="A14" s="21"/>
      <c r="Q14" t="str">
        <v>Paula Velez</v>
      </c>
    </row>
    <row r="15" spans="1:17" ht="15" customHeight="1" x14ac:dyDescent="0.3">
      <c r="A15" s="21"/>
      <c r="Q15" t="str">
        <v>María Lazzo</v>
      </c>
    </row>
    <row r="16" spans="1:17" ht="15" customHeight="1" x14ac:dyDescent="0.3">
      <c r="A16" s="21"/>
      <c r="Q16" t="str">
        <v>Federico Casas</v>
      </c>
    </row>
    <row r="17" spans="1:17" ht="15" customHeight="1" x14ac:dyDescent="0.3">
      <c r="A17" s="21"/>
      <c r="Q17" t="str">
        <v>Felipe Nunes</v>
      </c>
    </row>
    <row r="18" spans="1:17" ht="15" customHeight="1" x14ac:dyDescent="0.3">
      <c r="A18" s="21"/>
      <c r="Q18" t="str">
        <v>Pedro Franco</v>
      </c>
    </row>
    <row r="19" spans="1:17" ht="15" customHeight="1" x14ac:dyDescent="0.3">
      <c r="A19" s="21"/>
      <c r="Q19" t="str">
        <v>Manuel Pereira</v>
      </c>
    </row>
    <row r="20" spans="1:17" ht="15" customHeight="1" x14ac:dyDescent="0.3">
      <c r="A20" s="21"/>
      <c r="Q20" t="str">
        <v>Carlos Jacobo</v>
      </c>
    </row>
    <row r="21" spans="1:17" ht="15" customHeight="1" x14ac:dyDescent="0.3">
      <c r="A21" s="21"/>
      <c r="Q21" t="str">
        <v>Alan Bermudez</v>
      </c>
    </row>
    <row r="22" spans="1:17" ht="15" customHeight="1" x14ac:dyDescent="0.3">
      <c r="A22" s="21"/>
      <c r="Q22" t="str">
        <v>Miguel Loja Hernandez</v>
      </c>
    </row>
    <row r="23" spans="1:17" ht="15" customHeight="1" x14ac:dyDescent="0.3">
      <c r="A23" s="21"/>
      <c r="Q23" t="str">
        <v>Paul Henriot</v>
      </c>
    </row>
    <row r="24" spans="1:17" ht="15" customHeight="1" x14ac:dyDescent="0.3">
      <c r="A24" s="21"/>
      <c r="Q24" t="str">
        <v>Geovanny Rojas</v>
      </c>
    </row>
    <row r="25" spans="1:17" ht="15" customHeight="1" x14ac:dyDescent="0.3">
      <c r="A25" s="21"/>
      <c r="Q25" t="str">
        <v>Miguel Angel Palacios</v>
      </c>
    </row>
    <row r="26" spans="1:17" ht="14.25" customHeight="1" x14ac:dyDescent="0.3">
      <c r="A26" s="21"/>
      <c r="Q26" t="str">
        <v>Alex Ferrero</v>
      </c>
    </row>
    <row r="27" spans="1:17" ht="14.25" customHeight="1" x14ac:dyDescent="0.3">
      <c r="A27" s="21"/>
      <c r="Q27" t="str">
        <v>Christian Vicuña</v>
      </c>
    </row>
    <row r="28" spans="1:17" ht="14.25" customHeight="1" x14ac:dyDescent="0.3">
      <c r="A28" s="21"/>
      <c r="Q28" t="str">
        <v>Renato Meneses</v>
      </c>
    </row>
    <row r="29" spans="1:17" ht="53.7" customHeight="1" x14ac:dyDescent="0.3">
      <c r="A29" s="21"/>
      <c r="Q29" t="str">
        <v>Alejandra Camino</v>
      </c>
    </row>
    <row r="30" spans="1:17" x14ac:dyDescent="0.3">
      <c r="A30" s="21"/>
      <c r="Q30" t="str">
        <v>Carlos González</v>
      </c>
    </row>
    <row r="31" spans="1:17" x14ac:dyDescent="0.3">
      <c r="A31" s="21"/>
      <c r="Q31" t="str">
        <v>Janete Limeira</v>
      </c>
    </row>
    <row r="32" spans="1:17" x14ac:dyDescent="0.3">
      <c r="A32" s="21"/>
      <c r="Q32" t="str">
        <v>Maurizio Moroni</v>
      </c>
    </row>
    <row r="33" spans="1:17" x14ac:dyDescent="0.3">
      <c r="A33" s="21"/>
      <c r="Q33" t="str">
        <v>Victoria Ashworth</v>
      </c>
    </row>
    <row r="34" spans="1:17" x14ac:dyDescent="0.3">
      <c r="Q34" t="str">
        <v>Pedro Afonso</v>
      </c>
    </row>
    <row r="35" spans="1:17" x14ac:dyDescent="0.3">
      <c r="Q35" t="str">
        <v>Patricia McKenna</v>
      </c>
    </row>
    <row r="36" spans="1:17" x14ac:dyDescent="0.3">
      <c r="Q36" t="str">
        <v>Rita Müller</v>
      </c>
    </row>
    <row r="37" spans="1:17" x14ac:dyDescent="0.3">
      <c r="Q37" t="str">
        <v>José Pedro Freyre</v>
      </c>
    </row>
    <row r="38" spans="1:17" x14ac:dyDescent="0.3">
      <c r="Q38" t="str">
        <v>Fran Wilson</v>
      </c>
    </row>
    <row r="39" spans="1:17" x14ac:dyDescent="0.3">
      <c r="Q39" t="str">
        <v>Ana Trujillo</v>
      </c>
    </row>
    <row r="40" spans="1:17" x14ac:dyDescent="0.3">
      <c r="Q40" t="str">
        <v>Liz Nixon</v>
      </c>
    </row>
    <row r="41" spans="1:17" x14ac:dyDescent="0.3">
      <c r="Q41" t="str">
        <v>Janine Labrune</v>
      </c>
    </row>
    <row r="42" spans="1:17" x14ac:dyDescent="0.3">
      <c r="Q42" t="str">
        <v>Helen Bennett</v>
      </c>
    </row>
    <row r="43" spans="1:17" x14ac:dyDescent="0.3">
      <c r="Q43" t="str">
        <v>Guillermo Fernández</v>
      </c>
    </row>
    <row r="44" spans="1:17" x14ac:dyDescent="0.3">
      <c r="Q44" t="str">
        <v>Philip Cramer</v>
      </c>
    </row>
    <row r="45" spans="1:17" x14ac:dyDescent="0.3">
      <c r="Q45" t="str">
        <v>Jose Pavarotti</v>
      </c>
    </row>
    <row r="46" spans="1:17" x14ac:dyDescent="0.3">
      <c r="Q46" t="str">
        <v>Martín Sommer</v>
      </c>
    </row>
    <row r="47" spans="1:17" x14ac:dyDescent="0.3">
      <c r="Q47" t="str">
        <v>Lino Rodriguez</v>
      </c>
    </row>
    <row r="48" spans="1:17" x14ac:dyDescent="0.3">
      <c r="Q48" t="str">
        <v>Laurence Lebihan</v>
      </c>
    </row>
    <row r="49" spans="17:17" x14ac:dyDescent="0.3">
      <c r="Q49" t="str">
        <v>Jean Fresnière</v>
      </c>
    </row>
    <row r="50" spans="17:17" x14ac:dyDescent="0.3">
      <c r="Q50" t="str">
        <v>Isabel de Castro</v>
      </c>
    </row>
    <row r="51" spans="17:17" x14ac:dyDescent="0.3">
      <c r="Q51" t="str">
        <v>Jytte Petersen</v>
      </c>
    </row>
    <row r="52" spans="17:17" x14ac:dyDescent="0.3">
      <c r="Q52" t="str">
        <v>Aria Cruz</v>
      </c>
    </row>
    <row r="53" spans="17:17" x14ac:dyDescent="0.3">
      <c r="Q53" t="str">
        <v>Annette Roulet</v>
      </c>
    </row>
    <row r="54" spans="17:17" x14ac:dyDescent="0.3">
      <c r="Q54" t="str">
        <v>Georg Pipps</v>
      </c>
    </row>
    <row r="55" spans="17:17" x14ac:dyDescent="0.3">
      <c r="Q55" t="str">
        <v>Thomas Hardy</v>
      </c>
    </row>
    <row r="56" spans="17:17" x14ac:dyDescent="0.3">
      <c r="Q56" t="str">
        <v>Hari Kumar</v>
      </c>
    </row>
    <row r="57" spans="17:17" x14ac:dyDescent="0.3">
      <c r="Q57" t="str">
        <v>Sven Ottlieb</v>
      </c>
    </row>
    <row r="58" spans="17:17" x14ac:dyDescent="0.3">
      <c r="Q58" t="str">
        <v>Ann Devon</v>
      </c>
    </row>
    <row r="59" spans="17:17" x14ac:dyDescent="0.3">
      <c r="Q59" t="str">
        <v>Antonio Moreno</v>
      </c>
    </row>
    <row r="60" spans="17:17" x14ac:dyDescent="0.3">
      <c r="Q60" t="str">
        <v>Eduardo Saavedra</v>
      </c>
    </row>
    <row r="61" spans="17:17" x14ac:dyDescent="0.3">
      <c r="Q61" t="str">
        <v>Palle Ibsen</v>
      </c>
    </row>
    <row r="62" spans="17:17" x14ac:dyDescent="0.3">
      <c r="Q62" t="str">
        <v>Lúcia Carvalho</v>
      </c>
    </row>
    <row r="63" spans="17:17" x14ac:dyDescent="0.3">
      <c r="Q63" t="str">
        <v>Zbyszek Piestrzeniewicz</v>
      </c>
    </row>
    <row r="64" spans="17:17" x14ac:dyDescent="0.3">
      <c r="Q64" t="str">
        <v>Yoshi Latimer</v>
      </c>
    </row>
    <row r="65" spans="17:17" x14ac:dyDescent="0.3">
      <c r="Q65" t="str">
        <v>Jonas Bergulfsen</v>
      </c>
    </row>
    <row r="66" spans="17:17" x14ac:dyDescent="0.3">
      <c r="Q66" t="str">
        <v>Elizabeth Lincoln</v>
      </c>
    </row>
    <row r="67" spans="17:17" x14ac:dyDescent="0.3">
      <c r="Q67" t="str">
        <v>Felipe Izquierdo</v>
      </c>
    </row>
    <row r="68" spans="17:17" x14ac:dyDescent="0.3">
      <c r="Q68" t="str">
        <v>Henriette Pfalzheim</v>
      </c>
    </row>
    <row r="69" spans="17:17" x14ac:dyDescent="0.3">
      <c r="Q69" t="str">
        <v>Martine Rancé</v>
      </c>
    </row>
    <row r="70" spans="17:17" x14ac:dyDescent="0.3">
      <c r="Q70" t="str">
        <v>Yvonne Moncada</v>
      </c>
    </row>
    <row r="71" spans="17:17" x14ac:dyDescent="0.3">
      <c r="Q71" t="str">
        <v>Paolo Accorti</v>
      </c>
    </row>
    <row r="72" spans="17:17" x14ac:dyDescent="0.3">
      <c r="Q72" t="str">
        <v>André Fonseca</v>
      </c>
    </row>
    <row r="73" spans="17:17" x14ac:dyDescent="0.3">
      <c r="Q73" t="str">
        <v>Elizabeth Brown</v>
      </c>
    </row>
    <row r="74" spans="17:17" x14ac:dyDescent="0.3">
      <c r="Q74" t="str">
        <v>Karin Josephs</v>
      </c>
    </row>
    <row r="75" spans="17:17" x14ac:dyDescent="0.3">
      <c r="Q75" t="str">
        <v>Sergio Gutiérrez</v>
      </c>
    </row>
    <row r="76" spans="17:17" x14ac:dyDescent="0.3">
      <c r="Q76" t="str">
        <v>John Steel</v>
      </c>
    </row>
    <row r="77" spans="17:17" x14ac:dyDescent="0.3">
      <c r="Q77" t="str">
        <v>Yoshi Tannamuri</v>
      </c>
    </row>
    <row r="78" spans="17:17" x14ac:dyDescent="0.3">
      <c r="Q78" t="str">
        <v>Hanna Moos</v>
      </c>
    </row>
    <row r="79" spans="17:17" x14ac:dyDescent="0.3">
      <c r="Q79" t="str">
        <v>Simon Crowther</v>
      </c>
    </row>
    <row r="80" spans="17:17" x14ac:dyDescent="0.3">
      <c r="Q80" t="str">
        <v>Patricio Simpson</v>
      </c>
    </row>
    <row r="81" spans="17:17" x14ac:dyDescent="0.3">
      <c r="Q81" t="str">
        <v>Howard Snyder</v>
      </c>
    </row>
    <row r="82" spans="17:17" x14ac:dyDescent="0.3">
      <c r="Q82" t="str">
        <v>Catherine Dewey</v>
      </c>
    </row>
    <row r="83" spans="17:17" x14ac:dyDescent="0.3">
      <c r="Q83" t="str">
        <v>Helvetius Nagy</v>
      </c>
    </row>
    <row r="84" spans="17:17" x14ac:dyDescent="0.3">
      <c r="Q84" t="str">
        <v>Jaime Yorres</v>
      </c>
    </row>
    <row r="85" spans="17:17" x14ac:dyDescent="0.3">
      <c r="Q85" t="str">
        <v>Liu Wong</v>
      </c>
    </row>
    <row r="86" spans="17:17" x14ac:dyDescent="0.3">
      <c r="Q86" t="str">
        <v>Maria Anders</v>
      </c>
    </row>
    <row r="87" spans="17:17" x14ac:dyDescent="0.3">
      <c r="Q87" t="str">
        <v>Carine Schmitt</v>
      </c>
    </row>
    <row r="88" spans="17:17" x14ac:dyDescent="0.3">
      <c r="Q88" t="str">
        <v>Dominique Perrier</v>
      </c>
    </row>
  </sheetData>
  <mergeCells count="1">
    <mergeCell ref="A1:A2"/>
  </mergeCells>
  <dataValidations count="1">
    <dataValidation type="list" allowBlank="1" showInputMessage="1" showErrorMessage="1" sqref="D2" xr:uid="{3BF52472-4F98-4F8F-AF77-08AEE4824164}">
      <formula1>$Q$1:$Q$86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83A8A-869E-4F2B-9236-323A73683D42}">
  <sheetPr codeName="Hoja1">
    <tabColor rgb="FFFF0000"/>
  </sheetPr>
  <dimension ref="A1:N2422"/>
  <sheetViews>
    <sheetView showGridLines="0" tabSelected="1" workbookViewId="0">
      <pane xSplit="1" topLeftCell="B1" activePane="topRight" state="frozen"/>
      <selection pane="topRight" activeCell="C8" sqref="C8"/>
    </sheetView>
  </sheetViews>
  <sheetFormatPr baseColWidth="10" defaultRowHeight="14.4" x14ac:dyDescent="0.3"/>
  <cols>
    <col min="1" max="1" width="20.6640625" customWidth="1"/>
    <col min="2" max="2" width="10.6640625" customWidth="1"/>
    <col min="3" max="3" width="10.5546875" bestFit="1" customWidth="1"/>
    <col min="4" max="4" width="4.77734375" bestFit="1" customWidth="1"/>
    <col min="5" max="5" width="5" bestFit="1" customWidth="1"/>
    <col min="6" max="6" width="18" bestFit="1" customWidth="1"/>
    <col min="7" max="7" width="17.44140625" bestFit="1" customWidth="1"/>
    <col min="8" max="8" width="33" bestFit="1" customWidth="1"/>
    <col min="9" max="9" width="7.33203125" bestFit="1" customWidth="1"/>
    <col min="10" max="10" width="9.77734375" bestFit="1" customWidth="1"/>
    <col min="11" max="11" width="9.109375" bestFit="1" customWidth="1"/>
    <col min="12" max="12" width="10" customWidth="1"/>
    <col min="13" max="14" width="9.109375" bestFit="1" customWidth="1"/>
  </cols>
  <sheetData>
    <row r="1" spans="1:14" ht="15" customHeight="1" x14ac:dyDescent="0.3">
      <c r="A1" s="28" t="s">
        <v>203</v>
      </c>
      <c r="C1" s="1" t="s">
        <v>0</v>
      </c>
      <c r="D1" s="2" t="s">
        <v>1</v>
      </c>
      <c r="E1" s="3" t="s">
        <v>2</v>
      </c>
      <c r="F1" s="4" t="s">
        <v>199</v>
      </c>
      <c r="G1" s="5" t="s">
        <v>4</v>
      </c>
      <c r="H1" s="5" t="s">
        <v>5</v>
      </c>
      <c r="I1" s="5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</row>
    <row r="2" spans="1:14" ht="15" customHeight="1" x14ac:dyDescent="0.3">
      <c r="A2" s="28"/>
      <c r="C2" s="6">
        <v>43650</v>
      </c>
      <c r="D2" s="7" t="s">
        <v>12</v>
      </c>
      <c r="E2" s="8">
        <v>2019</v>
      </c>
      <c r="F2" s="9" t="s">
        <v>13</v>
      </c>
      <c r="G2" s="9" t="s">
        <v>14</v>
      </c>
      <c r="H2" s="10" t="s">
        <v>15</v>
      </c>
      <c r="I2" s="7">
        <v>25</v>
      </c>
      <c r="J2" s="11">
        <v>72</v>
      </c>
      <c r="K2" s="11">
        <f>J2*I2</f>
        <v>1800</v>
      </c>
      <c r="L2" s="11">
        <v>0</v>
      </c>
      <c r="M2" s="11">
        <v>216</v>
      </c>
      <c r="N2" s="11">
        <f>K2-L2+M2</f>
        <v>2016</v>
      </c>
    </row>
    <row r="3" spans="1:14" ht="15" customHeight="1" x14ac:dyDescent="0.3">
      <c r="A3" s="21"/>
      <c r="C3" s="22">
        <v>43650</v>
      </c>
      <c r="D3" s="23" t="s">
        <v>12</v>
      </c>
      <c r="E3" s="24">
        <v>2019</v>
      </c>
      <c r="F3" s="25" t="s">
        <v>13</v>
      </c>
      <c r="G3" s="25" t="s">
        <v>16</v>
      </c>
      <c r="H3" s="26" t="s">
        <v>17</v>
      </c>
      <c r="I3" s="23">
        <v>33</v>
      </c>
      <c r="J3" s="27">
        <v>40</v>
      </c>
      <c r="K3" s="27">
        <f t="shared" ref="K3:K66" si="0">J3*I3</f>
        <v>1320</v>
      </c>
      <c r="L3" s="27">
        <v>0</v>
      </c>
      <c r="M3" s="27">
        <v>158.4</v>
      </c>
      <c r="N3" s="27">
        <f t="shared" ref="N3:N66" si="1">K3-L3+M3</f>
        <v>1478.4</v>
      </c>
    </row>
    <row r="4" spans="1:14" ht="15" customHeight="1" x14ac:dyDescent="0.3">
      <c r="A4" s="21"/>
      <c r="C4" s="6">
        <v>43650</v>
      </c>
      <c r="D4" s="7" t="s">
        <v>12</v>
      </c>
      <c r="E4" s="8">
        <v>2019</v>
      </c>
      <c r="F4" s="9" t="s">
        <v>13</v>
      </c>
      <c r="G4" s="9" t="s">
        <v>14</v>
      </c>
      <c r="H4" s="10" t="s">
        <v>18</v>
      </c>
      <c r="I4" s="7">
        <v>3</v>
      </c>
      <c r="J4" s="11">
        <v>57</v>
      </c>
      <c r="K4" s="11">
        <f t="shared" si="0"/>
        <v>171</v>
      </c>
      <c r="L4" s="11">
        <v>0</v>
      </c>
      <c r="M4" s="11">
        <v>20.52</v>
      </c>
      <c r="N4" s="11">
        <f t="shared" si="1"/>
        <v>191.52</v>
      </c>
    </row>
    <row r="5" spans="1:14" ht="15" customHeight="1" x14ac:dyDescent="0.3">
      <c r="A5" s="21"/>
      <c r="C5" s="6">
        <v>43651</v>
      </c>
      <c r="D5" s="7" t="s">
        <v>12</v>
      </c>
      <c r="E5" s="8">
        <v>2019</v>
      </c>
      <c r="F5" s="9" t="s">
        <v>19</v>
      </c>
      <c r="G5" s="9" t="s">
        <v>20</v>
      </c>
      <c r="H5" s="10" t="s">
        <v>21</v>
      </c>
      <c r="I5" s="7">
        <v>98</v>
      </c>
      <c r="J5" s="11">
        <v>84</v>
      </c>
      <c r="K5" s="11">
        <f t="shared" si="0"/>
        <v>8232</v>
      </c>
      <c r="L5" s="11">
        <v>0</v>
      </c>
      <c r="M5" s="11">
        <v>987.83999999999992</v>
      </c>
      <c r="N5" s="11">
        <f t="shared" si="1"/>
        <v>9219.84</v>
      </c>
    </row>
    <row r="6" spans="1:14" ht="15" customHeight="1" x14ac:dyDescent="0.3">
      <c r="A6" s="21"/>
      <c r="C6" s="6">
        <v>43651</v>
      </c>
      <c r="D6" s="7" t="s">
        <v>12</v>
      </c>
      <c r="E6" s="8">
        <v>2019</v>
      </c>
      <c r="F6" s="9" t="s">
        <v>19</v>
      </c>
      <c r="G6" s="9" t="s">
        <v>20</v>
      </c>
      <c r="H6" s="10" t="s">
        <v>22</v>
      </c>
      <c r="I6" s="7">
        <v>93</v>
      </c>
      <c r="J6" s="11">
        <v>10</v>
      </c>
      <c r="K6" s="11">
        <f t="shared" si="0"/>
        <v>930</v>
      </c>
      <c r="L6" s="11">
        <v>0</v>
      </c>
      <c r="M6" s="11">
        <v>111.6</v>
      </c>
      <c r="N6" s="11">
        <f t="shared" si="1"/>
        <v>1041.5999999999999</v>
      </c>
    </row>
    <row r="7" spans="1:14" ht="15" customHeight="1" x14ac:dyDescent="0.3">
      <c r="A7" s="21"/>
      <c r="C7" s="6">
        <v>43654</v>
      </c>
      <c r="D7" s="7" t="s">
        <v>12</v>
      </c>
      <c r="E7" s="8">
        <v>2019</v>
      </c>
      <c r="F7" s="9" t="s">
        <v>23</v>
      </c>
      <c r="G7" s="9" t="s">
        <v>24</v>
      </c>
      <c r="H7" s="10" t="s">
        <v>25</v>
      </c>
      <c r="I7" s="7">
        <v>88</v>
      </c>
      <c r="J7" s="11">
        <v>76</v>
      </c>
      <c r="K7" s="11">
        <f t="shared" si="0"/>
        <v>6688</v>
      </c>
      <c r="L7" s="11">
        <v>0</v>
      </c>
      <c r="M7" s="11">
        <v>802.56</v>
      </c>
      <c r="N7" s="11">
        <f t="shared" si="1"/>
        <v>7490.5599999999995</v>
      </c>
    </row>
    <row r="8" spans="1:14" ht="15" customHeight="1" x14ac:dyDescent="0.3">
      <c r="A8" s="21"/>
      <c r="C8" s="6">
        <v>43654</v>
      </c>
      <c r="D8" s="7" t="s">
        <v>12</v>
      </c>
      <c r="E8" s="8">
        <v>2019</v>
      </c>
      <c r="F8" s="9" t="s">
        <v>23</v>
      </c>
      <c r="G8" s="9" t="s">
        <v>20</v>
      </c>
      <c r="H8" s="10" t="s">
        <v>22</v>
      </c>
      <c r="I8" s="7">
        <v>24</v>
      </c>
      <c r="J8" s="11">
        <v>13</v>
      </c>
      <c r="K8" s="11">
        <f t="shared" si="0"/>
        <v>312</v>
      </c>
      <c r="L8" s="11">
        <v>0.15000000596046401</v>
      </c>
      <c r="M8" s="11">
        <v>37.44</v>
      </c>
      <c r="N8" s="11">
        <f t="shared" si="1"/>
        <v>349.28999999403953</v>
      </c>
    </row>
    <row r="9" spans="1:14" ht="15" customHeight="1" x14ac:dyDescent="0.3">
      <c r="A9" s="21"/>
      <c r="C9" s="6">
        <v>43654</v>
      </c>
      <c r="D9" s="7" t="s">
        <v>12</v>
      </c>
      <c r="E9" s="8">
        <v>2019</v>
      </c>
      <c r="F9" s="9" t="s">
        <v>23</v>
      </c>
      <c r="G9" s="9" t="s">
        <v>26</v>
      </c>
      <c r="H9" s="10" t="s">
        <v>27</v>
      </c>
      <c r="I9" s="7">
        <v>34</v>
      </c>
      <c r="J9" s="11">
        <v>55</v>
      </c>
      <c r="K9" s="11">
        <f t="shared" si="0"/>
        <v>1870</v>
      </c>
      <c r="L9" s="11">
        <v>0.15000000596046401</v>
      </c>
      <c r="M9" s="11">
        <v>224.4</v>
      </c>
      <c r="N9" s="11">
        <f t="shared" si="1"/>
        <v>2094.2499999940396</v>
      </c>
    </row>
    <row r="10" spans="1:14" ht="15" customHeight="1" x14ac:dyDescent="0.3">
      <c r="A10" s="21"/>
      <c r="C10" s="6">
        <v>43654</v>
      </c>
      <c r="D10" s="7" t="s">
        <v>12</v>
      </c>
      <c r="E10" s="8">
        <v>2019</v>
      </c>
      <c r="F10" s="9" t="s">
        <v>28</v>
      </c>
      <c r="G10" s="9" t="s">
        <v>16</v>
      </c>
      <c r="H10" s="10" t="s">
        <v>29</v>
      </c>
      <c r="I10" s="7">
        <v>37</v>
      </c>
      <c r="J10" s="11">
        <v>34</v>
      </c>
      <c r="K10" s="11">
        <f t="shared" si="0"/>
        <v>1258</v>
      </c>
      <c r="L10" s="11">
        <v>5.0000000745058101E-2</v>
      </c>
      <c r="M10" s="11">
        <v>150.96</v>
      </c>
      <c r="N10" s="11">
        <f t="shared" si="1"/>
        <v>1408.909999999255</v>
      </c>
    </row>
    <row r="11" spans="1:14" ht="15" customHeight="1" x14ac:dyDescent="0.3">
      <c r="A11" s="21"/>
      <c r="C11" s="6">
        <v>43654</v>
      </c>
      <c r="D11" s="7" t="s">
        <v>12</v>
      </c>
      <c r="E11" s="8">
        <v>2019</v>
      </c>
      <c r="F11" s="9" t="s">
        <v>28</v>
      </c>
      <c r="G11" s="9" t="s">
        <v>16</v>
      </c>
      <c r="H11" s="10" t="s">
        <v>30</v>
      </c>
      <c r="I11" s="7">
        <v>28</v>
      </c>
      <c r="J11" s="11">
        <v>24</v>
      </c>
      <c r="K11" s="11">
        <f t="shared" si="0"/>
        <v>672</v>
      </c>
      <c r="L11" s="11">
        <v>5.0000000745058101E-2</v>
      </c>
      <c r="M11" s="11">
        <v>80.64</v>
      </c>
      <c r="N11" s="11">
        <f t="shared" si="1"/>
        <v>752.58999999925493</v>
      </c>
    </row>
    <row r="12" spans="1:14" ht="15" customHeight="1" x14ac:dyDescent="0.3">
      <c r="A12" s="21"/>
      <c r="C12" s="6">
        <v>43654</v>
      </c>
      <c r="D12" s="7" t="s">
        <v>12</v>
      </c>
      <c r="E12" s="8">
        <v>2019</v>
      </c>
      <c r="F12" s="9" t="s">
        <v>28</v>
      </c>
      <c r="G12" s="9" t="s">
        <v>26</v>
      </c>
      <c r="H12" s="10" t="s">
        <v>27</v>
      </c>
      <c r="I12" s="7">
        <v>34</v>
      </c>
      <c r="J12" s="11">
        <v>84</v>
      </c>
      <c r="K12" s="11">
        <f t="shared" si="0"/>
        <v>2856</v>
      </c>
      <c r="L12" s="11">
        <v>0</v>
      </c>
      <c r="M12" s="11">
        <v>342.71999999999997</v>
      </c>
      <c r="N12" s="11">
        <f t="shared" si="1"/>
        <v>3198.72</v>
      </c>
    </row>
    <row r="13" spans="1:14" ht="15" customHeight="1" x14ac:dyDescent="0.3">
      <c r="A13" s="21"/>
      <c r="C13" s="6">
        <v>43655</v>
      </c>
      <c r="D13" s="7" t="s">
        <v>12</v>
      </c>
      <c r="E13" s="8">
        <v>2019</v>
      </c>
      <c r="F13" s="9" t="s">
        <v>31</v>
      </c>
      <c r="G13" s="9" t="s">
        <v>32</v>
      </c>
      <c r="H13" s="10" t="s">
        <v>33</v>
      </c>
      <c r="I13" s="7">
        <v>90</v>
      </c>
      <c r="J13" s="11">
        <v>63</v>
      </c>
      <c r="K13" s="11">
        <f t="shared" si="0"/>
        <v>5670</v>
      </c>
      <c r="L13" s="11">
        <v>5.0000000745058101E-2</v>
      </c>
      <c r="M13" s="11">
        <v>680.4</v>
      </c>
      <c r="N13" s="11">
        <f t="shared" si="1"/>
        <v>6350.3499999992546</v>
      </c>
    </row>
    <row r="14" spans="1:14" ht="15" customHeight="1" x14ac:dyDescent="0.3">
      <c r="A14" s="21"/>
      <c r="C14" s="6">
        <v>43655</v>
      </c>
      <c r="D14" s="7" t="s">
        <v>12</v>
      </c>
      <c r="E14" s="8">
        <v>2019</v>
      </c>
      <c r="F14" s="9" t="s">
        <v>31</v>
      </c>
      <c r="G14" s="9" t="s">
        <v>14</v>
      </c>
      <c r="H14" s="10" t="s">
        <v>34</v>
      </c>
      <c r="I14" s="7">
        <v>47</v>
      </c>
      <c r="J14" s="11">
        <v>26</v>
      </c>
      <c r="K14" s="11">
        <f t="shared" si="0"/>
        <v>1222</v>
      </c>
      <c r="L14" s="11">
        <v>5.0000000745058101E-2</v>
      </c>
      <c r="M14" s="11">
        <v>146.63999999999999</v>
      </c>
      <c r="N14" s="11">
        <f t="shared" si="1"/>
        <v>1368.5899999992548</v>
      </c>
    </row>
    <row r="15" spans="1:14" ht="15" customHeight="1" x14ac:dyDescent="0.3">
      <c r="A15" s="21"/>
      <c r="C15" s="6">
        <v>43655</v>
      </c>
      <c r="D15" s="7" t="s">
        <v>12</v>
      </c>
      <c r="E15" s="8">
        <v>2019</v>
      </c>
      <c r="F15" s="9" t="s">
        <v>31</v>
      </c>
      <c r="G15" s="9" t="s">
        <v>14</v>
      </c>
      <c r="H15" s="10" t="s">
        <v>35</v>
      </c>
      <c r="I15" s="7">
        <v>57</v>
      </c>
      <c r="J15" s="11">
        <v>18</v>
      </c>
      <c r="K15" s="11">
        <f t="shared" si="0"/>
        <v>1026</v>
      </c>
      <c r="L15" s="11">
        <v>0</v>
      </c>
      <c r="M15" s="11">
        <v>123.11999999999999</v>
      </c>
      <c r="N15" s="11">
        <f t="shared" si="1"/>
        <v>1149.1199999999999</v>
      </c>
    </row>
    <row r="16" spans="1:14" ht="15" customHeight="1" x14ac:dyDescent="0.3">
      <c r="A16" s="21"/>
      <c r="C16" s="6">
        <v>43656</v>
      </c>
      <c r="D16" s="7" t="s">
        <v>12</v>
      </c>
      <c r="E16" s="8">
        <v>2019</v>
      </c>
      <c r="F16" s="9" t="s">
        <v>23</v>
      </c>
      <c r="G16" s="9" t="s">
        <v>14</v>
      </c>
      <c r="H16" s="10" t="s">
        <v>36</v>
      </c>
      <c r="I16" s="7">
        <v>42</v>
      </c>
      <c r="J16" s="11">
        <v>31</v>
      </c>
      <c r="K16" s="11">
        <f t="shared" si="0"/>
        <v>1302</v>
      </c>
      <c r="L16" s="11">
        <v>0</v>
      </c>
      <c r="M16" s="11">
        <v>156.23999999999998</v>
      </c>
      <c r="N16" s="11">
        <f t="shared" si="1"/>
        <v>1458.24</v>
      </c>
    </row>
    <row r="17" spans="1:14" ht="15" customHeight="1" x14ac:dyDescent="0.3">
      <c r="A17" s="21"/>
      <c r="C17" s="6">
        <v>43656</v>
      </c>
      <c r="D17" s="7" t="s">
        <v>12</v>
      </c>
      <c r="E17" s="8">
        <v>2019</v>
      </c>
      <c r="F17" s="9" t="s">
        <v>23</v>
      </c>
      <c r="G17" s="9" t="s">
        <v>37</v>
      </c>
      <c r="H17" s="10" t="s">
        <v>38</v>
      </c>
      <c r="I17" s="7">
        <v>3</v>
      </c>
      <c r="J17" s="11">
        <v>87</v>
      </c>
      <c r="K17" s="11">
        <f t="shared" si="0"/>
        <v>261</v>
      </c>
      <c r="L17" s="11">
        <v>0</v>
      </c>
      <c r="M17" s="11">
        <v>31.32</v>
      </c>
      <c r="N17" s="11">
        <f t="shared" si="1"/>
        <v>292.32</v>
      </c>
    </row>
    <row r="18" spans="1:14" ht="15" customHeight="1" x14ac:dyDescent="0.3">
      <c r="A18" s="21"/>
      <c r="C18" s="6">
        <v>43656</v>
      </c>
      <c r="D18" s="7" t="s">
        <v>12</v>
      </c>
      <c r="E18" s="8">
        <v>2019</v>
      </c>
      <c r="F18" s="9" t="s">
        <v>23</v>
      </c>
      <c r="G18" s="9" t="s">
        <v>32</v>
      </c>
      <c r="H18" s="10" t="s">
        <v>39</v>
      </c>
      <c r="I18" s="7">
        <v>42</v>
      </c>
      <c r="J18" s="11">
        <v>69</v>
      </c>
      <c r="K18" s="11">
        <f t="shared" si="0"/>
        <v>2898</v>
      </c>
      <c r="L18" s="11">
        <v>0</v>
      </c>
      <c r="M18" s="11">
        <v>347.76</v>
      </c>
      <c r="N18" s="11">
        <f t="shared" si="1"/>
        <v>3245.76</v>
      </c>
    </row>
    <row r="19" spans="1:14" ht="15" customHeight="1" x14ac:dyDescent="0.3">
      <c r="A19" s="21"/>
      <c r="C19" s="6">
        <v>43657</v>
      </c>
      <c r="D19" s="7" t="s">
        <v>12</v>
      </c>
      <c r="E19" s="8">
        <v>2019</v>
      </c>
      <c r="F19" s="9" t="s">
        <v>40</v>
      </c>
      <c r="G19" s="9" t="s">
        <v>37</v>
      </c>
      <c r="H19" s="10" t="s">
        <v>41</v>
      </c>
      <c r="I19" s="7">
        <v>86</v>
      </c>
      <c r="J19" s="11">
        <v>12</v>
      </c>
      <c r="K19" s="11">
        <f t="shared" si="0"/>
        <v>1032</v>
      </c>
      <c r="L19" s="11">
        <v>0.15000000596046401</v>
      </c>
      <c r="M19" s="11">
        <v>123.83999999999999</v>
      </c>
      <c r="N19" s="11">
        <f t="shared" si="1"/>
        <v>1155.6899999940395</v>
      </c>
    </row>
    <row r="20" spans="1:14" ht="15" customHeight="1" x14ac:dyDescent="0.3">
      <c r="A20" s="21"/>
      <c r="C20" s="6">
        <v>43657</v>
      </c>
      <c r="D20" s="7" t="s">
        <v>12</v>
      </c>
      <c r="E20" s="8">
        <v>2019</v>
      </c>
      <c r="F20" s="9" t="s">
        <v>40</v>
      </c>
      <c r="G20" s="9" t="s">
        <v>42</v>
      </c>
      <c r="H20" s="10" t="s">
        <v>43</v>
      </c>
      <c r="I20" s="7">
        <v>9</v>
      </c>
      <c r="J20" s="11">
        <v>23</v>
      </c>
      <c r="K20" s="11">
        <f t="shared" si="0"/>
        <v>207</v>
      </c>
      <c r="L20" s="11">
        <v>0.15000000596046401</v>
      </c>
      <c r="M20" s="11">
        <v>24.84</v>
      </c>
      <c r="N20" s="11">
        <f t="shared" si="1"/>
        <v>231.68999999403954</v>
      </c>
    </row>
    <row r="21" spans="1:14" ht="15" customHeight="1" x14ac:dyDescent="0.3">
      <c r="A21" s="21"/>
      <c r="C21" s="6">
        <v>43657</v>
      </c>
      <c r="D21" s="7" t="s">
        <v>12</v>
      </c>
      <c r="E21" s="8">
        <v>2019</v>
      </c>
      <c r="F21" s="9" t="s">
        <v>40</v>
      </c>
      <c r="G21" s="9" t="s">
        <v>20</v>
      </c>
      <c r="H21" s="10" t="s">
        <v>44</v>
      </c>
      <c r="I21" s="7">
        <v>46</v>
      </c>
      <c r="J21" s="11">
        <v>63</v>
      </c>
      <c r="K21" s="11">
        <f t="shared" si="0"/>
        <v>2898</v>
      </c>
      <c r="L21" s="11">
        <v>0</v>
      </c>
      <c r="M21" s="11">
        <v>347.76</v>
      </c>
      <c r="N21" s="11">
        <f t="shared" si="1"/>
        <v>3245.76</v>
      </c>
    </row>
    <row r="22" spans="1:14" ht="15" customHeight="1" x14ac:dyDescent="0.3">
      <c r="A22" s="21"/>
      <c r="C22" s="6">
        <v>43658</v>
      </c>
      <c r="D22" s="7" t="s">
        <v>12</v>
      </c>
      <c r="E22" s="8">
        <v>2019</v>
      </c>
      <c r="F22" s="9" t="s">
        <v>45</v>
      </c>
      <c r="G22" s="9" t="s">
        <v>37</v>
      </c>
      <c r="H22" s="10" t="s">
        <v>46</v>
      </c>
      <c r="I22" s="7">
        <v>80</v>
      </c>
      <c r="J22" s="11">
        <v>91</v>
      </c>
      <c r="K22" s="11">
        <f t="shared" si="0"/>
        <v>7280</v>
      </c>
      <c r="L22" s="11">
        <v>0</v>
      </c>
      <c r="M22" s="11">
        <v>873.6</v>
      </c>
      <c r="N22" s="11">
        <f t="shared" si="1"/>
        <v>8153.6</v>
      </c>
    </row>
    <row r="23" spans="1:14" ht="15" customHeight="1" x14ac:dyDescent="0.3">
      <c r="A23" s="21"/>
      <c r="C23" s="6">
        <v>43658</v>
      </c>
      <c r="D23" s="7" t="s">
        <v>12</v>
      </c>
      <c r="E23" s="8">
        <v>2019</v>
      </c>
      <c r="F23" s="9" t="s">
        <v>45</v>
      </c>
      <c r="G23" s="9" t="s">
        <v>32</v>
      </c>
      <c r="H23" s="10" t="s">
        <v>47</v>
      </c>
      <c r="I23" s="7">
        <v>32</v>
      </c>
      <c r="J23" s="11">
        <v>48</v>
      </c>
      <c r="K23" s="11">
        <f t="shared" si="0"/>
        <v>1536</v>
      </c>
      <c r="L23" s="11">
        <v>0</v>
      </c>
      <c r="M23" s="11">
        <v>184.32</v>
      </c>
      <c r="N23" s="11">
        <f t="shared" si="1"/>
        <v>1720.32</v>
      </c>
    </row>
    <row r="24" spans="1:14" ht="15" customHeight="1" x14ac:dyDescent="0.3">
      <c r="A24" s="21"/>
      <c r="C24" s="6">
        <v>43658</v>
      </c>
      <c r="D24" s="7" t="s">
        <v>12</v>
      </c>
      <c r="E24" s="8">
        <v>2019</v>
      </c>
      <c r="F24" s="9" t="s">
        <v>45</v>
      </c>
      <c r="G24" s="9" t="s">
        <v>24</v>
      </c>
      <c r="H24" s="10" t="s">
        <v>48</v>
      </c>
      <c r="I24" s="7">
        <v>38</v>
      </c>
      <c r="J24" s="11">
        <v>54</v>
      </c>
      <c r="K24" s="11">
        <f t="shared" si="0"/>
        <v>2052</v>
      </c>
      <c r="L24" s="11">
        <v>0</v>
      </c>
      <c r="M24" s="11">
        <v>246.23999999999998</v>
      </c>
      <c r="N24" s="11">
        <f t="shared" si="1"/>
        <v>2298.2399999999998</v>
      </c>
    </row>
    <row r="25" spans="1:14" ht="15" customHeight="1" x14ac:dyDescent="0.3">
      <c r="A25" s="21"/>
      <c r="C25" s="6">
        <v>43658</v>
      </c>
      <c r="D25" s="7" t="s">
        <v>12</v>
      </c>
      <c r="E25" s="8">
        <v>2019</v>
      </c>
      <c r="F25" s="9" t="s">
        <v>45</v>
      </c>
      <c r="G25" s="9" t="s">
        <v>14</v>
      </c>
      <c r="H25" s="10" t="s">
        <v>49</v>
      </c>
      <c r="I25" s="7">
        <v>70</v>
      </c>
      <c r="J25" s="11">
        <v>40</v>
      </c>
      <c r="K25" s="11">
        <f t="shared" si="0"/>
        <v>2800</v>
      </c>
      <c r="L25" s="11">
        <v>0</v>
      </c>
      <c r="M25" s="11">
        <v>336</v>
      </c>
      <c r="N25" s="11">
        <f t="shared" si="1"/>
        <v>3136</v>
      </c>
    </row>
    <row r="26" spans="1:14" ht="15" customHeight="1" x14ac:dyDescent="0.3">
      <c r="A26" s="21"/>
      <c r="C26" s="6">
        <v>43661</v>
      </c>
      <c r="D26" s="7" t="s">
        <v>12</v>
      </c>
      <c r="E26" s="8">
        <v>2019</v>
      </c>
      <c r="F26" s="9" t="s">
        <v>50</v>
      </c>
      <c r="G26" s="9" t="s">
        <v>42</v>
      </c>
      <c r="H26" s="10" t="s">
        <v>51</v>
      </c>
      <c r="I26" s="7">
        <v>32</v>
      </c>
      <c r="J26" s="11">
        <v>52</v>
      </c>
      <c r="K26" s="11">
        <f t="shared" si="0"/>
        <v>1664</v>
      </c>
      <c r="L26" s="11">
        <v>0</v>
      </c>
      <c r="M26" s="11">
        <v>199.68</v>
      </c>
      <c r="N26" s="11">
        <f t="shared" si="1"/>
        <v>1863.68</v>
      </c>
    </row>
    <row r="27" spans="1:14" x14ac:dyDescent="0.3">
      <c r="A27" s="21"/>
      <c r="C27" s="6">
        <v>43661</v>
      </c>
      <c r="D27" s="7" t="s">
        <v>12</v>
      </c>
      <c r="E27" s="8">
        <v>2019</v>
      </c>
      <c r="F27" s="9" t="s">
        <v>50</v>
      </c>
      <c r="G27" s="9" t="s">
        <v>26</v>
      </c>
      <c r="H27" s="10" t="s">
        <v>52</v>
      </c>
      <c r="I27" s="7">
        <v>89</v>
      </c>
      <c r="J27" s="11">
        <v>76</v>
      </c>
      <c r="K27" s="11">
        <f t="shared" si="0"/>
        <v>6764</v>
      </c>
      <c r="L27" s="11">
        <v>0</v>
      </c>
      <c r="M27" s="11">
        <v>811.68</v>
      </c>
      <c r="N27" s="11">
        <f t="shared" si="1"/>
        <v>7575.68</v>
      </c>
    </row>
    <row r="28" spans="1:14" x14ac:dyDescent="0.3">
      <c r="A28" s="21"/>
      <c r="C28" s="6">
        <v>43662</v>
      </c>
      <c r="D28" s="7" t="s">
        <v>12</v>
      </c>
      <c r="E28" s="8">
        <v>2019</v>
      </c>
      <c r="F28" s="9" t="s">
        <v>53</v>
      </c>
      <c r="G28" s="9" t="s">
        <v>32</v>
      </c>
      <c r="H28" s="10" t="s">
        <v>54</v>
      </c>
      <c r="I28" s="7">
        <v>76</v>
      </c>
      <c r="J28" s="11">
        <v>16</v>
      </c>
      <c r="K28" s="11">
        <f t="shared" si="0"/>
        <v>1216</v>
      </c>
      <c r="L28" s="11">
        <v>0</v>
      </c>
      <c r="M28" s="11">
        <v>145.91999999999999</v>
      </c>
      <c r="N28" s="11">
        <f t="shared" si="1"/>
        <v>1361.92</v>
      </c>
    </row>
    <row r="29" spans="1:14" x14ac:dyDescent="0.3">
      <c r="A29" s="21"/>
      <c r="C29" s="6">
        <v>43662</v>
      </c>
      <c r="D29" s="7" t="s">
        <v>12</v>
      </c>
      <c r="E29" s="8">
        <v>2019</v>
      </c>
      <c r="F29" s="9" t="s">
        <v>53</v>
      </c>
      <c r="G29" s="9" t="s">
        <v>37</v>
      </c>
      <c r="H29" s="10" t="s">
        <v>38</v>
      </c>
      <c r="I29" s="7">
        <v>92</v>
      </c>
      <c r="J29" s="11">
        <v>33</v>
      </c>
      <c r="K29" s="11">
        <f t="shared" si="0"/>
        <v>3036</v>
      </c>
      <c r="L29" s="11">
        <v>0</v>
      </c>
      <c r="M29" s="11">
        <v>364.32</v>
      </c>
      <c r="N29" s="11">
        <f t="shared" si="1"/>
        <v>3400.32</v>
      </c>
    </row>
    <row r="30" spans="1:14" x14ac:dyDescent="0.3">
      <c r="A30" s="21"/>
      <c r="C30" s="6">
        <v>43662</v>
      </c>
      <c r="D30" s="7" t="s">
        <v>12</v>
      </c>
      <c r="E30" s="8">
        <v>2019</v>
      </c>
      <c r="F30" s="9" t="s">
        <v>53</v>
      </c>
      <c r="G30" s="9" t="s">
        <v>26</v>
      </c>
      <c r="H30" s="10" t="s">
        <v>52</v>
      </c>
      <c r="I30" s="7">
        <v>7</v>
      </c>
      <c r="J30" s="11">
        <v>88</v>
      </c>
      <c r="K30" s="11">
        <f t="shared" si="0"/>
        <v>616</v>
      </c>
      <c r="L30" s="11">
        <v>0</v>
      </c>
      <c r="M30" s="11">
        <v>73.92</v>
      </c>
      <c r="N30" s="11">
        <f t="shared" si="1"/>
        <v>689.92</v>
      </c>
    </row>
    <row r="31" spans="1:14" x14ac:dyDescent="0.3">
      <c r="A31" s="21"/>
      <c r="C31" s="6">
        <v>43663</v>
      </c>
      <c r="D31" s="7" t="s">
        <v>12</v>
      </c>
      <c r="E31" s="8">
        <v>2019</v>
      </c>
      <c r="F31" s="9" t="s">
        <v>55</v>
      </c>
      <c r="G31" s="9" t="s">
        <v>37</v>
      </c>
      <c r="H31" s="10" t="s">
        <v>46</v>
      </c>
      <c r="I31" s="7">
        <v>70</v>
      </c>
      <c r="J31" s="11">
        <v>73</v>
      </c>
      <c r="K31" s="11">
        <f t="shared" si="0"/>
        <v>5110</v>
      </c>
      <c r="L31" s="11">
        <v>0.20000000298023199</v>
      </c>
      <c r="M31" s="11">
        <v>613.19999999999993</v>
      </c>
      <c r="N31" s="11">
        <f t="shared" si="1"/>
        <v>5722.9999999970196</v>
      </c>
    </row>
    <row r="32" spans="1:14" x14ac:dyDescent="0.3">
      <c r="C32" s="6">
        <v>43663</v>
      </c>
      <c r="D32" s="7" t="s">
        <v>12</v>
      </c>
      <c r="E32" s="8">
        <v>2019</v>
      </c>
      <c r="F32" s="9" t="s">
        <v>55</v>
      </c>
      <c r="G32" s="9" t="s">
        <v>26</v>
      </c>
      <c r="H32" s="10" t="s">
        <v>56</v>
      </c>
      <c r="I32" s="7">
        <v>49</v>
      </c>
      <c r="J32" s="11">
        <v>36</v>
      </c>
      <c r="K32" s="11">
        <f t="shared" si="0"/>
        <v>1764</v>
      </c>
      <c r="L32" s="11">
        <v>0.20000000298023199</v>
      </c>
      <c r="M32" s="11">
        <v>211.67999999999998</v>
      </c>
      <c r="N32" s="11">
        <f t="shared" si="1"/>
        <v>1975.4799999970198</v>
      </c>
    </row>
    <row r="33" spans="3:14" x14ac:dyDescent="0.3">
      <c r="C33" s="6">
        <v>43663</v>
      </c>
      <c r="D33" s="7" t="s">
        <v>12</v>
      </c>
      <c r="E33" s="8">
        <v>2019</v>
      </c>
      <c r="F33" s="9" t="s">
        <v>55</v>
      </c>
      <c r="G33" s="9" t="s">
        <v>14</v>
      </c>
      <c r="H33" s="10" t="s">
        <v>57</v>
      </c>
      <c r="I33" s="7">
        <v>75</v>
      </c>
      <c r="J33" s="11">
        <v>59</v>
      </c>
      <c r="K33" s="11">
        <f t="shared" si="0"/>
        <v>4425</v>
      </c>
      <c r="L33" s="11">
        <v>0.20000000298023199</v>
      </c>
      <c r="M33" s="11">
        <v>531</v>
      </c>
      <c r="N33" s="11">
        <f t="shared" si="1"/>
        <v>4955.7999999970198</v>
      </c>
    </row>
    <row r="34" spans="3:14" x14ac:dyDescent="0.3">
      <c r="C34" s="6">
        <v>43664</v>
      </c>
      <c r="D34" s="7" t="s">
        <v>12</v>
      </c>
      <c r="E34" s="8">
        <v>2019</v>
      </c>
      <c r="F34" s="9" t="s">
        <v>58</v>
      </c>
      <c r="G34" s="9" t="s">
        <v>32</v>
      </c>
      <c r="H34" s="10" t="s">
        <v>59</v>
      </c>
      <c r="I34" s="7">
        <v>53</v>
      </c>
      <c r="J34" s="11">
        <v>68</v>
      </c>
      <c r="K34" s="11">
        <f t="shared" si="0"/>
        <v>3604</v>
      </c>
      <c r="L34" s="11">
        <v>0</v>
      </c>
      <c r="M34" s="11">
        <v>432.47999999999996</v>
      </c>
      <c r="N34" s="11">
        <f t="shared" si="1"/>
        <v>4036.48</v>
      </c>
    </row>
    <row r="35" spans="3:14" x14ac:dyDescent="0.3">
      <c r="C35" s="6">
        <v>43664</v>
      </c>
      <c r="D35" s="7" t="s">
        <v>12</v>
      </c>
      <c r="E35" s="8">
        <v>2019</v>
      </c>
      <c r="F35" s="9" t="s">
        <v>58</v>
      </c>
      <c r="G35" s="9" t="s">
        <v>24</v>
      </c>
      <c r="H35" s="10" t="s">
        <v>60</v>
      </c>
      <c r="I35" s="7">
        <v>50</v>
      </c>
      <c r="J35" s="11">
        <v>27</v>
      </c>
      <c r="K35" s="11">
        <f t="shared" si="0"/>
        <v>1350</v>
      </c>
      <c r="L35" s="11">
        <v>0</v>
      </c>
      <c r="M35" s="11">
        <v>162</v>
      </c>
      <c r="N35" s="11">
        <f t="shared" si="1"/>
        <v>1512</v>
      </c>
    </row>
    <row r="36" spans="3:14" x14ac:dyDescent="0.3">
      <c r="C36" s="6">
        <v>43665</v>
      </c>
      <c r="D36" s="7" t="s">
        <v>12</v>
      </c>
      <c r="E36" s="8">
        <v>2019</v>
      </c>
      <c r="F36" s="9" t="s">
        <v>61</v>
      </c>
      <c r="G36" s="9" t="s">
        <v>24</v>
      </c>
      <c r="H36" s="10" t="s">
        <v>25</v>
      </c>
      <c r="I36" s="7">
        <v>3</v>
      </c>
      <c r="J36" s="11">
        <v>77</v>
      </c>
      <c r="K36" s="11">
        <f t="shared" si="0"/>
        <v>231</v>
      </c>
      <c r="L36" s="11">
        <v>0.25</v>
      </c>
      <c r="M36" s="11">
        <v>27.72</v>
      </c>
      <c r="N36" s="11">
        <f t="shared" si="1"/>
        <v>258.47000000000003</v>
      </c>
    </row>
    <row r="37" spans="3:14" x14ac:dyDescent="0.3">
      <c r="C37" s="6">
        <v>43665</v>
      </c>
      <c r="D37" s="7" t="s">
        <v>12</v>
      </c>
      <c r="E37" s="8">
        <v>2019</v>
      </c>
      <c r="F37" s="9" t="s">
        <v>61</v>
      </c>
      <c r="G37" s="9" t="s">
        <v>16</v>
      </c>
      <c r="H37" s="10" t="s">
        <v>30</v>
      </c>
      <c r="I37" s="7">
        <v>54</v>
      </c>
      <c r="J37" s="11">
        <v>59</v>
      </c>
      <c r="K37" s="11">
        <f t="shared" si="0"/>
        <v>3186</v>
      </c>
      <c r="L37" s="11">
        <v>0</v>
      </c>
      <c r="M37" s="11">
        <v>382.32</v>
      </c>
      <c r="N37" s="11">
        <f t="shared" si="1"/>
        <v>3568.32</v>
      </c>
    </row>
    <row r="38" spans="3:14" x14ac:dyDescent="0.3">
      <c r="C38" s="6">
        <v>43665</v>
      </c>
      <c r="D38" s="7" t="s">
        <v>12</v>
      </c>
      <c r="E38" s="8">
        <v>2019</v>
      </c>
      <c r="F38" s="9" t="s">
        <v>61</v>
      </c>
      <c r="G38" s="9" t="s">
        <v>32</v>
      </c>
      <c r="H38" s="10" t="s">
        <v>62</v>
      </c>
      <c r="I38" s="7">
        <v>69</v>
      </c>
      <c r="J38" s="11">
        <v>89</v>
      </c>
      <c r="K38" s="11">
        <f t="shared" si="0"/>
        <v>6141</v>
      </c>
      <c r="L38" s="11">
        <v>0.25</v>
      </c>
      <c r="M38" s="11">
        <v>736.92</v>
      </c>
      <c r="N38" s="11">
        <f t="shared" si="1"/>
        <v>6877.67</v>
      </c>
    </row>
    <row r="39" spans="3:14" x14ac:dyDescent="0.3">
      <c r="C39" s="6">
        <v>43665</v>
      </c>
      <c r="D39" s="7" t="s">
        <v>12</v>
      </c>
      <c r="E39" s="8">
        <v>2019</v>
      </c>
      <c r="F39" s="9" t="s">
        <v>61</v>
      </c>
      <c r="G39" s="9" t="s">
        <v>37</v>
      </c>
      <c r="H39" s="10" t="s">
        <v>63</v>
      </c>
      <c r="I39" s="7">
        <v>91</v>
      </c>
      <c r="J39" s="11">
        <v>60</v>
      </c>
      <c r="K39" s="11">
        <f t="shared" si="0"/>
        <v>5460</v>
      </c>
      <c r="L39" s="11">
        <v>0.25</v>
      </c>
      <c r="M39" s="11">
        <v>655.19999999999993</v>
      </c>
      <c r="N39" s="11">
        <f t="shared" si="1"/>
        <v>6114.95</v>
      </c>
    </row>
    <row r="40" spans="3:14" x14ac:dyDescent="0.3">
      <c r="C40" s="6">
        <v>43665</v>
      </c>
      <c r="D40" s="7" t="s">
        <v>12</v>
      </c>
      <c r="E40" s="8">
        <v>2019</v>
      </c>
      <c r="F40" s="9" t="s">
        <v>64</v>
      </c>
      <c r="G40" s="9" t="s">
        <v>32</v>
      </c>
      <c r="H40" s="10" t="s">
        <v>59</v>
      </c>
      <c r="I40" s="7">
        <v>10</v>
      </c>
      <c r="J40" s="11">
        <v>77</v>
      </c>
      <c r="K40" s="11">
        <f t="shared" si="0"/>
        <v>770</v>
      </c>
      <c r="L40" s="11">
        <v>0</v>
      </c>
      <c r="M40" s="11">
        <v>92.399999999999991</v>
      </c>
      <c r="N40" s="11">
        <f t="shared" si="1"/>
        <v>862.4</v>
      </c>
    </row>
    <row r="41" spans="3:14" x14ac:dyDescent="0.3">
      <c r="C41" s="6">
        <v>43665</v>
      </c>
      <c r="D41" s="7" t="s">
        <v>12</v>
      </c>
      <c r="E41" s="8">
        <v>2019</v>
      </c>
      <c r="F41" s="9" t="s">
        <v>64</v>
      </c>
      <c r="G41" s="9" t="s">
        <v>37</v>
      </c>
      <c r="H41" s="10" t="s">
        <v>65</v>
      </c>
      <c r="I41" s="7">
        <v>39</v>
      </c>
      <c r="J41" s="11">
        <v>57</v>
      </c>
      <c r="K41" s="11">
        <f t="shared" si="0"/>
        <v>2223</v>
      </c>
      <c r="L41" s="11">
        <v>0</v>
      </c>
      <c r="M41" s="11">
        <v>266.76</v>
      </c>
      <c r="N41" s="11">
        <f t="shared" si="1"/>
        <v>2489.7600000000002</v>
      </c>
    </row>
    <row r="42" spans="3:14" x14ac:dyDescent="0.3">
      <c r="C42" s="6">
        <v>43668</v>
      </c>
      <c r="D42" s="7" t="s">
        <v>12</v>
      </c>
      <c r="E42" s="8">
        <v>2019</v>
      </c>
      <c r="F42" s="9" t="s">
        <v>66</v>
      </c>
      <c r="G42" s="9" t="s">
        <v>26</v>
      </c>
      <c r="H42" s="10" t="s">
        <v>56</v>
      </c>
      <c r="I42" s="7">
        <v>32</v>
      </c>
      <c r="J42" s="11">
        <v>83</v>
      </c>
      <c r="K42" s="11">
        <f t="shared" si="0"/>
        <v>2656</v>
      </c>
      <c r="L42" s="11">
        <v>0.20000000298023199</v>
      </c>
      <c r="M42" s="11">
        <v>318.71999999999997</v>
      </c>
      <c r="N42" s="11">
        <f t="shared" si="1"/>
        <v>2974.5199999970196</v>
      </c>
    </row>
    <row r="43" spans="3:14" x14ac:dyDescent="0.3">
      <c r="C43" s="6">
        <v>43668</v>
      </c>
      <c r="D43" s="7" t="s">
        <v>12</v>
      </c>
      <c r="E43" s="8">
        <v>2019</v>
      </c>
      <c r="F43" s="9" t="s">
        <v>66</v>
      </c>
      <c r="G43" s="9" t="s">
        <v>20</v>
      </c>
      <c r="H43" s="10" t="s">
        <v>67</v>
      </c>
      <c r="I43" s="7">
        <v>18</v>
      </c>
      <c r="J43" s="11">
        <v>37</v>
      </c>
      <c r="K43" s="11">
        <f t="shared" si="0"/>
        <v>666</v>
      </c>
      <c r="L43" s="11">
        <v>0</v>
      </c>
      <c r="M43" s="11">
        <v>79.92</v>
      </c>
      <c r="N43" s="11">
        <f t="shared" si="1"/>
        <v>745.92</v>
      </c>
    </row>
    <row r="44" spans="3:14" x14ac:dyDescent="0.3">
      <c r="C44" s="6">
        <v>43668</v>
      </c>
      <c r="D44" s="7" t="s">
        <v>12</v>
      </c>
      <c r="E44" s="8">
        <v>2019</v>
      </c>
      <c r="F44" s="9" t="s">
        <v>66</v>
      </c>
      <c r="G44" s="9" t="s">
        <v>16</v>
      </c>
      <c r="H44" s="10" t="s">
        <v>68</v>
      </c>
      <c r="I44" s="7">
        <v>32</v>
      </c>
      <c r="J44" s="11">
        <v>57</v>
      </c>
      <c r="K44" s="11">
        <f t="shared" si="0"/>
        <v>1824</v>
      </c>
      <c r="L44" s="11">
        <v>0</v>
      </c>
      <c r="M44" s="11">
        <v>218.88</v>
      </c>
      <c r="N44" s="11">
        <f t="shared" si="1"/>
        <v>2042.88</v>
      </c>
    </row>
    <row r="45" spans="3:14" x14ac:dyDescent="0.3">
      <c r="C45" s="6">
        <v>43669</v>
      </c>
      <c r="D45" s="7" t="s">
        <v>12</v>
      </c>
      <c r="E45" s="8">
        <v>2019</v>
      </c>
      <c r="F45" s="9" t="s">
        <v>55</v>
      </c>
      <c r="G45" s="9" t="s">
        <v>32</v>
      </c>
      <c r="H45" s="10" t="s">
        <v>47</v>
      </c>
      <c r="I45" s="7">
        <v>72</v>
      </c>
      <c r="J45" s="11">
        <v>76</v>
      </c>
      <c r="K45" s="11">
        <f t="shared" si="0"/>
        <v>5472</v>
      </c>
      <c r="L45" s="11">
        <v>0.25</v>
      </c>
      <c r="M45" s="11">
        <v>656.64</v>
      </c>
      <c r="N45" s="11">
        <f t="shared" si="1"/>
        <v>6128.39</v>
      </c>
    </row>
    <row r="46" spans="3:14" x14ac:dyDescent="0.3">
      <c r="C46" s="6">
        <v>43669</v>
      </c>
      <c r="D46" s="7" t="s">
        <v>12</v>
      </c>
      <c r="E46" s="8">
        <v>2019</v>
      </c>
      <c r="F46" s="9" t="s">
        <v>55</v>
      </c>
      <c r="G46" s="9" t="s">
        <v>37</v>
      </c>
      <c r="H46" s="10" t="s">
        <v>41</v>
      </c>
      <c r="I46" s="7">
        <v>34</v>
      </c>
      <c r="J46" s="11">
        <v>31</v>
      </c>
      <c r="K46" s="11">
        <f t="shared" si="0"/>
        <v>1054</v>
      </c>
      <c r="L46" s="11">
        <v>0</v>
      </c>
      <c r="M46" s="11">
        <v>126.47999999999999</v>
      </c>
      <c r="N46" s="11">
        <f t="shared" si="1"/>
        <v>1180.48</v>
      </c>
    </row>
    <row r="47" spans="3:14" x14ac:dyDescent="0.3">
      <c r="C47" s="6">
        <v>43669</v>
      </c>
      <c r="D47" s="7" t="s">
        <v>12</v>
      </c>
      <c r="E47" s="8">
        <v>2019</v>
      </c>
      <c r="F47" s="9" t="s">
        <v>55</v>
      </c>
      <c r="G47" s="9" t="s">
        <v>24</v>
      </c>
      <c r="H47" s="10" t="s">
        <v>69</v>
      </c>
      <c r="I47" s="7">
        <v>8</v>
      </c>
      <c r="J47" s="11">
        <v>96</v>
      </c>
      <c r="K47" s="11">
        <f t="shared" si="0"/>
        <v>768</v>
      </c>
      <c r="L47" s="11">
        <v>0.25</v>
      </c>
      <c r="M47" s="11">
        <v>92.16</v>
      </c>
      <c r="N47" s="11">
        <f t="shared" si="1"/>
        <v>859.91</v>
      </c>
    </row>
    <row r="48" spans="3:14" x14ac:dyDescent="0.3">
      <c r="C48" s="6">
        <v>43669</v>
      </c>
      <c r="D48" s="7" t="s">
        <v>12</v>
      </c>
      <c r="E48" s="8">
        <v>2019</v>
      </c>
      <c r="F48" s="9" t="s">
        <v>55</v>
      </c>
      <c r="G48" s="9" t="s">
        <v>20</v>
      </c>
      <c r="H48" s="10" t="s">
        <v>44</v>
      </c>
      <c r="I48" s="7">
        <v>90</v>
      </c>
      <c r="J48" s="11">
        <v>65</v>
      </c>
      <c r="K48" s="11">
        <f t="shared" si="0"/>
        <v>5850</v>
      </c>
      <c r="L48" s="11">
        <v>0.25</v>
      </c>
      <c r="M48" s="11">
        <v>702</v>
      </c>
      <c r="N48" s="11">
        <f t="shared" si="1"/>
        <v>6551.75</v>
      </c>
    </row>
    <row r="49" spans="3:14" x14ac:dyDescent="0.3">
      <c r="C49" s="6">
        <v>43670</v>
      </c>
      <c r="D49" s="7" t="s">
        <v>12</v>
      </c>
      <c r="E49" s="8">
        <v>2019</v>
      </c>
      <c r="F49" s="9" t="s">
        <v>70</v>
      </c>
      <c r="G49" s="9" t="s">
        <v>37</v>
      </c>
      <c r="H49" s="10" t="s">
        <v>46</v>
      </c>
      <c r="I49" s="7">
        <v>8</v>
      </c>
      <c r="J49" s="11">
        <v>84</v>
      </c>
      <c r="K49" s="11">
        <f t="shared" si="0"/>
        <v>672</v>
      </c>
      <c r="L49" s="11">
        <v>0</v>
      </c>
      <c r="M49" s="11">
        <v>80.64</v>
      </c>
      <c r="N49" s="11">
        <f t="shared" si="1"/>
        <v>752.64</v>
      </c>
    </row>
    <row r="50" spans="3:14" x14ac:dyDescent="0.3">
      <c r="C50" s="6">
        <v>43670</v>
      </c>
      <c r="D50" s="7" t="s">
        <v>12</v>
      </c>
      <c r="E50" s="8">
        <v>2019</v>
      </c>
      <c r="F50" s="9" t="s">
        <v>70</v>
      </c>
      <c r="G50" s="9" t="s">
        <v>24</v>
      </c>
      <c r="H50" s="10" t="s">
        <v>25</v>
      </c>
      <c r="I50" s="7">
        <v>11</v>
      </c>
      <c r="J50" s="11">
        <v>44</v>
      </c>
      <c r="K50" s="11">
        <f t="shared" si="0"/>
        <v>484</v>
      </c>
      <c r="L50" s="11">
        <v>0.15000000596046401</v>
      </c>
      <c r="M50" s="11">
        <v>58.08</v>
      </c>
      <c r="N50" s="11">
        <f t="shared" si="1"/>
        <v>541.92999999403958</v>
      </c>
    </row>
    <row r="51" spans="3:14" x14ac:dyDescent="0.3">
      <c r="C51" s="6">
        <v>43671</v>
      </c>
      <c r="D51" s="7" t="s">
        <v>12</v>
      </c>
      <c r="E51" s="8">
        <v>2019</v>
      </c>
      <c r="F51" s="9" t="s">
        <v>71</v>
      </c>
      <c r="G51" s="9" t="s">
        <v>42</v>
      </c>
      <c r="H51" s="10" t="s">
        <v>72</v>
      </c>
      <c r="I51" s="7">
        <v>1</v>
      </c>
      <c r="J51" s="11">
        <v>65</v>
      </c>
      <c r="K51" s="11">
        <f t="shared" si="0"/>
        <v>65</v>
      </c>
      <c r="L51" s="11">
        <v>0</v>
      </c>
      <c r="M51" s="11">
        <v>7.8</v>
      </c>
      <c r="N51" s="11">
        <f t="shared" si="1"/>
        <v>72.8</v>
      </c>
    </row>
    <row r="52" spans="3:14" x14ac:dyDescent="0.3">
      <c r="C52" s="6">
        <v>43671</v>
      </c>
      <c r="D52" s="7" t="s">
        <v>12</v>
      </c>
      <c r="E52" s="8">
        <v>2019</v>
      </c>
      <c r="F52" s="9" t="s">
        <v>71</v>
      </c>
      <c r="G52" s="9" t="s">
        <v>37</v>
      </c>
      <c r="H52" s="10" t="s">
        <v>63</v>
      </c>
      <c r="I52" s="7">
        <v>86</v>
      </c>
      <c r="J52" s="11">
        <v>90</v>
      </c>
      <c r="K52" s="11">
        <f t="shared" si="0"/>
        <v>7740</v>
      </c>
      <c r="L52" s="11">
        <v>0</v>
      </c>
      <c r="M52" s="11">
        <v>928.8</v>
      </c>
      <c r="N52" s="11">
        <f t="shared" si="1"/>
        <v>8668.7999999999993</v>
      </c>
    </row>
    <row r="53" spans="3:14" x14ac:dyDescent="0.3">
      <c r="C53" s="6">
        <v>43672</v>
      </c>
      <c r="D53" s="7" t="s">
        <v>12</v>
      </c>
      <c r="E53" s="8">
        <v>2019</v>
      </c>
      <c r="F53" s="9" t="s">
        <v>73</v>
      </c>
      <c r="G53" s="9" t="s">
        <v>14</v>
      </c>
      <c r="H53" s="10" t="s">
        <v>74</v>
      </c>
      <c r="I53" s="7">
        <v>97</v>
      </c>
      <c r="J53" s="11">
        <v>18</v>
      </c>
      <c r="K53" s="11">
        <f t="shared" si="0"/>
        <v>1746</v>
      </c>
      <c r="L53" s="11">
        <v>5.0000000745058101E-2</v>
      </c>
      <c r="M53" s="11">
        <v>209.51999999999998</v>
      </c>
      <c r="N53" s="11">
        <f t="shared" si="1"/>
        <v>1955.4699999992549</v>
      </c>
    </row>
    <row r="54" spans="3:14" x14ac:dyDescent="0.3">
      <c r="C54" s="6">
        <v>43675</v>
      </c>
      <c r="D54" s="7" t="s">
        <v>12</v>
      </c>
      <c r="E54" s="8">
        <v>2019</v>
      </c>
      <c r="F54" s="9" t="s">
        <v>75</v>
      </c>
      <c r="G54" s="9" t="s">
        <v>24</v>
      </c>
      <c r="H54" s="10" t="s">
        <v>76</v>
      </c>
      <c r="I54" s="7">
        <v>32</v>
      </c>
      <c r="J54" s="11">
        <v>22</v>
      </c>
      <c r="K54" s="11">
        <f t="shared" si="0"/>
        <v>704</v>
      </c>
      <c r="L54" s="11">
        <v>0</v>
      </c>
      <c r="M54" s="11">
        <v>84.47999999999999</v>
      </c>
      <c r="N54" s="11">
        <f t="shared" si="1"/>
        <v>788.48</v>
      </c>
    </row>
    <row r="55" spans="3:14" x14ac:dyDescent="0.3">
      <c r="C55" s="6">
        <v>43675</v>
      </c>
      <c r="D55" s="7" t="s">
        <v>12</v>
      </c>
      <c r="E55" s="8">
        <v>2019</v>
      </c>
      <c r="F55" s="9" t="s">
        <v>75</v>
      </c>
      <c r="G55" s="9" t="s">
        <v>14</v>
      </c>
      <c r="H55" s="10" t="s">
        <v>49</v>
      </c>
      <c r="I55" s="7">
        <v>87</v>
      </c>
      <c r="J55" s="11">
        <v>65</v>
      </c>
      <c r="K55" s="11">
        <f t="shared" si="0"/>
        <v>5655</v>
      </c>
      <c r="L55" s="11">
        <v>0.15000000596046401</v>
      </c>
      <c r="M55" s="11">
        <v>678.6</v>
      </c>
      <c r="N55" s="11">
        <f t="shared" si="1"/>
        <v>6333.4499999940399</v>
      </c>
    </row>
    <row r="56" spans="3:14" x14ac:dyDescent="0.3">
      <c r="C56" s="6">
        <v>43675</v>
      </c>
      <c r="D56" s="7" t="s">
        <v>12</v>
      </c>
      <c r="E56" s="8">
        <v>2019</v>
      </c>
      <c r="F56" s="9" t="s">
        <v>75</v>
      </c>
      <c r="G56" s="9" t="s">
        <v>37</v>
      </c>
      <c r="H56" s="10" t="s">
        <v>77</v>
      </c>
      <c r="I56" s="7">
        <v>74</v>
      </c>
      <c r="J56" s="11">
        <v>65</v>
      </c>
      <c r="K56" s="11">
        <f t="shared" si="0"/>
        <v>4810</v>
      </c>
      <c r="L56" s="11">
        <v>0.15000000596046401</v>
      </c>
      <c r="M56" s="11">
        <v>577.19999999999993</v>
      </c>
      <c r="N56" s="11">
        <f t="shared" si="1"/>
        <v>5387.0499999940394</v>
      </c>
    </row>
    <row r="57" spans="3:14" x14ac:dyDescent="0.3">
      <c r="C57" s="6">
        <v>43676</v>
      </c>
      <c r="D57" s="7" t="s">
        <v>12</v>
      </c>
      <c r="E57" s="8">
        <v>2019</v>
      </c>
      <c r="F57" s="9" t="s">
        <v>78</v>
      </c>
      <c r="G57" s="9" t="s">
        <v>42</v>
      </c>
      <c r="H57" s="10" t="s">
        <v>79</v>
      </c>
      <c r="I57" s="7">
        <v>27</v>
      </c>
      <c r="J57" s="11">
        <v>25</v>
      </c>
      <c r="K57" s="11">
        <f t="shared" si="0"/>
        <v>675</v>
      </c>
      <c r="L57" s="11">
        <v>0</v>
      </c>
      <c r="M57" s="11">
        <v>81</v>
      </c>
      <c r="N57" s="11">
        <f t="shared" si="1"/>
        <v>756</v>
      </c>
    </row>
    <row r="58" spans="3:14" x14ac:dyDescent="0.3">
      <c r="C58" s="6">
        <v>43676</v>
      </c>
      <c r="D58" s="7" t="s">
        <v>12</v>
      </c>
      <c r="E58" s="8">
        <v>2019</v>
      </c>
      <c r="F58" s="9" t="s">
        <v>78</v>
      </c>
      <c r="G58" s="9" t="s">
        <v>14</v>
      </c>
      <c r="H58" s="10" t="s">
        <v>18</v>
      </c>
      <c r="I58" s="7">
        <v>72</v>
      </c>
      <c r="J58" s="11">
        <v>81</v>
      </c>
      <c r="K58" s="11">
        <f t="shared" si="0"/>
        <v>5832</v>
      </c>
      <c r="L58" s="11">
        <v>0</v>
      </c>
      <c r="M58" s="11">
        <v>699.83999999999992</v>
      </c>
      <c r="N58" s="11">
        <f t="shared" si="1"/>
        <v>6531.84</v>
      </c>
    </row>
    <row r="59" spans="3:14" x14ac:dyDescent="0.3">
      <c r="C59" s="6">
        <v>43677</v>
      </c>
      <c r="D59" s="7" t="s">
        <v>12</v>
      </c>
      <c r="E59" s="8">
        <v>2019</v>
      </c>
      <c r="F59" s="9" t="s">
        <v>80</v>
      </c>
      <c r="G59" s="9" t="s">
        <v>14</v>
      </c>
      <c r="H59" s="10" t="s">
        <v>34</v>
      </c>
      <c r="I59" s="7">
        <v>36</v>
      </c>
      <c r="J59" s="11">
        <v>19</v>
      </c>
      <c r="K59" s="11">
        <f t="shared" si="0"/>
        <v>684</v>
      </c>
      <c r="L59" s="11">
        <v>5.0000000745058101E-2</v>
      </c>
      <c r="M59" s="11">
        <v>82.08</v>
      </c>
      <c r="N59" s="11">
        <f t="shared" si="1"/>
        <v>766.02999999925498</v>
      </c>
    </row>
    <row r="60" spans="3:14" x14ac:dyDescent="0.3">
      <c r="C60" s="6">
        <v>43677</v>
      </c>
      <c r="D60" s="7" t="s">
        <v>12</v>
      </c>
      <c r="E60" s="8">
        <v>2019</v>
      </c>
      <c r="F60" s="9" t="s">
        <v>80</v>
      </c>
      <c r="G60" s="9" t="s">
        <v>14</v>
      </c>
      <c r="H60" s="10" t="s">
        <v>18</v>
      </c>
      <c r="I60" s="7">
        <v>88</v>
      </c>
      <c r="J60" s="11">
        <v>19</v>
      </c>
      <c r="K60" s="11">
        <f t="shared" si="0"/>
        <v>1672</v>
      </c>
      <c r="L60" s="11">
        <v>5.0000000745058101E-2</v>
      </c>
      <c r="M60" s="11">
        <v>200.64</v>
      </c>
      <c r="N60" s="11">
        <f t="shared" si="1"/>
        <v>1872.5899999992548</v>
      </c>
    </row>
    <row r="61" spans="3:14" x14ac:dyDescent="0.3">
      <c r="C61" s="6">
        <v>43678</v>
      </c>
      <c r="D61" s="7" t="s">
        <v>81</v>
      </c>
      <c r="E61" s="8">
        <v>2019</v>
      </c>
      <c r="F61" s="9" t="s">
        <v>73</v>
      </c>
      <c r="G61" s="9" t="s">
        <v>24</v>
      </c>
      <c r="H61" s="10" t="s">
        <v>48</v>
      </c>
      <c r="I61" s="7">
        <v>88</v>
      </c>
      <c r="J61" s="11">
        <v>42</v>
      </c>
      <c r="K61" s="11">
        <f t="shared" si="0"/>
        <v>3696</v>
      </c>
      <c r="L61" s="11">
        <v>0</v>
      </c>
      <c r="M61" s="11">
        <v>443.52</v>
      </c>
      <c r="N61" s="11">
        <f t="shared" si="1"/>
        <v>4139.5200000000004</v>
      </c>
    </row>
    <row r="62" spans="3:14" x14ac:dyDescent="0.3">
      <c r="C62" s="6">
        <v>43678</v>
      </c>
      <c r="D62" s="7" t="s">
        <v>81</v>
      </c>
      <c r="E62" s="8">
        <v>2019</v>
      </c>
      <c r="F62" s="9" t="s">
        <v>73</v>
      </c>
      <c r="G62" s="9" t="s">
        <v>37</v>
      </c>
      <c r="H62" s="10" t="s">
        <v>82</v>
      </c>
      <c r="I62" s="7">
        <v>96</v>
      </c>
      <c r="J62" s="11">
        <v>28</v>
      </c>
      <c r="K62" s="11">
        <f t="shared" si="0"/>
        <v>2688</v>
      </c>
      <c r="L62" s="11">
        <v>0</v>
      </c>
      <c r="M62" s="11">
        <v>322.56</v>
      </c>
      <c r="N62" s="11">
        <f t="shared" si="1"/>
        <v>3010.56</v>
      </c>
    </row>
    <row r="63" spans="3:14" x14ac:dyDescent="0.3">
      <c r="C63" s="6">
        <v>43678</v>
      </c>
      <c r="D63" s="7" t="s">
        <v>81</v>
      </c>
      <c r="E63" s="8">
        <v>2019</v>
      </c>
      <c r="F63" s="9" t="s">
        <v>83</v>
      </c>
      <c r="G63" s="9" t="s">
        <v>14</v>
      </c>
      <c r="H63" s="10" t="s">
        <v>34</v>
      </c>
      <c r="I63" s="7">
        <v>41</v>
      </c>
      <c r="J63" s="11">
        <v>50</v>
      </c>
      <c r="K63" s="11">
        <f t="shared" si="0"/>
        <v>2050</v>
      </c>
      <c r="L63" s="11">
        <v>0</v>
      </c>
      <c r="M63" s="11">
        <v>246</v>
      </c>
      <c r="N63" s="11">
        <f t="shared" si="1"/>
        <v>2296</v>
      </c>
    </row>
    <row r="64" spans="3:14" x14ac:dyDescent="0.3">
      <c r="C64" s="6">
        <v>43679</v>
      </c>
      <c r="D64" s="7" t="s">
        <v>81</v>
      </c>
      <c r="E64" s="8">
        <v>2019</v>
      </c>
      <c r="F64" s="9" t="s">
        <v>66</v>
      </c>
      <c r="G64" s="9" t="s">
        <v>32</v>
      </c>
      <c r="H64" s="10" t="s">
        <v>33</v>
      </c>
      <c r="I64" s="7">
        <v>53</v>
      </c>
      <c r="J64" s="11">
        <v>75</v>
      </c>
      <c r="K64" s="11">
        <f t="shared" si="0"/>
        <v>3975</v>
      </c>
      <c r="L64" s="11">
        <v>0</v>
      </c>
      <c r="M64" s="11">
        <v>477</v>
      </c>
      <c r="N64" s="11">
        <f t="shared" si="1"/>
        <v>4452</v>
      </c>
    </row>
    <row r="65" spans="3:14" x14ac:dyDescent="0.3">
      <c r="C65" s="6">
        <v>43679</v>
      </c>
      <c r="D65" s="7" t="s">
        <v>81</v>
      </c>
      <c r="E65" s="8">
        <v>2019</v>
      </c>
      <c r="F65" s="9" t="s">
        <v>66</v>
      </c>
      <c r="G65" s="9" t="s">
        <v>14</v>
      </c>
      <c r="H65" s="10" t="s">
        <v>36</v>
      </c>
      <c r="I65" s="7">
        <v>71</v>
      </c>
      <c r="J65" s="11">
        <v>61</v>
      </c>
      <c r="K65" s="11">
        <f t="shared" si="0"/>
        <v>4331</v>
      </c>
      <c r="L65" s="11">
        <v>0</v>
      </c>
      <c r="M65" s="11">
        <v>519.72</v>
      </c>
      <c r="N65" s="11">
        <f t="shared" si="1"/>
        <v>4850.72</v>
      </c>
    </row>
    <row r="66" spans="3:14" x14ac:dyDescent="0.3">
      <c r="C66" s="6">
        <v>43679</v>
      </c>
      <c r="D66" s="7" t="s">
        <v>81</v>
      </c>
      <c r="E66" s="8">
        <v>2019</v>
      </c>
      <c r="F66" s="9" t="s">
        <v>66</v>
      </c>
      <c r="G66" s="9" t="s">
        <v>14</v>
      </c>
      <c r="H66" s="10" t="s">
        <v>18</v>
      </c>
      <c r="I66" s="7">
        <v>90</v>
      </c>
      <c r="J66" s="11">
        <v>22</v>
      </c>
      <c r="K66" s="11">
        <f t="shared" si="0"/>
        <v>1980</v>
      </c>
      <c r="L66" s="11">
        <v>0</v>
      </c>
      <c r="M66" s="11">
        <v>237.6</v>
      </c>
      <c r="N66" s="11">
        <f t="shared" si="1"/>
        <v>2217.6</v>
      </c>
    </row>
    <row r="67" spans="3:14" x14ac:dyDescent="0.3">
      <c r="C67" s="6">
        <v>43682</v>
      </c>
      <c r="D67" s="7" t="s">
        <v>81</v>
      </c>
      <c r="E67" s="8">
        <v>2019</v>
      </c>
      <c r="F67" s="9" t="s">
        <v>84</v>
      </c>
      <c r="G67" s="9" t="s">
        <v>24</v>
      </c>
      <c r="H67" s="10" t="s">
        <v>85</v>
      </c>
      <c r="I67" s="7">
        <v>12</v>
      </c>
      <c r="J67" s="11">
        <v>18</v>
      </c>
      <c r="K67" s="11">
        <f t="shared" ref="K67:K130" si="2">J67*I67</f>
        <v>216</v>
      </c>
      <c r="L67" s="11">
        <v>5.0000000745058101E-2</v>
      </c>
      <c r="M67" s="11">
        <v>25.919999999999998</v>
      </c>
      <c r="N67" s="11">
        <f t="shared" ref="N67:N130" si="3">K67-L67+M67</f>
        <v>241.86999999925493</v>
      </c>
    </row>
    <row r="68" spans="3:14" x14ac:dyDescent="0.3">
      <c r="C68" s="6">
        <v>43682</v>
      </c>
      <c r="D68" s="7" t="s">
        <v>81</v>
      </c>
      <c r="E68" s="8">
        <v>2019</v>
      </c>
      <c r="F68" s="9" t="s">
        <v>84</v>
      </c>
      <c r="G68" s="9" t="s">
        <v>14</v>
      </c>
      <c r="H68" s="10" t="s">
        <v>36</v>
      </c>
      <c r="I68" s="7">
        <v>95</v>
      </c>
      <c r="J68" s="11">
        <v>16</v>
      </c>
      <c r="K68" s="11">
        <f t="shared" si="2"/>
        <v>1520</v>
      </c>
      <c r="L68" s="11">
        <v>5.0000000745058101E-2</v>
      </c>
      <c r="M68" s="11">
        <v>182.4</v>
      </c>
      <c r="N68" s="11">
        <f t="shared" si="3"/>
        <v>1702.349999999255</v>
      </c>
    </row>
    <row r="69" spans="3:14" x14ac:dyDescent="0.3">
      <c r="C69" s="6">
        <v>43682</v>
      </c>
      <c r="D69" s="7" t="s">
        <v>81</v>
      </c>
      <c r="E69" s="8">
        <v>2019</v>
      </c>
      <c r="F69" s="9" t="s">
        <v>84</v>
      </c>
      <c r="G69" s="9" t="s">
        <v>14</v>
      </c>
      <c r="H69" s="10" t="s">
        <v>34</v>
      </c>
      <c r="I69" s="7">
        <v>63</v>
      </c>
      <c r="J69" s="11">
        <v>57</v>
      </c>
      <c r="K69" s="11">
        <f t="shared" si="2"/>
        <v>3591</v>
      </c>
      <c r="L69" s="11">
        <v>0</v>
      </c>
      <c r="M69" s="11">
        <v>430.91999999999996</v>
      </c>
      <c r="N69" s="11">
        <f t="shared" si="3"/>
        <v>4021.92</v>
      </c>
    </row>
    <row r="70" spans="3:14" x14ac:dyDescent="0.3">
      <c r="C70" s="6">
        <v>43682</v>
      </c>
      <c r="D70" s="7" t="s">
        <v>81</v>
      </c>
      <c r="E70" s="8">
        <v>2019</v>
      </c>
      <c r="F70" s="9" t="s">
        <v>84</v>
      </c>
      <c r="G70" s="9" t="s">
        <v>24</v>
      </c>
      <c r="H70" s="10" t="s">
        <v>76</v>
      </c>
      <c r="I70" s="7">
        <v>68</v>
      </c>
      <c r="J70" s="11">
        <v>51</v>
      </c>
      <c r="K70" s="11">
        <f t="shared" si="2"/>
        <v>3468</v>
      </c>
      <c r="L70" s="11">
        <v>5.0000000745058101E-2</v>
      </c>
      <c r="M70" s="11">
        <v>416.15999999999997</v>
      </c>
      <c r="N70" s="11">
        <f t="shared" si="3"/>
        <v>3884.1099999992548</v>
      </c>
    </row>
    <row r="71" spans="3:14" x14ac:dyDescent="0.3">
      <c r="C71" s="6">
        <v>43682</v>
      </c>
      <c r="D71" s="7" t="s">
        <v>81</v>
      </c>
      <c r="E71" s="8">
        <v>2019</v>
      </c>
      <c r="F71" s="9" t="s">
        <v>84</v>
      </c>
      <c r="G71" s="9" t="s">
        <v>37</v>
      </c>
      <c r="H71" s="10" t="s">
        <v>77</v>
      </c>
      <c r="I71" s="7">
        <v>23</v>
      </c>
      <c r="J71" s="11">
        <v>94</v>
      </c>
      <c r="K71" s="11">
        <f t="shared" si="2"/>
        <v>2162</v>
      </c>
      <c r="L71" s="11">
        <v>5.0000000745058101E-2</v>
      </c>
      <c r="M71" s="11">
        <v>259.44</v>
      </c>
      <c r="N71" s="11">
        <f t="shared" si="3"/>
        <v>2421.389999999255</v>
      </c>
    </row>
    <row r="72" spans="3:14" x14ac:dyDescent="0.3">
      <c r="C72" s="6">
        <v>43683</v>
      </c>
      <c r="D72" s="7" t="s">
        <v>81</v>
      </c>
      <c r="E72" s="8">
        <v>2019</v>
      </c>
      <c r="F72" s="9" t="s">
        <v>86</v>
      </c>
      <c r="G72" s="9" t="s">
        <v>14</v>
      </c>
      <c r="H72" s="10" t="s">
        <v>87</v>
      </c>
      <c r="I72" s="7">
        <v>12</v>
      </c>
      <c r="J72" s="11">
        <v>79</v>
      </c>
      <c r="K72" s="11">
        <f t="shared" si="2"/>
        <v>948</v>
      </c>
      <c r="L72" s="11">
        <v>0</v>
      </c>
      <c r="M72" s="11">
        <v>113.75999999999999</v>
      </c>
      <c r="N72" s="11">
        <f t="shared" si="3"/>
        <v>1061.76</v>
      </c>
    </row>
    <row r="73" spans="3:14" x14ac:dyDescent="0.3">
      <c r="C73" s="6">
        <v>43683</v>
      </c>
      <c r="D73" s="7" t="s">
        <v>81</v>
      </c>
      <c r="E73" s="8">
        <v>2019</v>
      </c>
      <c r="F73" s="9" t="s">
        <v>86</v>
      </c>
      <c r="G73" s="9" t="s">
        <v>14</v>
      </c>
      <c r="H73" s="10" t="s">
        <v>18</v>
      </c>
      <c r="I73" s="7">
        <v>7</v>
      </c>
      <c r="J73" s="11">
        <v>17</v>
      </c>
      <c r="K73" s="11">
        <f t="shared" si="2"/>
        <v>119</v>
      </c>
      <c r="L73" s="11">
        <v>0</v>
      </c>
      <c r="M73" s="11">
        <v>14.28</v>
      </c>
      <c r="N73" s="11">
        <f t="shared" si="3"/>
        <v>133.28</v>
      </c>
    </row>
    <row r="74" spans="3:14" x14ac:dyDescent="0.3">
      <c r="C74" s="6">
        <v>43684</v>
      </c>
      <c r="D74" s="7" t="s">
        <v>81</v>
      </c>
      <c r="E74" s="8">
        <v>2019</v>
      </c>
      <c r="F74" s="9" t="s">
        <v>88</v>
      </c>
      <c r="G74" s="9" t="s">
        <v>37</v>
      </c>
      <c r="H74" s="10" t="s">
        <v>41</v>
      </c>
      <c r="I74" s="7">
        <v>43</v>
      </c>
      <c r="J74" s="11">
        <v>64</v>
      </c>
      <c r="K74" s="11">
        <f t="shared" si="2"/>
        <v>2752</v>
      </c>
      <c r="L74" s="11">
        <v>5.0000000745058101E-2</v>
      </c>
      <c r="M74" s="11">
        <v>330.24</v>
      </c>
      <c r="N74" s="11">
        <f t="shared" si="3"/>
        <v>3082.1899999992547</v>
      </c>
    </row>
    <row r="75" spans="3:14" x14ac:dyDescent="0.3">
      <c r="C75" s="6">
        <v>43684</v>
      </c>
      <c r="D75" s="7" t="s">
        <v>81</v>
      </c>
      <c r="E75" s="8">
        <v>2019</v>
      </c>
      <c r="F75" s="9" t="s">
        <v>88</v>
      </c>
      <c r="G75" s="9" t="s">
        <v>14</v>
      </c>
      <c r="H75" s="10" t="s">
        <v>49</v>
      </c>
      <c r="I75" s="7">
        <v>19</v>
      </c>
      <c r="J75" s="11">
        <v>10</v>
      </c>
      <c r="K75" s="11">
        <f t="shared" si="2"/>
        <v>190</v>
      </c>
      <c r="L75" s="11">
        <v>5.0000000745058101E-2</v>
      </c>
      <c r="M75" s="11">
        <v>22.8</v>
      </c>
      <c r="N75" s="11">
        <f t="shared" si="3"/>
        <v>212.74999999925495</v>
      </c>
    </row>
    <row r="76" spans="3:14" x14ac:dyDescent="0.3">
      <c r="C76" s="6">
        <v>43685</v>
      </c>
      <c r="D76" s="7" t="s">
        <v>81</v>
      </c>
      <c r="E76" s="8">
        <v>2019</v>
      </c>
      <c r="F76" s="9" t="s">
        <v>89</v>
      </c>
      <c r="G76" s="9" t="s">
        <v>24</v>
      </c>
      <c r="H76" s="10" t="s">
        <v>85</v>
      </c>
      <c r="I76" s="7">
        <v>64</v>
      </c>
      <c r="J76" s="11">
        <v>21</v>
      </c>
      <c r="K76" s="11">
        <f t="shared" si="2"/>
        <v>1344</v>
      </c>
      <c r="L76" s="11">
        <v>0</v>
      </c>
      <c r="M76" s="11">
        <v>161.28</v>
      </c>
      <c r="N76" s="11">
        <f t="shared" si="3"/>
        <v>1505.28</v>
      </c>
    </row>
    <row r="77" spans="3:14" x14ac:dyDescent="0.3">
      <c r="C77" s="6">
        <v>43685</v>
      </c>
      <c r="D77" s="7" t="s">
        <v>81</v>
      </c>
      <c r="E77" s="8">
        <v>2019</v>
      </c>
      <c r="F77" s="9" t="s">
        <v>89</v>
      </c>
      <c r="G77" s="9" t="s">
        <v>24</v>
      </c>
      <c r="H77" s="10" t="s">
        <v>90</v>
      </c>
      <c r="I77" s="7">
        <v>49</v>
      </c>
      <c r="J77" s="11">
        <v>87</v>
      </c>
      <c r="K77" s="11">
        <f t="shared" si="2"/>
        <v>4263</v>
      </c>
      <c r="L77" s="11">
        <v>0</v>
      </c>
      <c r="M77" s="11">
        <v>511.56</v>
      </c>
      <c r="N77" s="11">
        <f t="shared" si="3"/>
        <v>4774.5600000000004</v>
      </c>
    </row>
    <row r="78" spans="3:14" x14ac:dyDescent="0.3">
      <c r="C78" s="6">
        <v>43686</v>
      </c>
      <c r="D78" s="7" t="s">
        <v>81</v>
      </c>
      <c r="E78" s="8">
        <v>2019</v>
      </c>
      <c r="F78" s="9" t="s">
        <v>91</v>
      </c>
      <c r="G78" s="9" t="s">
        <v>20</v>
      </c>
      <c r="H78" s="10" t="s">
        <v>92</v>
      </c>
      <c r="I78" s="7">
        <v>20</v>
      </c>
      <c r="J78" s="11">
        <v>87</v>
      </c>
      <c r="K78" s="11">
        <f t="shared" si="2"/>
        <v>1740</v>
      </c>
      <c r="L78" s="11">
        <v>0</v>
      </c>
      <c r="M78" s="11">
        <v>208.79999999999998</v>
      </c>
      <c r="N78" s="11">
        <f t="shared" si="3"/>
        <v>1948.8</v>
      </c>
    </row>
    <row r="79" spans="3:14" x14ac:dyDescent="0.3">
      <c r="C79" s="6">
        <v>43686</v>
      </c>
      <c r="D79" s="7" t="s">
        <v>81</v>
      </c>
      <c r="E79" s="8">
        <v>2019</v>
      </c>
      <c r="F79" s="9" t="s">
        <v>91</v>
      </c>
      <c r="G79" s="9" t="s">
        <v>32</v>
      </c>
      <c r="H79" s="10" t="s">
        <v>62</v>
      </c>
      <c r="I79" s="7">
        <v>6</v>
      </c>
      <c r="J79" s="11">
        <v>24</v>
      </c>
      <c r="K79" s="11">
        <f t="shared" si="2"/>
        <v>144</v>
      </c>
      <c r="L79" s="11">
        <v>0</v>
      </c>
      <c r="M79" s="11">
        <v>17.28</v>
      </c>
      <c r="N79" s="11">
        <f t="shared" si="3"/>
        <v>161.28</v>
      </c>
    </row>
    <row r="80" spans="3:14" x14ac:dyDescent="0.3">
      <c r="C80" s="6">
        <v>43689</v>
      </c>
      <c r="D80" s="7" t="s">
        <v>81</v>
      </c>
      <c r="E80" s="8">
        <v>2019</v>
      </c>
      <c r="F80" s="9" t="s">
        <v>93</v>
      </c>
      <c r="G80" s="9" t="s">
        <v>26</v>
      </c>
      <c r="H80" s="10" t="s">
        <v>94</v>
      </c>
      <c r="I80" s="7">
        <v>5</v>
      </c>
      <c r="J80" s="11">
        <v>88</v>
      </c>
      <c r="K80" s="11">
        <f t="shared" si="2"/>
        <v>440</v>
      </c>
      <c r="L80" s="11">
        <v>0</v>
      </c>
      <c r="M80" s="11">
        <v>52.8</v>
      </c>
      <c r="N80" s="11">
        <f t="shared" si="3"/>
        <v>492.8</v>
      </c>
    </row>
    <row r="81" spans="3:14" x14ac:dyDescent="0.3">
      <c r="C81" s="6">
        <v>43689</v>
      </c>
      <c r="D81" s="7" t="s">
        <v>81</v>
      </c>
      <c r="E81" s="8">
        <v>2019</v>
      </c>
      <c r="F81" s="9" t="s">
        <v>93</v>
      </c>
      <c r="G81" s="9" t="s">
        <v>14</v>
      </c>
      <c r="H81" s="10" t="s">
        <v>49</v>
      </c>
      <c r="I81" s="7">
        <v>38</v>
      </c>
      <c r="J81" s="11">
        <v>63</v>
      </c>
      <c r="K81" s="11">
        <f t="shared" si="2"/>
        <v>2394</v>
      </c>
      <c r="L81" s="11">
        <v>0</v>
      </c>
      <c r="M81" s="11">
        <v>287.27999999999997</v>
      </c>
      <c r="N81" s="11">
        <f t="shared" si="3"/>
        <v>2681.2799999999997</v>
      </c>
    </row>
    <row r="82" spans="3:14" x14ac:dyDescent="0.3">
      <c r="C82" s="6">
        <v>43689</v>
      </c>
      <c r="D82" s="7" t="s">
        <v>81</v>
      </c>
      <c r="E82" s="8">
        <v>2019</v>
      </c>
      <c r="F82" s="9" t="s">
        <v>93</v>
      </c>
      <c r="G82" s="9" t="s">
        <v>26</v>
      </c>
      <c r="H82" s="10" t="s">
        <v>95</v>
      </c>
      <c r="I82" s="7">
        <v>3</v>
      </c>
      <c r="J82" s="11">
        <v>87</v>
      </c>
      <c r="K82" s="11">
        <f t="shared" si="2"/>
        <v>261</v>
      </c>
      <c r="L82" s="11">
        <v>0</v>
      </c>
      <c r="M82" s="11">
        <v>31.32</v>
      </c>
      <c r="N82" s="11">
        <f t="shared" si="3"/>
        <v>292.32</v>
      </c>
    </row>
    <row r="83" spans="3:14" x14ac:dyDescent="0.3">
      <c r="C83" s="6">
        <v>43689</v>
      </c>
      <c r="D83" s="7" t="s">
        <v>81</v>
      </c>
      <c r="E83" s="8">
        <v>2019</v>
      </c>
      <c r="F83" s="9" t="s">
        <v>93</v>
      </c>
      <c r="G83" s="9" t="s">
        <v>24</v>
      </c>
      <c r="H83" s="10" t="s">
        <v>96</v>
      </c>
      <c r="I83" s="7">
        <v>26</v>
      </c>
      <c r="J83" s="11">
        <v>89</v>
      </c>
      <c r="K83" s="11">
        <f t="shared" si="2"/>
        <v>2314</v>
      </c>
      <c r="L83" s="11">
        <v>0</v>
      </c>
      <c r="M83" s="11">
        <v>277.68</v>
      </c>
      <c r="N83" s="11">
        <f t="shared" si="3"/>
        <v>2591.6799999999998</v>
      </c>
    </row>
    <row r="84" spans="3:14" x14ac:dyDescent="0.3">
      <c r="C84" s="6">
        <v>43690</v>
      </c>
      <c r="D84" s="7" t="s">
        <v>81</v>
      </c>
      <c r="E84" s="8">
        <v>2019</v>
      </c>
      <c r="F84" s="9" t="s">
        <v>97</v>
      </c>
      <c r="G84" s="9" t="s">
        <v>42</v>
      </c>
      <c r="H84" s="10" t="s">
        <v>72</v>
      </c>
      <c r="I84" s="7">
        <v>95</v>
      </c>
      <c r="J84" s="11">
        <v>23</v>
      </c>
      <c r="K84" s="11">
        <f t="shared" si="2"/>
        <v>2185</v>
      </c>
      <c r="L84" s="11">
        <v>0.25</v>
      </c>
      <c r="M84" s="11">
        <v>262.2</v>
      </c>
      <c r="N84" s="11">
        <f t="shared" si="3"/>
        <v>2446.9499999999998</v>
      </c>
    </row>
    <row r="85" spans="3:14" x14ac:dyDescent="0.3">
      <c r="C85" s="6">
        <v>43691</v>
      </c>
      <c r="D85" s="7" t="s">
        <v>81</v>
      </c>
      <c r="E85" s="8">
        <v>2019</v>
      </c>
      <c r="F85" s="9" t="s">
        <v>93</v>
      </c>
      <c r="G85" s="9" t="s">
        <v>37</v>
      </c>
      <c r="H85" s="10" t="s">
        <v>41</v>
      </c>
      <c r="I85" s="7">
        <v>57</v>
      </c>
      <c r="J85" s="11">
        <v>76</v>
      </c>
      <c r="K85" s="11">
        <f t="shared" si="2"/>
        <v>4332</v>
      </c>
      <c r="L85" s="11">
        <v>0</v>
      </c>
      <c r="M85" s="11">
        <v>519.84</v>
      </c>
      <c r="N85" s="11">
        <f t="shared" si="3"/>
        <v>4851.84</v>
      </c>
    </row>
    <row r="86" spans="3:14" x14ac:dyDescent="0.3">
      <c r="C86" s="6">
        <v>43691</v>
      </c>
      <c r="D86" s="7" t="s">
        <v>81</v>
      </c>
      <c r="E86" s="8">
        <v>2019</v>
      </c>
      <c r="F86" s="9" t="s">
        <v>93</v>
      </c>
      <c r="G86" s="9" t="s">
        <v>42</v>
      </c>
      <c r="H86" s="10" t="s">
        <v>43</v>
      </c>
      <c r="I86" s="7">
        <v>92</v>
      </c>
      <c r="J86" s="11">
        <v>43</v>
      </c>
      <c r="K86" s="11">
        <f t="shared" si="2"/>
        <v>3956</v>
      </c>
      <c r="L86" s="11">
        <v>0</v>
      </c>
      <c r="M86" s="11">
        <v>474.71999999999997</v>
      </c>
      <c r="N86" s="11">
        <f t="shared" si="3"/>
        <v>4430.72</v>
      </c>
    </row>
    <row r="87" spans="3:14" x14ac:dyDescent="0.3">
      <c r="C87" s="6">
        <v>43691</v>
      </c>
      <c r="D87" s="7" t="s">
        <v>81</v>
      </c>
      <c r="E87" s="8">
        <v>2019</v>
      </c>
      <c r="F87" s="9" t="s">
        <v>93</v>
      </c>
      <c r="G87" s="9" t="s">
        <v>37</v>
      </c>
      <c r="H87" s="10" t="s">
        <v>98</v>
      </c>
      <c r="I87" s="7">
        <v>46</v>
      </c>
      <c r="J87" s="11">
        <v>44</v>
      </c>
      <c r="K87" s="11">
        <f t="shared" si="2"/>
        <v>2024</v>
      </c>
      <c r="L87" s="11">
        <v>0</v>
      </c>
      <c r="M87" s="11">
        <v>242.88</v>
      </c>
      <c r="N87" s="11">
        <f t="shared" si="3"/>
        <v>2266.88</v>
      </c>
    </row>
    <row r="88" spans="3:14" x14ac:dyDescent="0.3">
      <c r="C88" s="6">
        <v>43691</v>
      </c>
      <c r="D88" s="7" t="s">
        <v>81</v>
      </c>
      <c r="E88" s="8">
        <v>2019</v>
      </c>
      <c r="F88" s="9" t="s">
        <v>99</v>
      </c>
      <c r="G88" s="9" t="s">
        <v>32</v>
      </c>
      <c r="H88" s="10" t="s">
        <v>100</v>
      </c>
      <c r="I88" s="7">
        <v>84</v>
      </c>
      <c r="J88" s="11">
        <v>30</v>
      </c>
      <c r="K88" s="11">
        <f t="shared" si="2"/>
        <v>2520</v>
      </c>
      <c r="L88" s="11">
        <v>0</v>
      </c>
      <c r="M88" s="11">
        <v>302.39999999999998</v>
      </c>
      <c r="N88" s="11">
        <f t="shared" si="3"/>
        <v>2822.4</v>
      </c>
    </row>
    <row r="89" spans="3:14" x14ac:dyDescent="0.3">
      <c r="C89" s="6">
        <v>43691</v>
      </c>
      <c r="D89" s="7" t="s">
        <v>81</v>
      </c>
      <c r="E89" s="8">
        <v>2019</v>
      </c>
      <c r="F89" s="9" t="s">
        <v>99</v>
      </c>
      <c r="G89" s="9" t="s">
        <v>37</v>
      </c>
      <c r="H89" s="10" t="s">
        <v>41</v>
      </c>
      <c r="I89" s="7">
        <v>87</v>
      </c>
      <c r="J89" s="11">
        <v>68</v>
      </c>
      <c r="K89" s="11">
        <f t="shared" si="2"/>
        <v>5916</v>
      </c>
      <c r="L89" s="11">
        <v>0</v>
      </c>
      <c r="M89" s="11">
        <v>709.92</v>
      </c>
      <c r="N89" s="11">
        <f t="shared" si="3"/>
        <v>6625.92</v>
      </c>
    </row>
    <row r="90" spans="3:14" x14ac:dyDescent="0.3">
      <c r="C90" s="6">
        <v>43691</v>
      </c>
      <c r="D90" s="7" t="s">
        <v>81</v>
      </c>
      <c r="E90" s="8">
        <v>2019</v>
      </c>
      <c r="F90" s="9" t="s">
        <v>99</v>
      </c>
      <c r="G90" s="9" t="s">
        <v>37</v>
      </c>
      <c r="H90" s="10" t="s">
        <v>65</v>
      </c>
      <c r="I90" s="7">
        <v>9</v>
      </c>
      <c r="J90" s="11">
        <v>20</v>
      </c>
      <c r="K90" s="11">
        <f t="shared" si="2"/>
        <v>180</v>
      </c>
      <c r="L90" s="11">
        <v>0</v>
      </c>
      <c r="M90" s="11">
        <v>21.599999999999998</v>
      </c>
      <c r="N90" s="11">
        <f t="shared" si="3"/>
        <v>201.6</v>
      </c>
    </row>
    <row r="91" spans="3:14" x14ac:dyDescent="0.3">
      <c r="C91" s="6">
        <v>43692</v>
      </c>
      <c r="D91" s="7" t="s">
        <v>81</v>
      </c>
      <c r="E91" s="8">
        <v>2019</v>
      </c>
      <c r="F91" s="9" t="s">
        <v>99</v>
      </c>
      <c r="G91" s="9" t="s">
        <v>24</v>
      </c>
      <c r="H91" s="10" t="s">
        <v>69</v>
      </c>
      <c r="I91" s="7">
        <v>96</v>
      </c>
      <c r="J91" s="11">
        <v>79</v>
      </c>
      <c r="K91" s="11">
        <f t="shared" si="2"/>
        <v>7584</v>
      </c>
      <c r="L91" s="11">
        <v>0</v>
      </c>
      <c r="M91" s="11">
        <v>910.07999999999993</v>
      </c>
      <c r="N91" s="11">
        <f t="shared" si="3"/>
        <v>8494.08</v>
      </c>
    </row>
    <row r="92" spans="3:14" x14ac:dyDescent="0.3">
      <c r="C92" s="6">
        <v>43692</v>
      </c>
      <c r="D92" s="7" t="s">
        <v>81</v>
      </c>
      <c r="E92" s="8">
        <v>2019</v>
      </c>
      <c r="F92" s="9" t="s">
        <v>99</v>
      </c>
      <c r="G92" s="9" t="s">
        <v>16</v>
      </c>
      <c r="H92" s="10" t="s">
        <v>30</v>
      </c>
      <c r="I92" s="7">
        <v>11</v>
      </c>
      <c r="J92" s="11">
        <v>96</v>
      </c>
      <c r="K92" s="11">
        <f t="shared" si="2"/>
        <v>1056</v>
      </c>
      <c r="L92" s="11">
        <v>0</v>
      </c>
      <c r="M92" s="11">
        <v>126.72</v>
      </c>
      <c r="N92" s="11">
        <f t="shared" si="3"/>
        <v>1182.72</v>
      </c>
    </row>
    <row r="93" spans="3:14" x14ac:dyDescent="0.3">
      <c r="C93" s="6">
        <v>43693</v>
      </c>
      <c r="D93" s="7" t="s">
        <v>81</v>
      </c>
      <c r="E93" s="8">
        <v>2019</v>
      </c>
      <c r="F93" s="9" t="s">
        <v>101</v>
      </c>
      <c r="G93" s="9" t="s">
        <v>26</v>
      </c>
      <c r="H93" s="10" t="s">
        <v>102</v>
      </c>
      <c r="I93" s="7">
        <v>12</v>
      </c>
      <c r="J93" s="11">
        <v>61</v>
      </c>
      <c r="K93" s="11">
        <f t="shared" si="2"/>
        <v>732</v>
      </c>
      <c r="L93" s="11">
        <v>0</v>
      </c>
      <c r="M93" s="11">
        <v>87.84</v>
      </c>
      <c r="N93" s="11">
        <f t="shared" si="3"/>
        <v>819.84</v>
      </c>
    </row>
    <row r="94" spans="3:14" x14ac:dyDescent="0.3">
      <c r="C94" s="6">
        <v>43693</v>
      </c>
      <c r="D94" s="7" t="s">
        <v>81</v>
      </c>
      <c r="E94" s="8">
        <v>2019</v>
      </c>
      <c r="F94" s="9" t="s">
        <v>101</v>
      </c>
      <c r="G94" s="9" t="s">
        <v>32</v>
      </c>
      <c r="H94" s="10" t="s">
        <v>100</v>
      </c>
      <c r="I94" s="7">
        <v>61</v>
      </c>
      <c r="J94" s="11">
        <v>88</v>
      </c>
      <c r="K94" s="11">
        <f t="shared" si="2"/>
        <v>5368</v>
      </c>
      <c r="L94" s="11">
        <v>0</v>
      </c>
      <c r="M94" s="11">
        <v>644.16</v>
      </c>
      <c r="N94" s="11">
        <f t="shared" si="3"/>
        <v>6012.16</v>
      </c>
    </row>
    <row r="95" spans="3:14" x14ac:dyDescent="0.3">
      <c r="C95" s="6">
        <v>43693</v>
      </c>
      <c r="D95" s="7" t="s">
        <v>81</v>
      </c>
      <c r="E95" s="8">
        <v>2019</v>
      </c>
      <c r="F95" s="9" t="s">
        <v>101</v>
      </c>
      <c r="G95" s="9" t="s">
        <v>14</v>
      </c>
      <c r="H95" s="10" t="s">
        <v>35</v>
      </c>
      <c r="I95" s="7">
        <v>49</v>
      </c>
      <c r="J95" s="11">
        <v>71</v>
      </c>
      <c r="K95" s="11">
        <f t="shared" si="2"/>
        <v>3479</v>
      </c>
      <c r="L95" s="11">
        <v>0</v>
      </c>
      <c r="M95" s="11">
        <v>417.47999999999996</v>
      </c>
      <c r="N95" s="11">
        <f t="shared" si="3"/>
        <v>3896.48</v>
      </c>
    </row>
    <row r="96" spans="3:14" x14ac:dyDescent="0.3">
      <c r="C96" s="6">
        <v>43693</v>
      </c>
      <c r="D96" s="7" t="s">
        <v>81</v>
      </c>
      <c r="E96" s="8">
        <v>2019</v>
      </c>
      <c r="F96" s="9" t="s">
        <v>101</v>
      </c>
      <c r="G96" s="9" t="s">
        <v>14</v>
      </c>
      <c r="H96" s="10" t="s">
        <v>18</v>
      </c>
      <c r="I96" s="7">
        <v>1</v>
      </c>
      <c r="J96" s="11">
        <v>66</v>
      </c>
      <c r="K96" s="11">
        <f t="shared" si="2"/>
        <v>66</v>
      </c>
      <c r="L96" s="11">
        <v>0</v>
      </c>
      <c r="M96" s="11">
        <v>7.92</v>
      </c>
      <c r="N96" s="11">
        <f t="shared" si="3"/>
        <v>73.92</v>
      </c>
    </row>
    <row r="97" spans="3:14" x14ac:dyDescent="0.3">
      <c r="C97" s="6">
        <v>43696</v>
      </c>
      <c r="D97" s="7" t="s">
        <v>81</v>
      </c>
      <c r="E97" s="8">
        <v>2019</v>
      </c>
      <c r="F97" s="9" t="s">
        <v>97</v>
      </c>
      <c r="G97" s="9" t="s">
        <v>32</v>
      </c>
      <c r="H97" s="10" t="s">
        <v>54</v>
      </c>
      <c r="I97" s="7">
        <v>85</v>
      </c>
      <c r="J97" s="11">
        <v>94</v>
      </c>
      <c r="K97" s="11">
        <f t="shared" si="2"/>
        <v>7990</v>
      </c>
      <c r="L97" s="11">
        <v>0.25</v>
      </c>
      <c r="M97" s="11">
        <v>958.8</v>
      </c>
      <c r="N97" s="11">
        <f t="shared" si="3"/>
        <v>8948.5499999999993</v>
      </c>
    </row>
    <row r="98" spans="3:14" x14ac:dyDescent="0.3">
      <c r="C98" s="6">
        <v>43696</v>
      </c>
      <c r="D98" s="7" t="s">
        <v>81</v>
      </c>
      <c r="E98" s="8">
        <v>2019</v>
      </c>
      <c r="F98" s="9" t="s">
        <v>97</v>
      </c>
      <c r="G98" s="9" t="s">
        <v>26</v>
      </c>
      <c r="H98" s="10" t="s">
        <v>94</v>
      </c>
      <c r="I98" s="7">
        <v>81</v>
      </c>
      <c r="J98" s="11">
        <v>25</v>
      </c>
      <c r="K98" s="11">
        <f t="shared" si="2"/>
        <v>2025</v>
      </c>
      <c r="L98" s="11">
        <v>0</v>
      </c>
      <c r="M98" s="11">
        <v>243</v>
      </c>
      <c r="N98" s="11">
        <f t="shared" si="3"/>
        <v>2268</v>
      </c>
    </row>
    <row r="99" spans="3:14" x14ac:dyDescent="0.3">
      <c r="C99" s="6">
        <v>43696</v>
      </c>
      <c r="D99" s="7" t="s">
        <v>81</v>
      </c>
      <c r="E99" s="8">
        <v>2019</v>
      </c>
      <c r="F99" s="9" t="s">
        <v>97</v>
      </c>
      <c r="G99" s="9" t="s">
        <v>14</v>
      </c>
      <c r="H99" s="10" t="s">
        <v>35</v>
      </c>
      <c r="I99" s="7">
        <v>45</v>
      </c>
      <c r="J99" s="11">
        <v>93</v>
      </c>
      <c r="K99" s="11">
        <f t="shared" si="2"/>
        <v>4185</v>
      </c>
      <c r="L99" s="11">
        <v>0.25</v>
      </c>
      <c r="M99" s="11">
        <v>502.2</v>
      </c>
      <c r="N99" s="11">
        <f t="shared" si="3"/>
        <v>4686.95</v>
      </c>
    </row>
    <row r="100" spans="3:14" x14ac:dyDescent="0.3">
      <c r="C100" s="6">
        <v>43696</v>
      </c>
      <c r="D100" s="7" t="s">
        <v>81</v>
      </c>
      <c r="E100" s="8">
        <v>2019</v>
      </c>
      <c r="F100" s="9" t="s">
        <v>97</v>
      </c>
      <c r="G100" s="9" t="s">
        <v>37</v>
      </c>
      <c r="H100" s="10" t="s">
        <v>103</v>
      </c>
      <c r="I100" s="7">
        <v>61</v>
      </c>
      <c r="J100" s="11">
        <v>85</v>
      </c>
      <c r="K100" s="11">
        <f t="shared" si="2"/>
        <v>5185</v>
      </c>
      <c r="L100" s="11">
        <v>0.25</v>
      </c>
      <c r="M100" s="11">
        <v>622.19999999999993</v>
      </c>
      <c r="N100" s="11">
        <f t="shared" si="3"/>
        <v>5806.95</v>
      </c>
    </row>
    <row r="101" spans="3:14" x14ac:dyDescent="0.3">
      <c r="C101" s="6">
        <v>43697</v>
      </c>
      <c r="D101" s="7" t="s">
        <v>81</v>
      </c>
      <c r="E101" s="8">
        <v>2019</v>
      </c>
      <c r="F101" s="9" t="s">
        <v>84</v>
      </c>
      <c r="G101" s="9" t="s">
        <v>37</v>
      </c>
      <c r="H101" s="10" t="s">
        <v>104</v>
      </c>
      <c r="I101" s="7">
        <v>11</v>
      </c>
      <c r="J101" s="11">
        <v>12</v>
      </c>
      <c r="K101" s="11">
        <f t="shared" si="2"/>
        <v>132</v>
      </c>
      <c r="L101" s="11">
        <v>0.20000000298023199</v>
      </c>
      <c r="M101" s="11">
        <v>15.84</v>
      </c>
      <c r="N101" s="11">
        <f t="shared" si="3"/>
        <v>147.63999999701977</v>
      </c>
    </row>
    <row r="102" spans="3:14" x14ac:dyDescent="0.3">
      <c r="C102" s="6">
        <v>43697</v>
      </c>
      <c r="D102" s="7" t="s">
        <v>81</v>
      </c>
      <c r="E102" s="8">
        <v>2019</v>
      </c>
      <c r="F102" s="9" t="s">
        <v>84</v>
      </c>
      <c r="G102" s="9" t="s">
        <v>24</v>
      </c>
      <c r="H102" s="10" t="s">
        <v>76</v>
      </c>
      <c r="I102" s="7">
        <v>4</v>
      </c>
      <c r="J102" s="11">
        <v>13</v>
      </c>
      <c r="K102" s="11">
        <f t="shared" si="2"/>
        <v>52</v>
      </c>
      <c r="L102" s="11">
        <v>0.20000000298023199</v>
      </c>
      <c r="M102" s="11">
        <v>6.24</v>
      </c>
      <c r="N102" s="11">
        <f t="shared" si="3"/>
        <v>58.03999999701977</v>
      </c>
    </row>
    <row r="103" spans="3:14" x14ac:dyDescent="0.3">
      <c r="C103" s="6">
        <v>43697</v>
      </c>
      <c r="D103" s="7" t="s">
        <v>81</v>
      </c>
      <c r="E103" s="8">
        <v>2019</v>
      </c>
      <c r="F103" s="9" t="s">
        <v>84</v>
      </c>
      <c r="G103" s="9" t="s">
        <v>42</v>
      </c>
      <c r="H103" s="10" t="s">
        <v>51</v>
      </c>
      <c r="I103" s="7">
        <v>34</v>
      </c>
      <c r="J103" s="11">
        <v>14</v>
      </c>
      <c r="K103" s="11">
        <f t="shared" si="2"/>
        <v>476</v>
      </c>
      <c r="L103" s="11">
        <v>0.20000000298023199</v>
      </c>
      <c r="M103" s="11">
        <v>57.12</v>
      </c>
      <c r="N103" s="11">
        <f t="shared" si="3"/>
        <v>532.91999999701977</v>
      </c>
    </row>
    <row r="104" spans="3:14" x14ac:dyDescent="0.3">
      <c r="C104" s="6">
        <v>43698</v>
      </c>
      <c r="D104" s="7" t="s">
        <v>81</v>
      </c>
      <c r="E104" s="8">
        <v>2019</v>
      </c>
      <c r="F104" s="9" t="s">
        <v>84</v>
      </c>
      <c r="G104" s="9" t="s">
        <v>37</v>
      </c>
      <c r="H104" s="10" t="s">
        <v>65</v>
      </c>
      <c r="I104" s="7">
        <v>87</v>
      </c>
      <c r="J104" s="11">
        <v>28</v>
      </c>
      <c r="K104" s="11">
        <f t="shared" si="2"/>
        <v>2436</v>
      </c>
      <c r="L104" s="11">
        <v>0</v>
      </c>
      <c r="M104" s="11">
        <v>292.32</v>
      </c>
      <c r="N104" s="11">
        <f t="shared" si="3"/>
        <v>2728.32</v>
      </c>
    </row>
    <row r="105" spans="3:14" x14ac:dyDescent="0.3">
      <c r="C105" s="6">
        <v>43698</v>
      </c>
      <c r="D105" s="7" t="s">
        <v>81</v>
      </c>
      <c r="E105" s="8">
        <v>2019</v>
      </c>
      <c r="F105" s="9" t="s">
        <v>84</v>
      </c>
      <c r="G105" s="9" t="s">
        <v>32</v>
      </c>
      <c r="H105" s="10" t="s">
        <v>62</v>
      </c>
      <c r="I105" s="7">
        <v>26</v>
      </c>
      <c r="J105" s="11">
        <v>53</v>
      </c>
      <c r="K105" s="11">
        <f t="shared" si="2"/>
        <v>1378</v>
      </c>
      <c r="L105" s="11">
        <v>0</v>
      </c>
      <c r="M105" s="11">
        <v>165.35999999999999</v>
      </c>
      <c r="N105" s="11">
        <f t="shared" si="3"/>
        <v>1543.36</v>
      </c>
    </row>
    <row r="106" spans="3:14" x14ac:dyDescent="0.3">
      <c r="C106" s="6">
        <v>43699</v>
      </c>
      <c r="D106" s="7" t="s">
        <v>81</v>
      </c>
      <c r="E106" s="8">
        <v>2019</v>
      </c>
      <c r="F106" s="9" t="s">
        <v>105</v>
      </c>
      <c r="G106" s="9" t="s">
        <v>32</v>
      </c>
      <c r="H106" s="10" t="s">
        <v>47</v>
      </c>
      <c r="I106" s="7">
        <v>68</v>
      </c>
      <c r="J106" s="11">
        <v>88</v>
      </c>
      <c r="K106" s="11">
        <f t="shared" si="2"/>
        <v>5984</v>
      </c>
      <c r="L106" s="11">
        <v>0.15000000596046401</v>
      </c>
      <c r="M106" s="11">
        <v>718.07999999999993</v>
      </c>
      <c r="N106" s="11">
        <f t="shared" si="3"/>
        <v>6701.9299999940395</v>
      </c>
    </row>
    <row r="107" spans="3:14" x14ac:dyDescent="0.3">
      <c r="C107" s="6">
        <v>43699</v>
      </c>
      <c r="D107" s="7" t="s">
        <v>81</v>
      </c>
      <c r="E107" s="8">
        <v>2019</v>
      </c>
      <c r="F107" s="9" t="s">
        <v>105</v>
      </c>
      <c r="G107" s="9" t="s">
        <v>37</v>
      </c>
      <c r="H107" s="10" t="s">
        <v>106</v>
      </c>
      <c r="I107" s="7">
        <v>27</v>
      </c>
      <c r="J107" s="11">
        <v>41</v>
      </c>
      <c r="K107" s="11">
        <f t="shared" si="2"/>
        <v>1107</v>
      </c>
      <c r="L107" s="11">
        <v>0</v>
      </c>
      <c r="M107" s="11">
        <v>132.84</v>
      </c>
      <c r="N107" s="11">
        <f t="shared" si="3"/>
        <v>1239.8399999999999</v>
      </c>
    </row>
    <row r="108" spans="3:14" x14ac:dyDescent="0.3">
      <c r="C108" s="6">
        <v>43699</v>
      </c>
      <c r="D108" s="7" t="s">
        <v>81</v>
      </c>
      <c r="E108" s="8">
        <v>2019</v>
      </c>
      <c r="F108" s="9" t="s">
        <v>105</v>
      </c>
      <c r="G108" s="9" t="s">
        <v>24</v>
      </c>
      <c r="H108" s="10" t="s">
        <v>107</v>
      </c>
      <c r="I108" s="7">
        <v>76</v>
      </c>
      <c r="J108" s="11">
        <v>94</v>
      </c>
      <c r="K108" s="11">
        <f t="shared" si="2"/>
        <v>7144</v>
      </c>
      <c r="L108" s="11">
        <v>0.15000000596046401</v>
      </c>
      <c r="M108" s="11">
        <v>857.28</v>
      </c>
      <c r="N108" s="11">
        <f t="shared" si="3"/>
        <v>8001.1299999940393</v>
      </c>
    </row>
    <row r="109" spans="3:14" x14ac:dyDescent="0.3">
      <c r="C109" s="6">
        <v>43700</v>
      </c>
      <c r="D109" s="7" t="s">
        <v>81</v>
      </c>
      <c r="E109" s="8">
        <v>2019</v>
      </c>
      <c r="F109" s="9" t="s">
        <v>108</v>
      </c>
      <c r="G109" s="9" t="s">
        <v>42</v>
      </c>
      <c r="H109" s="10" t="s">
        <v>109</v>
      </c>
      <c r="I109" s="7">
        <v>4</v>
      </c>
      <c r="J109" s="11">
        <v>27</v>
      </c>
      <c r="K109" s="11">
        <f t="shared" si="2"/>
        <v>108</v>
      </c>
      <c r="L109" s="11">
        <v>0.10000000149011599</v>
      </c>
      <c r="M109" s="11">
        <v>12.959999999999999</v>
      </c>
      <c r="N109" s="11">
        <f t="shared" si="3"/>
        <v>120.85999999850988</v>
      </c>
    </row>
    <row r="110" spans="3:14" x14ac:dyDescent="0.3">
      <c r="C110" s="6">
        <v>43700</v>
      </c>
      <c r="D110" s="7" t="s">
        <v>81</v>
      </c>
      <c r="E110" s="8">
        <v>2019</v>
      </c>
      <c r="F110" s="9" t="s">
        <v>108</v>
      </c>
      <c r="G110" s="9" t="s">
        <v>32</v>
      </c>
      <c r="H110" s="10" t="s">
        <v>110</v>
      </c>
      <c r="I110" s="7">
        <v>34</v>
      </c>
      <c r="J110" s="11">
        <v>71</v>
      </c>
      <c r="K110" s="11">
        <f t="shared" si="2"/>
        <v>2414</v>
      </c>
      <c r="L110" s="11">
        <v>0.10000000149011599</v>
      </c>
      <c r="M110" s="11">
        <v>289.68</v>
      </c>
      <c r="N110" s="11">
        <f t="shared" si="3"/>
        <v>2703.5799999985097</v>
      </c>
    </row>
    <row r="111" spans="3:14" x14ac:dyDescent="0.3">
      <c r="C111" s="6">
        <v>43703</v>
      </c>
      <c r="D111" s="7" t="s">
        <v>81</v>
      </c>
      <c r="E111" s="8">
        <v>2019</v>
      </c>
      <c r="F111" s="9" t="s">
        <v>111</v>
      </c>
      <c r="G111" s="9" t="s">
        <v>26</v>
      </c>
      <c r="H111" s="10" t="s">
        <v>112</v>
      </c>
      <c r="I111" s="7">
        <v>94</v>
      </c>
      <c r="J111" s="11">
        <v>26</v>
      </c>
      <c r="K111" s="11">
        <f t="shared" si="2"/>
        <v>2444</v>
      </c>
      <c r="L111" s="11">
        <v>0</v>
      </c>
      <c r="M111" s="11">
        <v>293.27999999999997</v>
      </c>
      <c r="N111" s="11">
        <f t="shared" si="3"/>
        <v>2737.2799999999997</v>
      </c>
    </row>
    <row r="112" spans="3:14" x14ac:dyDescent="0.3">
      <c r="C112" s="6">
        <v>43703</v>
      </c>
      <c r="D112" s="7" t="s">
        <v>81</v>
      </c>
      <c r="E112" s="8">
        <v>2019</v>
      </c>
      <c r="F112" s="9" t="s">
        <v>111</v>
      </c>
      <c r="G112" s="9" t="s">
        <v>16</v>
      </c>
      <c r="H112" s="10" t="s">
        <v>113</v>
      </c>
      <c r="I112" s="7">
        <v>34</v>
      </c>
      <c r="J112" s="11">
        <v>58</v>
      </c>
      <c r="K112" s="11">
        <f t="shared" si="2"/>
        <v>1972</v>
      </c>
      <c r="L112" s="11">
        <v>0</v>
      </c>
      <c r="M112" s="11">
        <v>236.64</v>
      </c>
      <c r="N112" s="11">
        <f t="shared" si="3"/>
        <v>2208.64</v>
      </c>
    </row>
    <row r="113" spans="3:14" x14ac:dyDescent="0.3">
      <c r="C113" s="6">
        <v>43704</v>
      </c>
      <c r="D113" s="7" t="s">
        <v>81</v>
      </c>
      <c r="E113" s="8">
        <v>2019</v>
      </c>
      <c r="F113" s="9" t="s">
        <v>114</v>
      </c>
      <c r="G113" s="9" t="s">
        <v>26</v>
      </c>
      <c r="H113" s="10" t="s">
        <v>56</v>
      </c>
      <c r="I113" s="7">
        <v>30</v>
      </c>
      <c r="J113" s="11">
        <v>11</v>
      </c>
      <c r="K113" s="11">
        <f t="shared" si="2"/>
        <v>330</v>
      </c>
      <c r="L113" s="11">
        <v>0</v>
      </c>
      <c r="M113" s="11">
        <v>39.6</v>
      </c>
      <c r="N113" s="11">
        <f t="shared" si="3"/>
        <v>369.6</v>
      </c>
    </row>
    <row r="114" spans="3:14" x14ac:dyDescent="0.3">
      <c r="C114" s="6">
        <v>43704</v>
      </c>
      <c r="D114" s="7" t="s">
        <v>81</v>
      </c>
      <c r="E114" s="8">
        <v>2019</v>
      </c>
      <c r="F114" s="9" t="s">
        <v>114</v>
      </c>
      <c r="G114" s="9" t="s">
        <v>42</v>
      </c>
      <c r="H114" s="10" t="s">
        <v>79</v>
      </c>
      <c r="I114" s="7">
        <v>10</v>
      </c>
      <c r="J114" s="11">
        <v>25</v>
      </c>
      <c r="K114" s="11">
        <f t="shared" si="2"/>
        <v>250</v>
      </c>
      <c r="L114" s="11">
        <v>0</v>
      </c>
      <c r="M114" s="11">
        <v>30</v>
      </c>
      <c r="N114" s="11">
        <f t="shared" si="3"/>
        <v>280</v>
      </c>
    </row>
    <row r="115" spans="3:14" x14ac:dyDescent="0.3">
      <c r="C115" s="6">
        <v>43704</v>
      </c>
      <c r="D115" s="7" t="s">
        <v>81</v>
      </c>
      <c r="E115" s="8">
        <v>2019</v>
      </c>
      <c r="F115" s="9" t="s">
        <v>114</v>
      </c>
      <c r="G115" s="9" t="s">
        <v>32</v>
      </c>
      <c r="H115" s="10" t="s">
        <v>39</v>
      </c>
      <c r="I115" s="7">
        <v>14</v>
      </c>
      <c r="J115" s="11">
        <v>34</v>
      </c>
      <c r="K115" s="11">
        <f t="shared" si="2"/>
        <v>476</v>
      </c>
      <c r="L115" s="11">
        <v>0</v>
      </c>
      <c r="M115" s="11">
        <v>57.12</v>
      </c>
      <c r="N115" s="11">
        <f t="shared" si="3"/>
        <v>533.12</v>
      </c>
    </row>
    <row r="116" spans="3:14" x14ac:dyDescent="0.3">
      <c r="C116" s="6">
        <v>43704</v>
      </c>
      <c r="D116" s="7" t="s">
        <v>81</v>
      </c>
      <c r="E116" s="8">
        <v>2019</v>
      </c>
      <c r="F116" s="9" t="s">
        <v>114</v>
      </c>
      <c r="G116" s="9" t="s">
        <v>26</v>
      </c>
      <c r="H116" s="10" t="s">
        <v>52</v>
      </c>
      <c r="I116" s="7">
        <v>27</v>
      </c>
      <c r="J116" s="11">
        <v>65</v>
      </c>
      <c r="K116" s="11">
        <f t="shared" si="2"/>
        <v>1755</v>
      </c>
      <c r="L116" s="11">
        <v>0</v>
      </c>
      <c r="M116" s="11">
        <v>210.6</v>
      </c>
      <c r="N116" s="11">
        <f t="shared" si="3"/>
        <v>1965.6</v>
      </c>
    </row>
    <row r="117" spans="3:14" x14ac:dyDescent="0.3">
      <c r="C117" s="6">
        <v>43704</v>
      </c>
      <c r="D117" s="7" t="s">
        <v>81</v>
      </c>
      <c r="E117" s="8">
        <v>2019</v>
      </c>
      <c r="F117" s="9" t="s">
        <v>64</v>
      </c>
      <c r="G117" s="9" t="s">
        <v>24</v>
      </c>
      <c r="H117" s="10" t="s">
        <v>90</v>
      </c>
      <c r="I117" s="7">
        <v>24</v>
      </c>
      <c r="J117" s="11">
        <v>46</v>
      </c>
      <c r="K117" s="11">
        <f t="shared" si="2"/>
        <v>1104</v>
      </c>
      <c r="L117" s="11">
        <v>0.10000000149011599</v>
      </c>
      <c r="M117" s="11">
        <v>132.47999999999999</v>
      </c>
      <c r="N117" s="11">
        <f t="shared" si="3"/>
        <v>1236.3799999985099</v>
      </c>
    </row>
    <row r="118" spans="3:14" x14ac:dyDescent="0.3">
      <c r="C118" s="6">
        <v>43704</v>
      </c>
      <c r="D118" s="7" t="s">
        <v>81</v>
      </c>
      <c r="E118" s="8">
        <v>2019</v>
      </c>
      <c r="F118" s="9" t="s">
        <v>64</v>
      </c>
      <c r="G118" s="9" t="s">
        <v>26</v>
      </c>
      <c r="H118" s="10" t="s">
        <v>94</v>
      </c>
      <c r="I118" s="7">
        <v>9</v>
      </c>
      <c r="J118" s="11">
        <v>96</v>
      </c>
      <c r="K118" s="11">
        <f t="shared" si="2"/>
        <v>864</v>
      </c>
      <c r="L118" s="11">
        <v>0.10000000149011599</v>
      </c>
      <c r="M118" s="11">
        <v>103.67999999999999</v>
      </c>
      <c r="N118" s="11">
        <f t="shared" si="3"/>
        <v>967.57999999850983</v>
      </c>
    </row>
    <row r="119" spans="3:14" x14ac:dyDescent="0.3">
      <c r="C119" s="6">
        <v>43704</v>
      </c>
      <c r="D119" s="7" t="s">
        <v>81</v>
      </c>
      <c r="E119" s="8">
        <v>2019</v>
      </c>
      <c r="F119" s="9" t="s">
        <v>64</v>
      </c>
      <c r="G119" s="9" t="s">
        <v>20</v>
      </c>
      <c r="H119" s="10" t="s">
        <v>22</v>
      </c>
      <c r="I119" s="7">
        <v>49</v>
      </c>
      <c r="J119" s="11">
        <v>88</v>
      </c>
      <c r="K119" s="11">
        <f t="shared" si="2"/>
        <v>4312</v>
      </c>
      <c r="L119" s="11">
        <v>0.10000000149011599</v>
      </c>
      <c r="M119" s="11">
        <v>517.43999999999994</v>
      </c>
      <c r="N119" s="11">
        <f t="shared" si="3"/>
        <v>4829.3399999985095</v>
      </c>
    </row>
    <row r="120" spans="3:14" x14ac:dyDescent="0.3">
      <c r="C120" s="6">
        <v>43705</v>
      </c>
      <c r="D120" s="7" t="s">
        <v>81</v>
      </c>
      <c r="E120" s="8">
        <v>2019</v>
      </c>
      <c r="F120" s="9" t="s">
        <v>19</v>
      </c>
      <c r="G120" s="9" t="s">
        <v>32</v>
      </c>
      <c r="H120" s="10" t="s">
        <v>33</v>
      </c>
      <c r="I120" s="7">
        <v>82</v>
      </c>
      <c r="J120" s="11">
        <v>49</v>
      </c>
      <c r="K120" s="11">
        <f t="shared" si="2"/>
        <v>4018</v>
      </c>
      <c r="L120" s="11">
        <v>0</v>
      </c>
      <c r="M120" s="11">
        <v>482.15999999999997</v>
      </c>
      <c r="N120" s="11">
        <f t="shared" si="3"/>
        <v>4500.16</v>
      </c>
    </row>
    <row r="121" spans="3:14" x14ac:dyDescent="0.3">
      <c r="C121" s="6">
        <v>43706</v>
      </c>
      <c r="D121" s="7" t="s">
        <v>81</v>
      </c>
      <c r="E121" s="8">
        <v>2019</v>
      </c>
      <c r="F121" s="9" t="s">
        <v>89</v>
      </c>
      <c r="G121" s="9" t="s">
        <v>24</v>
      </c>
      <c r="H121" s="10" t="s">
        <v>115</v>
      </c>
      <c r="I121" s="7">
        <v>99</v>
      </c>
      <c r="J121" s="11">
        <v>92</v>
      </c>
      <c r="K121" s="11">
        <f t="shared" si="2"/>
        <v>9108</v>
      </c>
      <c r="L121" s="11">
        <v>0</v>
      </c>
      <c r="M121" s="11">
        <v>1092.96</v>
      </c>
      <c r="N121" s="11">
        <f t="shared" si="3"/>
        <v>10200.959999999999</v>
      </c>
    </row>
    <row r="122" spans="3:14" x14ac:dyDescent="0.3">
      <c r="C122" s="6">
        <v>43706</v>
      </c>
      <c r="D122" s="7" t="s">
        <v>81</v>
      </c>
      <c r="E122" s="8">
        <v>2019</v>
      </c>
      <c r="F122" s="9" t="s">
        <v>89</v>
      </c>
      <c r="G122" s="9" t="s">
        <v>37</v>
      </c>
      <c r="H122" s="10" t="s">
        <v>41</v>
      </c>
      <c r="I122" s="7">
        <v>18</v>
      </c>
      <c r="J122" s="11">
        <v>99</v>
      </c>
      <c r="K122" s="11">
        <f t="shared" si="2"/>
        <v>1782</v>
      </c>
      <c r="L122" s="11">
        <v>0</v>
      </c>
      <c r="M122" s="11">
        <v>213.84</v>
      </c>
      <c r="N122" s="11">
        <f t="shared" si="3"/>
        <v>1995.84</v>
      </c>
    </row>
    <row r="123" spans="3:14" x14ac:dyDescent="0.3">
      <c r="C123" s="6">
        <v>43706</v>
      </c>
      <c r="D123" s="7" t="s">
        <v>81</v>
      </c>
      <c r="E123" s="8">
        <v>2019</v>
      </c>
      <c r="F123" s="9" t="s">
        <v>89</v>
      </c>
      <c r="G123" s="9" t="s">
        <v>26</v>
      </c>
      <c r="H123" s="10" t="s">
        <v>95</v>
      </c>
      <c r="I123" s="7">
        <v>89</v>
      </c>
      <c r="J123" s="11">
        <v>41</v>
      </c>
      <c r="K123" s="11">
        <f t="shared" si="2"/>
        <v>3649</v>
      </c>
      <c r="L123" s="11">
        <v>0</v>
      </c>
      <c r="M123" s="11">
        <v>437.88</v>
      </c>
      <c r="N123" s="11">
        <f t="shared" si="3"/>
        <v>4086.88</v>
      </c>
    </row>
    <row r="124" spans="3:14" x14ac:dyDescent="0.3">
      <c r="C124" s="6">
        <v>43706</v>
      </c>
      <c r="D124" s="7" t="s">
        <v>81</v>
      </c>
      <c r="E124" s="8">
        <v>2019</v>
      </c>
      <c r="F124" s="9" t="s">
        <v>89</v>
      </c>
      <c r="G124" s="9" t="s">
        <v>37</v>
      </c>
      <c r="H124" s="10" t="s">
        <v>98</v>
      </c>
      <c r="I124" s="7">
        <v>3</v>
      </c>
      <c r="J124" s="11">
        <v>59</v>
      </c>
      <c r="K124" s="11">
        <f t="shared" si="2"/>
        <v>177</v>
      </c>
      <c r="L124" s="11">
        <v>0</v>
      </c>
      <c r="M124" s="11">
        <v>21.24</v>
      </c>
      <c r="N124" s="11">
        <f t="shared" si="3"/>
        <v>198.24</v>
      </c>
    </row>
    <row r="125" spans="3:14" x14ac:dyDescent="0.3">
      <c r="C125" s="6">
        <v>43707</v>
      </c>
      <c r="D125" s="7" t="s">
        <v>81</v>
      </c>
      <c r="E125" s="8">
        <v>2019</v>
      </c>
      <c r="F125" s="9" t="s">
        <v>66</v>
      </c>
      <c r="G125" s="9" t="s">
        <v>37</v>
      </c>
      <c r="H125" s="10" t="s">
        <v>104</v>
      </c>
      <c r="I125" s="7">
        <v>85</v>
      </c>
      <c r="J125" s="11">
        <v>38</v>
      </c>
      <c r="K125" s="11">
        <f t="shared" si="2"/>
        <v>3230</v>
      </c>
      <c r="L125" s="11">
        <v>0</v>
      </c>
      <c r="M125" s="11">
        <v>387.59999999999997</v>
      </c>
      <c r="N125" s="11">
        <f t="shared" si="3"/>
        <v>3617.6</v>
      </c>
    </row>
    <row r="126" spans="3:14" x14ac:dyDescent="0.3">
      <c r="C126" s="6">
        <v>43707</v>
      </c>
      <c r="D126" s="7" t="s">
        <v>81</v>
      </c>
      <c r="E126" s="8">
        <v>2019</v>
      </c>
      <c r="F126" s="9" t="s">
        <v>66</v>
      </c>
      <c r="G126" s="9" t="s">
        <v>42</v>
      </c>
      <c r="H126" s="10" t="s">
        <v>72</v>
      </c>
      <c r="I126" s="7">
        <v>84</v>
      </c>
      <c r="J126" s="11">
        <v>65</v>
      </c>
      <c r="K126" s="11">
        <f t="shared" si="2"/>
        <v>5460</v>
      </c>
      <c r="L126" s="11">
        <v>0</v>
      </c>
      <c r="M126" s="11">
        <v>655.19999999999993</v>
      </c>
      <c r="N126" s="11">
        <f t="shared" si="3"/>
        <v>6115.2</v>
      </c>
    </row>
    <row r="127" spans="3:14" x14ac:dyDescent="0.3">
      <c r="C127" s="6">
        <v>43707</v>
      </c>
      <c r="D127" s="7" t="s">
        <v>81</v>
      </c>
      <c r="E127" s="8">
        <v>2019</v>
      </c>
      <c r="F127" s="9" t="s">
        <v>66</v>
      </c>
      <c r="G127" s="9" t="s">
        <v>37</v>
      </c>
      <c r="H127" s="10" t="s">
        <v>82</v>
      </c>
      <c r="I127" s="7">
        <v>61</v>
      </c>
      <c r="J127" s="11">
        <v>49</v>
      </c>
      <c r="K127" s="11">
        <f t="shared" si="2"/>
        <v>2989</v>
      </c>
      <c r="L127" s="11">
        <v>0</v>
      </c>
      <c r="M127" s="11">
        <v>358.68</v>
      </c>
      <c r="N127" s="11">
        <f t="shared" si="3"/>
        <v>3347.68</v>
      </c>
    </row>
    <row r="128" spans="3:14" x14ac:dyDescent="0.3">
      <c r="C128" s="6">
        <v>43707</v>
      </c>
      <c r="D128" s="7" t="s">
        <v>81</v>
      </c>
      <c r="E128" s="8">
        <v>2019</v>
      </c>
      <c r="F128" s="9" t="s">
        <v>66</v>
      </c>
      <c r="G128" s="9" t="s">
        <v>14</v>
      </c>
      <c r="H128" s="10" t="s">
        <v>35</v>
      </c>
      <c r="I128" s="7">
        <v>87</v>
      </c>
      <c r="J128" s="11">
        <v>42</v>
      </c>
      <c r="K128" s="11">
        <f t="shared" si="2"/>
        <v>3654</v>
      </c>
      <c r="L128" s="11">
        <v>0</v>
      </c>
      <c r="M128" s="11">
        <v>438.47999999999996</v>
      </c>
      <c r="N128" s="11">
        <f t="shared" si="3"/>
        <v>4092.48</v>
      </c>
    </row>
    <row r="129" spans="3:14" x14ac:dyDescent="0.3">
      <c r="C129" s="6">
        <v>43707</v>
      </c>
      <c r="D129" s="7" t="s">
        <v>81</v>
      </c>
      <c r="E129" s="8">
        <v>2019</v>
      </c>
      <c r="F129" s="9" t="s">
        <v>66</v>
      </c>
      <c r="G129" s="9" t="s">
        <v>37</v>
      </c>
      <c r="H129" s="10" t="s">
        <v>98</v>
      </c>
      <c r="I129" s="7">
        <v>36</v>
      </c>
      <c r="J129" s="11">
        <v>61</v>
      </c>
      <c r="K129" s="11">
        <f t="shared" si="2"/>
        <v>2196</v>
      </c>
      <c r="L129" s="11">
        <v>0</v>
      </c>
      <c r="M129" s="11">
        <v>263.52</v>
      </c>
      <c r="N129" s="11">
        <f t="shared" si="3"/>
        <v>2459.52</v>
      </c>
    </row>
    <row r="130" spans="3:14" x14ac:dyDescent="0.3">
      <c r="C130" s="6">
        <v>43710</v>
      </c>
      <c r="D130" s="7" t="s">
        <v>116</v>
      </c>
      <c r="E130" s="8">
        <v>2019</v>
      </c>
      <c r="F130" s="9" t="s">
        <v>86</v>
      </c>
      <c r="G130" s="9" t="s">
        <v>16</v>
      </c>
      <c r="H130" s="10" t="s">
        <v>68</v>
      </c>
      <c r="I130" s="7">
        <v>67</v>
      </c>
      <c r="J130" s="11">
        <v>90</v>
      </c>
      <c r="K130" s="11">
        <f t="shared" si="2"/>
        <v>6030</v>
      </c>
      <c r="L130" s="11">
        <v>0</v>
      </c>
      <c r="M130" s="11">
        <v>723.6</v>
      </c>
      <c r="N130" s="11">
        <f t="shared" si="3"/>
        <v>6753.6</v>
      </c>
    </row>
    <row r="131" spans="3:14" x14ac:dyDescent="0.3">
      <c r="C131" s="6">
        <v>43711</v>
      </c>
      <c r="D131" s="7" t="s">
        <v>116</v>
      </c>
      <c r="E131" s="8">
        <v>2019</v>
      </c>
      <c r="F131" s="9" t="s">
        <v>101</v>
      </c>
      <c r="G131" s="9" t="s">
        <v>14</v>
      </c>
      <c r="H131" s="10" t="s">
        <v>15</v>
      </c>
      <c r="I131" s="7">
        <v>42</v>
      </c>
      <c r="J131" s="11">
        <v>50</v>
      </c>
      <c r="K131" s="11">
        <f t="shared" ref="K131:K194" si="4">J131*I131</f>
        <v>2100</v>
      </c>
      <c r="L131" s="11">
        <v>0</v>
      </c>
      <c r="M131" s="11">
        <v>252</v>
      </c>
      <c r="N131" s="11">
        <f t="shared" ref="N131:N194" si="5">K131-L131+M131</f>
        <v>2352</v>
      </c>
    </row>
    <row r="132" spans="3:14" x14ac:dyDescent="0.3">
      <c r="C132" s="6">
        <v>43711</v>
      </c>
      <c r="D132" s="7" t="s">
        <v>116</v>
      </c>
      <c r="E132" s="8">
        <v>2019</v>
      </c>
      <c r="F132" s="9" t="s">
        <v>101</v>
      </c>
      <c r="G132" s="9" t="s">
        <v>32</v>
      </c>
      <c r="H132" s="10" t="s">
        <v>47</v>
      </c>
      <c r="I132" s="7">
        <v>63</v>
      </c>
      <c r="J132" s="11">
        <v>12</v>
      </c>
      <c r="K132" s="11">
        <f t="shared" si="4"/>
        <v>756</v>
      </c>
      <c r="L132" s="11">
        <v>0</v>
      </c>
      <c r="M132" s="11">
        <v>90.72</v>
      </c>
      <c r="N132" s="11">
        <f t="shared" si="5"/>
        <v>846.72</v>
      </c>
    </row>
    <row r="133" spans="3:14" x14ac:dyDescent="0.3">
      <c r="C133" s="6">
        <v>43711</v>
      </c>
      <c r="D133" s="7" t="s">
        <v>116</v>
      </c>
      <c r="E133" s="8">
        <v>2019</v>
      </c>
      <c r="F133" s="9" t="s">
        <v>101</v>
      </c>
      <c r="G133" s="9" t="s">
        <v>14</v>
      </c>
      <c r="H133" s="10" t="s">
        <v>117</v>
      </c>
      <c r="I133" s="7">
        <v>83</v>
      </c>
      <c r="J133" s="11">
        <v>81</v>
      </c>
      <c r="K133" s="11">
        <f t="shared" si="4"/>
        <v>6723</v>
      </c>
      <c r="L133" s="11">
        <v>0</v>
      </c>
      <c r="M133" s="11">
        <v>806.76</v>
      </c>
      <c r="N133" s="11">
        <f t="shared" si="5"/>
        <v>7529.76</v>
      </c>
    </row>
    <row r="134" spans="3:14" x14ac:dyDescent="0.3">
      <c r="C134" s="6">
        <v>43712</v>
      </c>
      <c r="D134" s="7" t="s">
        <v>116</v>
      </c>
      <c r="E134" s="8">
        <v>2019</v>
      </c>
      <c r="F134" s="9" t="s">
        <v>71</v>
      </c>
      <c r="G134" s="9" t="s">
        <v>37</v>
      </c>
      <c r="H134" s="10" t="s">
        <v>38</v>
      </c>
      <c r="I134" s="7">
        <v>73</v>
      </c>
      <c r="J134" s="11">
        <v>76</v>
      </c>
      <c r="K134" s="11">
        <f t="shared" si="4"/>
        <v>5548</v>
      </c>
      <c r="L134" s="11">
        <v>0</v>
      </c>
      <c r="M134" s="11">
        <v>665.76</v>
      </c>
      <c r="N134" s="11">
        <f t="shared" si="5"/>
        <v>6213.76</v>
      </c>
    </row>
    <row r="135" spans="3:14" x14ac:dyDescent="0.3">
      <c r="C135" s="6">
        <v>43712</v>
      </c>
      <c r="D135" s="7" t="s">
        <v>116</v>
      </c>
      <c r="E135" s="8">
        <v>2019</v>
      </c>
      <c r="F135" s="9" t="s">
        <v>71</v>
      </c>
      <c r="G135" s="9" t="s">
        <v>14</v>
      </c>
      <c r="H135" s="10" t="s">
        <v>18</v>
      </c>
      <c r="I135" s="7">
        <v>3</v>
      </c>
      <c r="J135" s="11">
        <v>68</v>
      </c>
      <c r="K135" s="11">
        <f t="shared" si="4"/>
        <v>204</v>
      </c>
      <c r="L135" s="11">
        <v>0</v>
      </c>
      <c r="M135" s="11">
        <v>24.48</v>
      </c>
      <c r="N135" s="11">
        <f t="shared" si="5"/>
        <v>228.48</v>
      </c>
    </row>
    <row r="136" spans="3:14" x14ac:dyDescent="0.3">
      <c r="C136" s="6">
        <v>43713</v>
      </c>
      <c r="D136" s="7" t="s">
        <v>116</v>
      </c>
      <c r="E136" s="8">
        <v>2019</v>
      </c>
      <c r="F136" s="9" t="s">
        <v>118</v>
      </c>
      <c r="G136" s="9" t="s">
        <v>37</v>
      </c>
      <c r="H136" s="10" t="s">
        <v>46</v>
      </c>
      <c r="I136" s="7">
        <v>6</v>
      </c>
      <c r="J136" s="11">
        <v>40</v>
      </c>
      <c r="K136" s="11">
        <f t="shared" si="4"/>
        <v>240</v>
      </c>
      <c r="L136" s="11">
        <v>0</v>
      </c>
      <c r="M136" s="11">
        <v>28.799999999999997</v>
      </c>
      <c r="N136" s="11">
        <f t="shared" si="5"/>
        <v>268.8</v>
      </c>
    </row>
    <row r="137" spans="3:14" x14ac:dyDescent="0.3">
      <c r="C137" s="6">
        <v>43713</v>
      </c>
      <c r="D137" s="7" t="s">
        <v>116</v>
      </c>
      <c r="E137" s="8">
        <v>2019</v>
      </c>
      <c r="F137" s="9" t="s">
        <v>118</v>
      </c>
      <c r="G137" s="9" t="s">
        <v>24</v>
      </c>
      <c r="H137" s="10" t="s">
        <v>48</v>
      </c>
      <c r="I137" s="7">
        <v>79</v>
      </c>
      <c r="J137" s="11">
        <v>90</v>
      </c>
      <c r="K137" s="11">
        <f t="shared" si="4"/>
        <v>7110</v>
      </c>
      <c r="L137" s="11">
        <v>0.25</v>
      </c>
      <c r="M137" s="11">
        <v>853.19999999999993</v>
      </c>
      <c r="N137" s="11">
        <f t="shared" si="5"/>
        <v>7962.95</v>
      </c>
    </row>
    <row r="138" spans="3:14" x14ac:dyDescent="0.3">
      <c r="C138" s="6">
        <v>43713</v>
      </c>
      <c r="D138" s="7" t="s">
        <v>116</v>
      </c>
      <c r="E138" s="8">
        <v>2019</v>
      </c>
      <c r="F138" s="9" t="s">
        <v>118</v>
      </c>
      <c r="G138" s="9" t="s">
        <v>14</v>
      </c>
      <c r="H138" s="10" t="s">
        <v>49</v>
      </c>
      <c r="I138" s="7">
        <v>79</v>
      </c>
      <c r="J138" s="11">
        <v>42</v>
      </c>
      <c r="K138" s="11">
        <f t="shared" si="4"/>
        <v>3318</v>
      </c>
      <c r="L138" s="11">
        <v>0.25</v>
      </c>
      <c r="M138" s="11">
        <v>398.15999999999997</v>
      </c>
      <c r="N138" s="11">
        <f t="shared" si="5"/>
        <v>3715.91</v>
      </c>
    </row>
    <row r="139" spans="3:14" x14ac:dyDescent="0.3">
      <c r="C139" s="6">
        <v>43713</v>
      </c>
      <c r="D139" s="7" t="s">
        <v>116</v>
      </c>
      <c r="E139" s="8">
        <v>2019</v>
      </c>
      <c r="F139" s="9" t="s">
        <v>118</v>
      </c>
      <c r="G139" s="9" t="s">
        <v>32</v>
      </c>
      <c r="H139" s="10" t="s">
        <v>62</v>
      </c>
      <c r="I139" s="7">
        <v>32</v>
      </c>
      <c r="J139" s="11">
        <v>10</v>
      </c>
      <c r="K139" s="11">
        <f t="shared" si="4"/>
        <v>320</v>
      </c>
      <c r="L139" s="11">
        <v>0</v>
      </c>
      <c r="M139" s="11">
        <v>38.4</v>
      </c>
      <c r="N139" s="11">
        <f t="shared" si="5"/>
        <v>358.4</v>
      </c>
    </row>
    <row r="140" spans="3:14" x14ac:dyDescent="0.3">
      <c r="C140" s="6">
        <v>43714</v>
      </c>
      <c r="D140" s="7" t="s">
        <v>116</v>
      </c>
      <c r="E140" s="8">
        <v>2019</v>
      </c>
      <c r="F140" s="9" t="s">
        <v>105</v>
      </c>
      <c r="G140" s="9" t="s">
        <v>32</v>
      </c>
      <c r="H140" s="10" t="s">
        <v>100</v>
      </c>
      <c r="I140" s="7">
        <v>57</v>
      </c>
      <c r="J140" s="11">
        <v>13</v>
      </c>
      <c r="K140" s="11">
        <f t="shared" si="4"/>
        <v>741</v>
      </c>
      <c r="L140" s="11">
        <v>0</v>
      </c>
      <c r="M140" s="11">
        <v>88.92</v>
      </c>
      <c r="N140" s="11">
        <f t="shared" si="5"/>
        <v>829.92</v>
      </c>
    </row>
    <row r="141" spans="3:14" x14ac:dyDescent="0.3">
      <c r="C141" s="6">
        <v>43714</v>
      </c>
      <c r="D141" s="7" t="s">
        <v>116</v>
      </c>
      <c r="E141" s="8">
        <v>2019</v>
      </c>
      <c r="F141" s="9" t="s">
        <v>105</v>
      </c>
      <c r="G141" s="9" t="s">
        <v>37</v>
      </c>
      <c r="H141" s="10" t="s">
        <v>63</v>
      </c>
      <c r="I141" s="7">
        <v>41</v>
      </c>
      <c r="J141" s="11">
        <v>28</v>
      </c>
      <c r="K141" s="11">
        <f t="shared" si="4"/>
        <v>1148</v>
      </c>
      <c r="L141" s="11">
        <v>0</v>
      </c>
      <c r="M141" s="11">
        <v>137.76</v>
      </c>
      <c r="N141" s="11">
        <f t="shared" si="5"/>
        <v>1285.76</v>
      </c>
    </row>
    <row r="142" spans="3:14" x14ac:dyDescent="0.3">
      <c r="C142" s="6">
        <v>43717</v>
      </c>
      <c r="D142" s="7" t="s">
        <v>116</v>
      </c>
      <c r="E142" s="8">
        <v>2019</v>
      </c>
      <c r="F142" s="9" t="s">
        <v>88</v>
      </c>
      <c r="G142" s="9" t="s">
        <v>26</v>
      </c>
      <c r="H142" s="10" t="s">
        <v>119</v>
      </c>
      <c r="I142" s="7">
        <v>15</v>
      </c>
      <c r="J142" s="11">
        <v>53</v>
      </c>
      <c r="K142" s="11">
        <f t="shared" si="4"/>
        <v>795</v>
      </c>
      <c r="L142" s="11">
        <v>0</v>
      </c>
      <c r="M142" s="11">
        <v>95.399999999999991</v>
      </c>
      <c r="N142" s="11">
        <f t="shared" si="5"/>
        <v>890.4</v>
      </c>
    </row>
    <row r="143" spans="3:14" x14ac:dyDescent="0.3">
      <c r="C143" s="6">
        <v>43717</v>
      </c>
      <c r="D143" s="7" t="s">
        <v>116</v>
      </c>
      <c r="E143" s="8">
        <v>2019</v>
      </c>
      <c r="F143" s="9" t="s">
        <v>88</v>
      </c>
      <c r="G143" s="9" t="s">
        <v>32</v>
      </c>
      <c r="H143" s="10" t="s">
        <v>110</v>
      </c>
      <c r="I143" s="7">
        <v>38</v>
      </c>
      <c r="J143" s="11">
        <v>95</v>
      </c>
      <c r="K143" s="11">
        <f t="shared" si="4"/>
        <v>3610</v>
      </c>
      <c r="L143" s="11">
        <v>0</v>
      </c>
      <c r="M143" s="11">
        <v>433.2</v>
      </c>
      <c r="N143" s="11">
        <f t="shared" si="5"/>
        <v>4043.2</v>
      </c>
    </row>
    <row r="144" spans="3:14" x14ac:dyDescent="0.3">
      <c r="C144" s="6">
        <v>43717</v>
      </c>
      <c r="D144" s="7" t="s">
        <v>116</v>
      </c>
      <c r="E144" s="8">
        <v>2019</v>
      </c>
      <c r="F144" s="9" t="s">
        <v>120</v>
      </c>
      <c r="G144" s="9" t="s">
        <v>24</v>
      </c>
      <c r="H144" s="10" t="s">
        <v>76</v>
      </c>
      <c r="I144" s="7">
        <v>33</v>
      </c>
      <c r="J144" s="11">
        <v>95</v>
      </c>
      <c r="K144" s="11">
        <f t="shared" si="4"/>
        <v>3135</v>
      </c>
      <c r="L144" s="11">
        <v>0</v>
      </c>
      <c r="M144" s="11">
        <v>376.2</v>
      </c>
      <c r="N144" s="11">
        <f t="shared" si="5"/>
        <v>3511.2</v>
      </c>
    </row>
    <row r="145" spans="3:14" x14ac:dyDescent="0.3">
      <c r="C145" s="6">
        <v>43717</v>
      </c>
      <c r="D145" s="7" t="s">
        <v>116</v>
      </c>
      <c r="E145" s="8">
        <v>2019</v>
      </c>
      <c r="F145" s="9" t="s">
        <v>120</v>
      </c>
      <c r="G145" s="9" t="s">
        <v>16</v>
      </c>
      <c r="H145" s="10" t="s">
        <v>68</v>
      </c>
      <c r="I145" s="7">
        <v>69</v>
      </c>
      <c r="J145" s="11">
        <v>93</v>
      </c>
      <c r="K145" s="11">
        <f t="shared" si="4"/>
        <v>6417</v>
      </c>
      <c r="L145" s="11">
        <v>0</v>
      </c>
      <c r="M145" s="11">
        <v>770.04</v>
      </c>
      <c r="N145" s="11">
        <f t="shared" si="5"/>
        <v>7187.04</v>
      </c>
    </row>
    <row r="146" spans="3:14" x14ac:dyDescent="0.3">
      <c r="C146" s="6">
        <v>43718</v>
      </c>
      <c r="D146" s="7" t="s">
        <v>116</v>
      </c>
      <c r="E146" s="8">
        <v>2019</v>
      </c>
      <c r="F146" s="9" t="s">
        <v>31</v>
      </c>
      <c r="G146" s="9" t="s">
        <v>42</v>
      </c>
      <c r="H146" s="10" t="s">
        <v>72</v>
      </c>
      <c r="I146" s="7">
        <v>51</v>
      </c>
      <c r="J146" s="11">
        <v>10</v>
      </c>
      <c r="K146" s="11">
        <f t="shared" si="4"/>
        <v>510</v>
      </c>
      <c r="L146" s="11">
        <v>0</v>
      </c>
      <c r="M146" s="11">
        <v>61.199999999999996</v>
      </c>
      <c r="N146" s="11">
        <f t="shared" si="5"/>
        <v>571.20000000000005</v>
      </c>
    </row>
    <row r="147" spans="3:14" x14ac:dyDescent="0.3">
      <c r="C147" s="6">
        <v>43718</v>
      </c>
      <c r="D147" s="7" t="s">
        <v>116</v>
      </c>
      <c r="E147" s="8">
        <v>2019</v>
      </c>
      <c r="F147" s="9" t="s">
        <v>31</v>
      </c>
      <c r="G147" s="9" t="s">
        <v>20</v>
      </c>
      <c r="H147" s="10" t="s">
        <v>92</v>
      </c>
      <c r="I147" s="7">
        <v>30</v>
      </c>
      <c r="J147" s="11">
        <v>49</v>
      </c>
      <c r="K147" s="11">
        <f t="shared" si="4"/>
        <v>1470</v>
      </c>
      <c r="L147" s="11">
        <v>0</v>
      </c>
      <c r="M147" s="11">
        <v>176.4</v>
      </c>
      <c r="N147" s="11">
        <f t="shared" si="5"/>
        <v>1646.4</v>
      </c>
    </row>
    <row r="148" spans="3:14" x14ac:dyDescent="0.3">
      <c r="C148" s="6">
        <v>43718</v>
      </c>
      <c r="D148" s="7" t="s">
        <v>116</v>
      </c>
      <c r="E148" s="8">
        <v>2019</v>
      </c>
      <c r="F148" s="9" t="s">
        <v>31</v>
      </c>
      <c r="G148" s="9" t="s">
        <v>37</v>
      </c>
      <c r="H148" s="10" t="s">
        <v>82</v>
      </c>
      <c r="I148" s="7">
        <v>17</v>
      </c>
      <c r="J148" s="11">
        <v>94</v>
      </c>
      <c r="K148" s="11">
        <f t="shared" si="4"/>
        <v>1598</v>
      </c>
      <c r="L148" s="11">
        <v>0</v>
      </c>
      <c r="M148" s="11">
        <v>191.76</v>
      </c>
      <c r="N148" s="11">
        <f t="shared" si="5"/>
        <v>1789.76</v>
      </c>
    </row>
    <row r="149" spans="3:14" x14ac:dyDescent="0.3">
      <c r="C149" s="6">
        <v>43719</v>
      </c>
      <c r="D149" s="7" t="s">
        <v>116</v>
      </c>
      <c r="E149" s="8">
        <v>2019</v>
      </c>
      <c r="F149" s="9" t="s">
        <v>121</v>
      </c>
      <c r="G149" s="9" t="s">
        <v>24</v>
      </c>
      <c r="H149" s="10" t="s">
        <v>76</v>
      </c>
      <c r="I149" s="7">
        <v>55</v>
      </c>
      <c r="J149" s="11">
        <v>49</v>
      </c>
      <c r="K149" s="11">
        <f t="shared" si="4"/>
        <v>2695</v>
      </c>
      <c r="L149" s="11">
        <v>0.10000000149011599</v>
      </c>
      <c r="M149" s="11">
        <v>323.39999999999998</v>
      </c>
      <c r="N149" s="11">
        <f t="shared" si="5"/>
        <v>3018.29999999851</v>
      </c>
    </row>
    <row r="150" spans="3:14" x14ac:dyDescent="0.3">
      <c r="C150" s="6">
        <v>43719</v>
      </c>
      <c r="D150" s="7" t="s">
        <v>116</v>
      </c>
      <c r="E150" s="8">
        <v>2019</v>
      </c>
      <c r="F150" s="9" t="s">
        <v>121</v>
      </c>
      <c r="G150" s="9" t="s">
        <v>26</v>
      </c>
      <c r="H150" s="10" t="s">
        <v>27</v>
      </c>
      <c r="I150" s="7">
        <v>22</v>
      </c>
      <c r="J150" s="11">
        <v>15</v>
      </c>
      <c r="K150" s="11">
        <f t="shared" si="4"/>
        <v>330</v>
      </c>
      <c r="L150" s="11">
        <v>0.10000000149011599</v>
      </c>
      <c r="M150" s="11">
        <v>39.6</v>
      </c>
      <c r="N150" s="11">
        <f t="shared" si="5"/>
        <v>369.49999999850991</v>
      </c>
    </row>
    <row r="151" spans="3:14" x14ac:dyDescent="0.3">
      <c r="C151" s="6">
        <v>43719</v>
      </c>
      <c r="D151" s="7" t="s">
        <v>116</v>
      </c>
      <c r="E151" s="8">
        <v>2019</v>
      </c>
      <c r="F151" s="9" t="s">
        <v>121</v>
      </c>
      <c r="G151" s="9" t="s">
        <v>32</v>
      </c>
      <c r="H151" s="10" t="s">
        <v>110</v>
      </c>
      <c r="I151" s="7">
        <v>74</v>
      </c>
      <c r="J151" s="11">
        <v>53</v>
      </c>
      <c r="K151" s="11">
        <f t="shared" si="4"/>
        <v>3922</v>
      </c>
      <c r="L151" s="11">
        <v>0.10000000149011599</v>
      </c>
      <c r="M151" s="11">
        <v>470.64</v>
      </c>
      <c r="N151" s="11">
        <f t="shared" si="5"/>
        <v>4392.5399999985102</v>
      </c>
    </row>
    <row r="152" spans="3:14" x14ac:dyDescent="0.3">
      <c r="C152" s="6">
        <v>43720</v>
      </c>
      <c r="D152" s="7" t="s">
        <v>116</v>
      </c>
      <c r="E152" s="8">
        <v>2019</v>
      </c>
      <c r="F152" s="9" t="s">
        <v>89</v>
      </c>
      <c r="G152" s="9" t="s">
        <v>32</v>
      </c>
      <c r="H152" s="10" t="s">
        <v>39</v>
      </c>
      <c r="I152" s="7">
        <v>73</v>
      </c>
      <c r="J152" s="11">
        <v>67</v>
      </c>
      <c r="K152" s="11">
        <f t="shared" si="4"/>
        <v>4891</v>
      </c>
      <c r="L152" s="11">
        <v>0</v>
      </c>
      <c r="M152" s="11">
        <v>586.91999999999996</v>
      </c>
      <c r="N152" s="11">
        <f t="shared" si="5"/>
        <v>5477.92</v>
      </c>
    </row>
    <row r="153" spans="3:14" x14ac:dyDescent="0.3">
      <c r="C153" s="6">
        <v>43720</v>
      </c>
      <c r="D153" s="7" t="s">
        <v>116</v>
      </c>
      <c r="E153" s="8">
        <v>2019</v>
      </c>
      <c r="F153" s="9" t="s">
        <v>89</v>
      </c>
      <c r="G153" s="9" t="s">
        <v>14</v>
      </c>
      <c r="H153" s="10" t="s">
        <v>49</v>
      </c>
      <c r="I153" s="7">
        <v>68</v>
      </c>
      <c r="J153" s="11">
        <v>73</v>
      </c>
      <c r="K153" s="11">
        <f t="shared" si="4"/>
        <v>4964</v>
      </c>
      <c r="L153" s="11">
        <v>0</v>
      </c>
      <c r="M153" s="11">
        <v>595.67999999999995</v>
      </c>
      <c r="N153" s="11">
        <f t="shared" si="5"/>
        <v>5559.68</v>
      </c>
    </row>
    <row r="154" spans="3:14" x14ac:dyDescent="0.3">
      <c r="C154" s="6">
        <v>43720</v>
      </c>
      <c r="D154" s="7" t="s">
        <v>116</v>
      </c>
      <c r="E154" s="8">
        <v>2019</v>
      </c>
      <c r="F154" s="9" t="s">
        <v>89</v>
      </c>
      <c r="G154" s="9" t="s">
        <v>14</v>
      </c>
      <c r="H154" s="10" t="s">
        <v>87</v>
      </c>
      <c r="I154" s="7">
        <v>52</v>
      </c>
      <c r="J154" s="11">
        <v>72</v>
      </c>
      <c r="K154" s="11">
        <f t="shared" si="4"/>
        <v>3744</v>
      </c>
      <c r="L154" s="11">
        <v>0</v>
      </c>
      <c r="M154" s="11">
        <v>449.28</v>
      </c>
      <c r="N154" s="11">
        <f t="shared" si="5"/>
        <v>4193.28</v>
      </c>
    </row>
    <row r="155" spans="3:14" x14ac:dyDescent="0.3">
      <c r="C155" s="6">
        <v>43721</v>
      </c>
      <c r="D155" s="7" t="s">
        <v>116</v>
      </c>
      <c r="E155" s="8">
        <v>2019</v>
      </c>
      <c r="F155" s="9" t="s">
        <v>61</v>
      </c>
      <c r="G155" s="9" t="s">
        <v>24</v>
      </c>
      <c r="H155" s="10" t="s">
        <v>115</v>
      </c>
      <c r="I155" s="7">
        <v>13</v>
      </c>
      <c r="J155" s="11">
        <v>11</v>
      </c>
      <c r="K155" s="11">
        <f t="shared" si="4"/>
        <v>143</v>
      </c>
      <c r="L155" s="11">
        <v>0.10000000149011599</v>
      </c>
      <c r="M155" s="11">
        <v>17.16</v>
      </c>
      <c r="N155" s="11">
        <f t="shared" si="5"/>
        <v>160.05999999850988</v>
      </c>
    </row>
    <row r="156" spans="3:14" x14ac:dyDescent="0.3">
      <c r="C156" s="6">
        <v>43721</v>
      </c>
      <c r="D156" s="7" t="s">
        <v>116</v>
      </c>
      <c r="E156" s="8">
        <v>2019</v>
      </c>
      <c r="F156" s="9" t="s">
        <v>61</v>
      </c>
      <c r="G156" s="9" t="s">
        <v>42</v>
      </c>
      <c r="H156" s="10" t="s">
        <v>79</v>
      </c>
      <c r="I156" s="7">
        <v>68</v>
      </c>
      <c r="J156" s="11">
        <v>30</v>
      </c>
      <c r="K156" s="11">
        <f t="shared" si="4"/>
        <v>2040</v>
      </c>
      <c r="L156" s="11">
        <v>0.10000000149011599</v>
      </c>
      <c r="M156" s="11">
        <v>244.79999999999998</v>
      </c>
      <c r="N156" s="11">
        <f t="shared" si="5"/>
        <v>2284.6999999985101</v>
      </c>
    </row>
    <row r="157" spans="3:14" x14ac:dyDescent="0.3">
      <c r="C157" s="6">
        <v>43721</v>
      </c>
      <c r="D157" s="7" t="s">
        <v>116</v>
      </c>
      <c r="E157" s="8">
        <v>2019</v>
      </c>
      <c r="F157" s="9" t="s">
        <v>61</v>
      </c>
      <c r="G157" s="9" t="s">
        <v>37</v>
      </c>
      <c r="H157" s="10" t="s">
        <v>38</v>
      </c>
      <c r="I157" s="7">
        <v>95</v>
      </c>
      <c r="J157" s="11">
        <v>52</v>
      </c>
      <c r="K157" s="11">
        <f t="shared" si="4"/>
        <v>4940</v>
      </c>
      <c r="L157" s="11">
        <v>0.10000000149011599</v>
      </c>
      <c r="M157" s="11">
        <v>592.79999999999995</v>
      </c>
      <c r="N157" s="11">
        <f t="shared" si="5"/>
        <v>5532.6999999985101</v>
      </c>
    </row>
    <row r="158" spans="3:14" x14ac:dyDescent="0.3">
      <c r="C158" s="6">
        <v>43724</v>
      </c>
      <c r="D158" s="7" t="s">
        <v>116</v>
      </c>
      <c r="E158" s="8">
        <v>2019</v>
      </c>
      <c r="F158" s="9" t="s">
        <v>99</v>
      </c>
      <c r="G158" s="9" t="s">
        <v>24</v>
      </c>
      <c r="H158" s="10" t="s">
        <v>69</v>
      </c>
      <c r="I158" s="7">
        <v>98</v>
      </c>
      <c r="J158" s="11">
        <v>37</v>
      </c>
      <c r="K158" s="11">
        <f t="shared" si="4"/>
        <v>3626</v>
      </c>
      <c r="L158" s="11">
        <v>0</v>
      </c>
      <c r="M158" s="11">
        <v>435.12</v>
      </c>
      <c r="N158" s="11">
        <f t="shared" si="5"/>
        <v>4061.12</v>
      </c>
    </row>
    <row r="159" spans="3:14" x14ac:dyDescent="0.3">
      <c r="C159" s="6">
        <v>43724</v>
      </c>
      <c r="D159" s="7" t="s">
        <v>116</v>
      </c>
      <c r="E159" s="8">
        <v>2019</v>
      </c>
      <c r="F159" s="9" t="s">
        <v>99</v>
      </c>
      <c r="G159" s="9" t="s">
        <v>42</v>
      </c>
      <c r="H159" s="10" t="s">
        <v>51</v>
      </c>
      <c r="I159" s="7">
        <v>58</v>
      </c>
      <c r="J159" s="11">
        <v>46</v>
      </c>
      <c r="K159" s="11">
        <f t="shared" si="4"/>
        <v>2668</v>
      </c>
      <c r="L159" s="11">
        <v>0</v>
      </c>
      <c r="M159" s="11">
        <v>320.15999999999997</v>
      </c>
      <c r="N159" s="11">
        <f t="shared" si="5"/>
        <v>2988.16</v>
      </c>
    </row>
    <row r="160" spans="3:14" x14ac:dyDescent="0.3">
      <c r="C160" s="6">
        <v>43724</v>
      </c>
      <c r="D160" s="7" t="s">
        <v>116</v>
      </c>
      <c r="E160" s="8">
        <v>2019</v>
      </c>
      <c r="F160" s="9" t="s">
        <v>99</v>
      </c>
      <c r="G160" s="9" t="s">
        <v>42</v>
      </c>
      <c r="H160" s="10" t="s">
        <v>109</v>
      </c>
      <c r="I160" s="7">
        <v>21</v>
      </c>
      <c r="J160" s="11">
        <v>54</v>
      </c>
      <c r="K160" s="11">
        <f t="shared" si="4"/>
        <v>1134</v>
      </c>
      <c r="L160" s="11">
        <v>0</v>
      </c>
      <c r="M160" s="11">
        <v>136.07999999999998</v>
      </c>
      <c r="N160" s="11">
        <f t="shared" si="5"/>
        <v>1270.08</v>
      </c>
    </row>
    <row r="161" spans="3:14" x14ac:dyDescent="0.3">
      <c r="C161" s="6">
        <v>43725</v>
      </c>
      <c r="D161" s="7" t="s">
        <v>116</v>
      </c>
      <c r="E161" s="8">
        <v>2019</v>
      </c>
      <c r="F161" s="9" t="s">
        <v>122</v>
      </c>
      <c r="G161" s="9" t="s">
        <v>32</v>
      </c>
      <c r="H161" s="10" t="s">
        <v>62</v>
      </c>
      <c r="I161" s="7">
        <v>6</v>
      </c>
      <c r="J161" s="11">
        <v>84</v>
      </c>
      <c r="K161" s="11">
        <f t="shared" si="4"/>
        <v>504</v>
      </c>
      <c r="L161" s="11">
        <v>0</v>
      </c>
      <c r="M161" s="11">
        <v>60.48</v>
      </c>
      <c r="N161" s="11">
        <f t="shared" si="5"/>
        <v>564.48</v>
      </c>
    </row>
    <row r="162" spans="3:14" x14ac:dyDescent="0.3">
      <c r="C162" s="6">
        <v>43725</v>
      </c>
      <c r="D162" s="7" t="s">
        <v>116</v>
      </c>
      <c r="E162" s="8">
        <v>2019</v>
      </c>
      <c r="F162" s="9" t="s">
        <v>122</v>
      </c>
      <c r="G162" s="9" t="s">
        <v>32</v>
      </c>
      <c r="H162" s="10" t="s">
        <v>110</v>
      </c>
      <c r="I162" s="7">
        <v>33</v>
      </c>
      <c r="J162" s="11">
        <v>65</v>
      </c>
      <c r="K162" s="11">
        <f t="shared" si="4"/>
        <v>2145</v>
      </c>
      <c r="L162" s="11">
        <v>0</v>
      </c>
      <c r="M162" s="11">
        <v>257.39999999999998</v>
      </c>
      <c r="N162" s="11">
        <f t="shared" si="5"/>
        <v>2402.4</v>
      </c>
    </row>
    <row r="163" spans="3:14" x14ac:dyDescent="0.3">
      <c r="C163" s="6">
        <v>43726</v>
      </c>
      <c r="D163" s="7" t="s">
        <v>116</v>
      </c>
      <c r="E163" s="8">
        <v>2019</v>
      </c>
      <c r="F163" s="9" t="s">
        <v>123</v>
      </c>
      <c r="G163" s="9" t="s">
        <v>14</v>
      </c>
      <c r="H163" s="10" t="s">
        <v>117</v>
      </c>
      <c r="I163" s="7">
        <v>90</v>
      </c>
      <c r="J163" s="11">
        <v>10</v>
      </c>
      <c r="K163" s="11">
        <f t="shared" si="4"/>
        <v>900</v>
      </c>
      <c r="L163" s="11">
        <v>0</v>
      </c>
      <c r="M163" s="11">
        <v>108</v>
      </c>
      <c r="N163" s="11">
        <f t="shared" si="5"/>
        <v>1008</v>
      </c>
    </row>
    <row r="164" spans="3:14" x14ac:dyDescent="0.3">
      <c r="C164" s="6">
        <v>43726</v>
      </c>
      <c r="D164" s="7" t="s">
        <v>116</v>
      </c>
      <c r="E164" s="8">
        <v>2019</v>
      </c>
      <c r="F164" s="9" t="s">
        <v>123</v>
      </c>
      <c r="G164" s="9" t="s">
        <v>37</v>
      </c>
      <c r="H164" s="10" t="s">
        <v>63</v>
      </c>
      <c r="I164" s="7">
        <v>46</v>
      </c>
      <c r="J164" s="11">
        <v>19</v>
      </c>
      <c r="K164" s="11">
        <f t="shared" si="4"/>
        <v>874</v>
      </c>
      <c r="L164" s="11">
        <v>0</v>
      </c>
      <c r="M164" s="11">
        <v>104.88</v>
      </c>
      <c r="N164" s="11">
        <f t="shared" si="5"/>
        <v>978.88</v>
      </c>
    </row>
    <row r="165" spans="3:14" x14ac:dyDescent="0.3">
      <c r="C165" s="6">
        <v>43727</v>
      </c>
      <c r="D165" s="7" t="s">
        <v>116</v>
      </c>
      <c r="E165" s="8">
        <v>2019</v>
      </c>
      <c r="F165" s="9" t="s">
        <v>118</v>
      </c>
      <c r="G165" s="9" t="s">
        <v>26</v>
      </c>
      <c r="H165" s="10" t="s">
        <v>124</v>
      </c>
      <c r="I165" s="7">
        <v>98</v>
      </c>
      <c r="J165" s="11">
        <v>78</v>
      </c>
      <c r="K165" s="11">
        <f t="shared" si="4"/>
        <v>7644</v>
      </c>
      <c r="L165" s="11">
        <v>0</v>
      </c>
      <c r="M165" s="11">
        <v>917.28</v>
      </c>
      <c r="N165" s="11">
        <f t="shared" si="5"/>
        <v>8561.2800000000007</v>
      </c>
    </row>
    <row r="166" spans="3:14" x14ac:dyDescent="0.3">
      <c r="C166" s="6">
        <v>43727</v>
      </c>
      <c r="D166" s="7" t="s">
        <v>116</v>
      </c>
      <c r="E166" s="8">
        <v>2019</v>
      </c>
      <c r="F166" s="9" t="s">
        <v>118</v>
      </c>
      <c r="G166" s="9" t="s">
        <v>26</v>
      </c>
      <c r="H166" s="10" t="s">
        <v>125</v>
      </c>
      <c r="I166" s="7">
        <v>96</v>
      </c>
      <c r="J166" s="11">
        <v>65</v>
      </c>
      <c r="K166" s="11">
        <f t="shared" si="4"/>
        <v>6240</v>
      </c>
      <c r="L166" s="11">
        <v>0</v>
      </c>
      <c r="M166" s="11">
        <v>748.8</v>
      </c>
      <c r="N166" s="11">
        <f t="shared" si="5"/>
        <v>6988.8</v>
      </c>
    </row>
    <row r="167" spans="3:14" x14ac:dyDescent="0.3">
      <c r="C167" s="6">
        <v>43727</v>
      </c>
      <c r="D167" s="7" t="s">
        <v>116</v>
      </c>
      <c r="E167" s="8">
        <v>2019</v>
      </c>
      <c r="F167" s="9" t="s">
        <v>118</v>
      </c>
      <c r="G167" s="9" t="s">
        <v>16</v>
      </c>
      <c r="H167" s="10" t="s">
        <v>17</v>
      </c>
      <c r="I167" s="7">
        <v>28</v>
      </c>
      <c r="J167" s="11">
        <v>54</v>
      </c>
      <c r="K167" s="11">
        <f t="shared" si="4"/>
        <v>1512</v>
      </c>
      <c r="L167" s="11">
        <v>0</v>
      </c>
      <c r="M167" s="11">
        <v>181.44</v>
      </c>
      <c r="N167" s="11">
        <f t="shared" si="5"/>
        <v>1693.44</v>
      </c>
    </row>
    <row r="168" spans="3:14" x14ac:dyDescent="0.3">
      <c r="C168" s="6">
        <v>43727</v>
      </c>
      <c r="D168" s="7" t="s">
        <v>116</v>
      </c>
      <c r="E168" s="8">
        <v>2019</v>
      </c>
      <c r="F168" s="9" t="s">
        <v>118</v>
      </c>
      <c r="G168" s="9" t="s">
        <v>37</v>
      </c>
      <c r="H168" s="10" t="s">
        <v>82</v>
      </c>
      <c r="I168" s="7">
        <v>83</v>
      </c>
      <c r="J168" s="11">
        <v>35</v>
      </c>
      <c r="K168" s="11">
        <f t="shared" si="4"/>
        <v>2905</v>
      </c>
      <c r="L168" s="11">
        <v>0</v>
      </c>
      <c r="M168" s="11">
        <v>348.59999999999997</v>
      </c>
      <c r="N168" s="11">
        <f t="shared" si="5"/>
        <v>3253.6</v>
      </c>
    </row>
    <row r="169" spans="3:14" x14ac:dyDescent="0.3">
      <c r="C169" s="6">
        <v>43727</v>
      </c>
      <c r="D169" s="7" t="s">
        <v>116</v>
      </c>
      <c r="E169" s="8">
        <v>2019</v>
      </c>
      <c r="F169" s="9" t="s">
        <v>118</v>
      </c>
      <c r="G169" s="9" t="s">
        <v>14</v>
      </c>
      <c r="H169" s="10" t="s">
        <v>87</v>
      </c>
      <c r="I169" s="7">
        <v>10</v>
      </c>
      <c r="J169" s="11">
        <v>10</v>
      </c>
      <c r="K169" s="11">
        <f t="shared" si="4"/>
        <v>100</v>
      </c>
      <c r="L169" s="11">
        <v>0</v>
      </c>
      <c r="M169" s="11">
        <v>12</v>
      </c>
      <c r="N169" s="11">
        <f t="shared" si="5"/>
        <v>112</v>
      </c>
    </row>
    <row r="170" spans="3:14" x14ac:dyDescent="0.3">
      <c r="C170" s="6">
        <v>43728</v>
      </c>
      <c r="D170" s="7" t="s">
        <v>116</v>
      </c>
      <c r="E170" s="8">
        <v>2019</v>
      </c>
      <c r="F170" s="9" t="s">
        <v>126</v>
      </c>
      <c r="G170" s="9" t="s">
        <v>32</v>
      </c>
      <c r="H170" s="10" t="s">
        <v>47</v>
      </c>
      <c r="I170" s="7">
        <v>34</v>
      </c>
      <c r="J170" s="11">
        <v>25</v>
      </c>
      <c r="K170" s="11">
        <f t="shared" si="4"/>
        <v>850</v>
      </c>
      <c r="L170" s="11">
        <v>0</v>
      </c>
      <c r="M170" s="11">
        <v>102</v>
      </c>
      <c r="N170" s="11">
        <f t="shared" si="5"/>
        <v>952</v>
      </c>
    </row>
    <row r="171" spans="3:14" x14ac:dyDescent="0.3">
      <c r="C171" s="6">
        <v>43728</v>
      </c>
      <c r="D171" s="7" t="s">
        <v>116</v>
      </c>
      <c r="E171" s="8">
        <v>2019</v>
      </c>
      <c r="F171" s="9" t="s">
        <v>126</v>
      </c>
      <c r="G171" s="9" t="s">
        <v>32</v>
      </c>
      <c r="H171" s="10" t="s">
        <v>62</v>
      </c>
      <c r="I171" s="7">
        <v>78</v>
      </c>
      <c r="J171" s="11">
        <v>13</v>
      </c>
      <c r="K171" s="11">
        <f t="shared" si="4"/>
        <v>1014</v>
      </c>
      <c r="L171" s="11">
        <v>0</v>
      </c>
      <c r="M171" s="11">
        <v>121.67999999999999</v>
      </c>
      <c r="N171" s="11">
        <f t="shared" si="5"/>
        <v>1135.68</v>
      </c>
    </row>
    <row r="172" spans="3:14" x14ac:dyDescent="0.3">
      <c r="C172" s="6">
        <v>43728</v>
      </c>
      <c r="D172" s="7" t="s">
        <v>116</v>
      </c>
      <c r="E172" s="8">
        <v>2019</v>
      </c>
      <c r="F172" s="9" t="s">
        <v>127</v>
      </c>
      <c r="G172" s="9" t="s">
        <v>16</v>
      </c>
      <c r="H172" s="10" t="s">
        <v>17</v>
      </c>
      <c r="I172" s="7">
        <v>40</v>
      </c>
      <c r="J172" s="11">
        <v>80</v>
      </c>
      <c r="K172" s="11">
        <f t="shared" si="4"/>
        <v>3200</v>
      </c>
      <c r="L172" s="11">
        <v>0</v>
      </c>
      <c r="M172" s="11">
        <v>384</v>
      </c>
      <c r="N172" s="11">
        <f t="shared" si="5"/>
        <v>3584</v>
      </c>
    </row>
    <row r="173" spans="3:14" x14ac:dyDescent="0.3">
      <c r="C173" s="6">
        <v>43728</v>
      </c>
      <c r="D173" s="7" t="s">
        <v>116</v>
      </c>
      <c r="E173" s="8">
        <v>2019</v>
      </c>
      <c r="F173" s="9" t="s">
        <v>127</v>
      </c>
      <c r="G173" s="9" t="s">
        <v>14</v>
      </c>
      <c r="H173" s="10" t="s">
        <v>117</v>
      </c>
      <c r="I173" s="7">
        <v>79</v>
      </c>
      <c r="J173" s="11">
        <v>65</v>
      </c>
      <c r="K173" s="11">
        <f t="shared" si="4"/>
        <v>5135</v>
      </c>
      <c r="L173" s="11">
        <v>0</v>
      </c>
      <c r="M173" s="11">
        <v>616.19999999999993</v>
      </c>
      <c r="N173" s="11">
        <f t="shared" si="5"/>
        <v>5751.2</v>
      </c>
    </row>
    <row r="174" spans="3:14" x14ac:dyDescent="0.3">
      <c r="C174" s="6">
        <v>43731</v>
      </c>
      <c r="D174" s="7" t="s">
        <v>116</v>
      </c>
      <c r="E174" s="8">
        <v>2019</v>
      </c>
      <c r="F174" s="9" t="s">
        <v>120</v>
      </c>
      <c r="G174" s="9" t="s">
        <v>20</v>
      </c>
      <c r="H174" s="10" t="s">
        <v>92</v>
      </c>
      <c r="I174" s="7">
        <v>75</v>
      </c>
      <c r="J174" s="11">
        <v>39</v>
      </c>
      <c r="K174" s="11">
        <f t="shared" si="4"/>
        <v>2925</v>
      </c>
      <c r="L174" s="11">
        <v>0</v>
      </c>
      <c r="M174" s="11">
        <v>351</v>
      </c>
      <c r="N174" s="11">
        <f t="shared" si="5"/>
        <v>3276</v>
      </c>
    </row>
    <row r="175" spans="3:14" x14ac:dyDescent="0.3">
      <c r="C175" s="6">
        <v>43731</v>
      </c>
      <c r="D175" s="7" t="s">
        <v>116</v>
      </c>
      <c r="E175" s="8">
        <v>2019</v>
      </c>
      <c r="F175" s="9" t="s">
        <v>120</v>
      </c>
      <c r="G175" s="9" t="s">
        <v>37</v>
      </c>
      <c r="H175" s="10" t="s">
        <v>82</v>
      </c>
      <c r="I175" s="7">
        <v>61</v>
      </c>
      <c r="J175" s="11">
        <v>50</v>
      </c>
      <c r="K175" s="11">
        <f t="shared" si="4"/>
        <v>3050</v>
      </c>
      <c r="L175" s="11">
        <v>0</v>
      </c>
      <c r="M175" s="11">
        <v>366</v>
      </c>
      <c r="N175" s="11">
        <f t="shared" si="5"/>
        <v>3416</v>
      </c>
    </row>
    <row r="176" spans="3:14" x14ac:dyDescent="0.3">
      <c r="C176" s="6">
        <v>43731</v>
      </c>
      <c r="D176" s="7" t="s">
        <v>116</v>
      </c>
      <c r="E176" s="8">
        <v>2019</v>
      </c>
      <c r="F176" s="9" t="s">
        <v>120</v>
      </c>
      <c r="G176" s="9" t="s">
        <v>42</v>
      </c>
      <c r="H176" s="10" t="s">
        <v>51</v>
      </c>
      <c r="I176" s="7">
        <v>81</v>
      </c>
      <c r="J176" s="11">
        <v>41</v>
      </c>
      <c r="K176" s="11">
        <f t="shared" si="4"/>
        <v>3321</v>
      </c>
      <c r="L176" s="11">
        <v>0</v>
      </c>
      <c r="M176" s="11">
        <v>398.52</v>
      </c>
      <c r="N176" s="11">
        <f t="shared" si="5"/>
        <v>3719.52</v>
      </c>
    </row>
    <row r="177" spans="3:14" x14ac:dyDescent="0.3">
      <c r="C177" s="6">
        <v>43731</v>
      </c>
      <c r="D177" s="7" t="s">
        <v>116</v>
      </c>
      <c r="E177" s="8">
        <v>2019</v>
      </c>
      <c r="F177" s="9" t="s">
        <v>120</v>
      </c>
      <c r="G177" s="9" t="s">
        <v>37</v>
      </c>
      <c r="H177" s="10" t="s">
        <v>98</v>
      </c>
      <c r="I177" s="7">
        <v>95</v>
      </c>
      <c r="J177" s="11">
        <v>95</v>
      </c>
      <c r="K177" s="11">
        <f t="shared" si="4"/>
        <v>9025</v>
      </c>
      <c r="L177" s="11">
        <v>0</v>
      </c>
      <c r="M177" s="11">
        <v>1083</v>
      </c>
      <c r="N177" s="11">
        <f t="shared" si="5"/>
        <v>10108</v>
      </c>
    </row>
    <row r="178" spans="3:14" x14ac:dyDescent="0.3">
      <c r="C178" s="6">
        <v>43732</v>
      </c>
      <c r="D178" s="7" t="s">
        <v>116</v>
      </c>
      <c r="E178" s="8">
        <v>2019</v>
      </c>
      <c r="F178" s="9" t="s">
        <v>84</v>
      </c>
      <c r="G178" s="9" t="s">
        <v>24</v>
      </c>
      <c r="H178" s="10" t="s">
        <v>48</v>
      </c>
      <c r="I178" s="7">
        <v>95</v>
      </c>
      <c r="J178" s="11">
        <v>50</v>
      </c>
      <c r="K178" s="11">
        <f t="shared" si="4"/>
        <v>4750</v>
      </c>
      <c r="L178" s="11">
        <v>0</v>
      </c>
      <c r="M178" s="11">
        <v>570</v>
      </c>
      <c r="N178" s="11">
        <f t="shared" si="5"/>
        <v>5320</v>
      </c>
    </row>
    <row r="179" spans="3:14" x14ac:dyDescent="0.3">
      <c r="C179" s="6">
        <v>43733</v>
      </c>
      <c r="D179" s="7" t="s">
        <v>116</v>
      </c>
      <c r="E179" s="8">
        <v>2019</v>
      </c>
      <c r="F179" s="9" t="s">
        <v>66</v>
      </c>
      <c r="G179" s="9" t="s">
        <v>14</v>
      </c>
      <c r="H179" s="10" t="s">
        <v>57</v>
      </c>
      <c r="I179" s="7">
        <v>73</v>
      </c>
      <c r="J179" s="11">
        <v>92</v>
      </c>
      <c r="K179" s="11">
        <f t="shared" si="4"/>
        <v>6716</v>
      </c>
      <c r="L179" s="11">
        <v>0.10000000149011599</v>
      </c>
      <c r="M179" s="11">
        <v>805.92</v>
      </c>
      <c r="N179" s="11">
        <f t="shared" si="5"/>
        <v>7521.81999999851</v>
      </c>
    </row>
    <row r="180" spans="3:14" x14ac:dyDescent="0.3">
      <c r="C180" s="6">
        <v>43733</v>
      </c>
      <c r="D180" s="7" t="s">
        <v>116</v>
      </c>
      <c r="E180" s="8">
        <v>2019</v>
      </c>
      <c r="F180" s="9" t="s">
        <v>66</v>
      </c>
      <c r="G180" s="9" t="s">
        <v>24</v>
      </c>
      <c r="H180" s="10" t="s">
        <v>128</v>
      </c>
      <c r="I180" s="7">
        <v>41</v>
      </c>
      <c r="J180" s="11">
        <v>59</v>
      </c>
      <c r="K180" s="11">
        <f t="shared" si="4"/>
        <v>2419</v>
      </c>
      <c r="L180" s="11">
        <v>0.10000000149011599</v>
      </c>
      <c r="M180" s="11">
        <v>290.27999999999997</v>
      </c>
      <c r="N180" s="11">
        <f t="shared" si="5"/>
        <v>2709.1799999985096</v>
      </c>
    </row>
    <row r="181" spans="3:14" x14ac:dyDescent="0.3">
      <c r="C181" s="6">
        <v>43733</v>
      </c>
      <c r="D181" s="7" t="s">
        <v>116</v>
      </c>
      <c r="E181" s="8">
        <v>2019</v>
      </c>
      <c r="F181" s="9" t="s">
        <v>66</v>
      </c>
      <c r="G181" s="9" t="s">
        <v>32</v>
      </c>
      <c r="H181" s="10" t="s">
        <v>62</v>
      </c>
      <c r="I181" s="7">
        <v>73</v>
      </c>
      <c r="J181" s="11">
        <v>82</v>
      </c>
      <c r="K181" s="11">
        <f t="shared" si="4"/>
        <v>5986</v>
      </c>
      <c r="L181" s="11">
        <v>0.10000000149011599</v>
      </c>
      <c r="M181" s="11">
        <v>718.31999999999994</v>
      </c>
      <c r="N181" s="11">
        <f t="shared" si="5"/>
        <v>6704.2199999985096</v>
      </c>
    </row>
    <row r="182" spans="3:14" x14ac:dyDescent="0.3">
      <c r="C182" s="6">
        <v>43734</v>
      </c>
      <c r="D182" s="7" t="s">
        <v>116</v>
      </c>
      <c r="E182" s="8">
        <v>2019</v>
      </c>
      <c r="F182" s="9" t="s">
        <v>129</v>
      </c>
      <c r="G182" s="9" t="s">
        <v>37</v>
      </c>
      <c r="H182" s="10" t="s">
        <v>106</v>
      </c>
      <c r="I182" s="7">
        <v>85</v>
      </c>
      <c r="J182" s="11">
        <v>99</v>
      </c>
      <c r="K182" s="11">
        <f t="shared" si="4"/>
        <v>8415</v>
      </c>
      <c r="L182" s="11">
        <v>0</v>
      </c>
      <c r="M182" s="11">
        <v>1009.8</v>
      </c>
      <c r="N182" s="11">
        <f t="shared" si="5"/>
        <v>9424.7999999999993</v>
      </c>
    </row>
    <row r="183" spans="3:14" x14ac:dyDescent="0.3">
      <c r="C183" s="6">
        <v>43734</v>
      </c>
      <c r="D183" s="7" t="s">
        <v>116</v>
      </c>
      <c r="E183" s="8">
        <v>2019</v>
      </c>
      <c r="F183" s="9" t="s">
        <v>129</v>
      </c>
      <c r="G183" s="9" t="s">
        <v>37</v>
      </c>
      <c r="H183" s="10" t="s">
        <v>63</v>
      </c>
      <c r="I183" s="7">
        <v>28</v>
      </c>
      <c r="J183" s="11">
        <v>56</v>
      </c>
      <c r="K183" s="11">
        <f t="shared" si="4"/>
        <v>1568</v>
      </c>
      <c r="L183" s="11">
        <v>0</v>
      </c>
      <c r="M183" s="11">
        <v>188.16</v>
      </c>
      <c r="N183" s="11">
        <f t="shared" si="5"/>
        <v>1756.16</v>
      </c>
    </row>
    <row r="184" spans="3:14" x14ac:dyDescent="0.3">
      <c r="C184" s="6">
        <v>43735</v>
      </c>
      <c r="D184" s="7" t="s">
        <v>116</v>
      </c>
      <c r="E184" s="8">
        <v>2019</v>
      </c>
      <c r="F184" s="9" t="s">
        <v>66</v>
      </c>
      <c r="G184" s="9" t="s">
        <v>24</v>
      </c>
      <c r="H184" s="10" t="s">
        <v>25</v>
      </c>
      <c r="I184" s="7">
        <v>26</v>
      </c>
      <c r="J184" s="11">
        <v>84</v>
      </c>
      <c r="K184" s="11">
        <f t="shared" si="4"/>
        <v>2184</v>
      </c>
      <c r="L184" s="11">
        <v>0</v>
      </c>
      <c r="M184" s="11">
        <v>262.08</v>
      </c>
      <c r="N184" s="11">
        <f t="shared" si="5"/>
        <v>2446.08</v>
      </c>
    </row>
    <row r="185" spans="3:14" x14ac:dyDescent="0.3">
      <c r="C185" s="6">
        <v>43735</v>
      </c>
      <c r="D185" s="7" t="s">
        <v>116</v>
      </c>
      <c r="E185" s="8">
        <v>2019</v>
      </c>
      <c r="F185" s="9" t="s">
        <v>66</v>
      </c>
      <c r="G185" s="9" t="s">
        <v>32</v>
      </c>
      <c r="H185" s="10" t="s">
        <v>62</v>
      </c>
      <c r="I185" s="7">
        <v>65</v>
      </c>
      <c r="J185" s="11">
        <v>10</v>
      </c>
      <c r="K185" s="11">
        <f t="shared" si="4"/>
        <v>650</v>
      </c>
      <c r="L185" s="11">
        <v>0</v>
      </c>
      <c r="M185" s="11">
        <v>78</v>
      </c>
      <c r="N185" s="11">
        <f t="shared" si="5"/>
        <v>728</v>
      </c>
    </row>
    <row r="186" spans="3:14" x14ac:dyDescent="0.3">
      <c r="C186" s="6">
        <v>43738</v>
      </c>
      <c r="D186" s="7" t="s">
        <v>116</v>
      </c>
      <c r="E186" s="8">
        <v>2019</v>
      </c>
      <c r="F186" s="9" t="s">
        <v>122</v>
      </c>
      <c r="G186" s="9" t="s">
        <v>37</v>
      </c>
      <c r="H186" s="10" t="s">
        <v>104</v>
      </c>
      <c r="I186" s="7">
        <v>18</v>
      </c>
      <c r="J186" s="11">
        <v>65</v>
      </c>
      <c r="K186" s="11">
        <f t="shared" si="4"/>
        <v>1170</v>
      </c>
      <c r="L186" s="11">
        <v>0</v>
      </c>
      <c r="M186" s="11">
        <v>140.4</v>
      </c>
      <c r="N186" s="11">
        <f t="shared" si="5"/>
        <v>1310.4000000000001</v>
      </c>
    </row>
    <row r="187" spans="3:14" x14ac:dyDescent="0.3">
      <c r="C187" s="6">
        <v>43739</v>
      </c>
      <c r="D187" s="7" t="s">
        <v>130</v>
      </c>
      <c r="E187" s="8">
        <v>2019</v>
      </c>
      <c r="F187" s="9" t="s">
        <v>129</v>
      </c>
      <c r="G187" s="9" t="s">
        <v>24</v>
      </c>
      <c r="H187" s="10" t="s">
        <v>25</v>
      </c>
      <c r="I187" s="7">
        <v>78</v>
      </c>
      <c r="J187" s="11">
        <v>58</v>
      </c>
      <c r="K187" s="11">
        <f t="shared" si="4"/>
        <v>4524</v>
      </c>
      <c r="L187" s="11">
        <v>0</v>
      </c>
      <c r="M187" s="11">
        <v>542.88</v>
      </c>
      <c r="N187" s="11">
        <f t="shared" si="5"/>
        <v>5066.88</v>
      </c>
    </row>
    <row r="188" spans="3:14" x14ac:dyDescent="0.3">
      <c r="C188" s="6">
        <v>43739</v>
      </c>
      <c r="D188" s="7" t="s">
        <v>130</v>
      </c>
      <c r="E188" s="8">
        <v>2019</v>
      </c>
      <c r="F188" s="9" t="s">
        <v>129</v>
      </c>
      <c r="G188" s="9" t="s">
        <v>37</v>
      </c>
      <c r="H188" s="10" t="s">
        <v>77</v>
      </c>
      <c r="I188" s="7">
        <v>14</v>
      </c>
      <c r="J188" s="11">
        <v>34</v>
      </c>
      <c r="K188" s="11">
        <f t="shared" si="4"/>
        <v>476</v>
      </c>
      <c r="L188" s="11">
        <v>0</v>
      </c>
      <c r="M188" s="11">
        <v>57.12</v>
      </c>
      <c r="N188" s="11">
        <f t="shared" si="5"/>
        <v>533.12</v>
      </c>
    </row>
    <row r="189" spans="3:14" x14ac:dyDescent="0.3">
      <c r="C189" s="6">
        <v>43740</v>
      </c>
      <c r="D189" s="7" t="s">
        <v>130</v>
      </c>
      <c r="E189" s="8">
        <v>2019</v>
      </c>
      <c r="F189" s="9" t="s">
        <v>89</v>
      </c>
      <c r="G189" s="9" t="s">
        <v>42</v>
      </c>
      <c r="H189" s="10" t="s">
        <v>72</v>
      </c>
      <c r="I189" s="7">
        <v>42</v>
      </c>
      <c r="J189" s="11">
        <v>84</v>
      </c>
      <c r="K189" s="11">
        <f t="shared" si="4"/>
        <v>3528</v>
      </c>
      <c r="L189" s="11">
        <v>0</v>
      </c>
      <c r="M189" s="11">
        <v>423.35999999999996</v>
      </c>
      <c r="N189" s="11">
        <f t="shared" si="5"/>
        <v>3951.36</v>
      </c>
    </row>
    <row r="190" spans="3:14" x14ac:dyDescent="0.3">
      <c r="C190" s="6">
        <v>43740</v>
      </c>
      <c r="D190" s="7" t="s">
        <v>130</v>
      </c>
      <c r="E190" s="8">
        <v>2019</v>
      </c>
      <c r="F190" s="9" t="s">
        <v>89</v>
      </c>
      <c r="G190" s="9" t="s">
        <v>20</v>
      </c>
      <c r="H190" s="10" t="s">
        <v>92</v>
      </c>
      <c r="I190" s="7">
        <v>33</v>
      </c>
      <c r="J190" s="11">
        <v>66</v>
      </c>
      <c r="K190" s="11">
        <f t="shared" si="4"/>
        <v>2178</v>
      </c>
      <c r="L190" s="11">
        <v>0</v>
      </c>
      <c r="M190" s="11">
        <v>261.36</v>
      </c>
      <c r="N190" s="11">
        <f t="shared" si="5"/>
        <v>2439.36</v>
      </c>
    </row>
    <row r="191" spans="3:14" x14ac:dyDescent="0.3">
      <c r="C191" s="6">
        <v>43740</v>
      </c>
      <c r="D191" s="7" t="s">
        <v>130</v>
      </c>
      <c r="E191" s="8">
        <v>2019</v>
      </c>
      <c r="F191" s="9" t="s">
        <v>89</v>
      </c>
      <c r="G191" s="9" t="s">
        <v>37</v>
      </c>
      <c r="H191" s="10" t="s">
        <v>77</v>
      </c>
      <c r="I191" s="7">
        <v>82</v>
      </c>
      <c r="J191" s="11">
        <v>57</v>
      </c>
      <c r="K191" s="11">
        <f t="shared" si="4"/>
        <v>4674</v>
      </c>
      <c r="L191" s="11">
        <v>0</v>
      </c>
      <c r="M191" s="11">
        <v>560.88</v>
      </c>
      <c r="N191" s="11">
        <f t="shared" si="5"/>
        <v>5234.88</v>
      </c>
    </row>
    <row r="192" spans="3:14" x14ac:dyDescent="0.3">
      <c r="C192" s="6">
        <v>43741</v>
      </c>
      <c r="D192" s="7" t="s">
        <v>130</v>
      </c>
      <c r="E192" s="8">
        <v>2019</v>
      </c>
      <c r="F192" s="9" t="s">
        <v>73</v>
      </c>
      <c r="G192" s="9" t="s">
        <v>14</v>
      </c>
      <c r="H192" s="10" t="s">
        <v>87</v>
      </c>
      <c r="I192" s="7">
        <v>36</v>
      </c>
      <c r="J192" s="11">
        <v>46</v>
      </c>
      <c r="K192" s="11">
        <f t="shared" si="4"/>
        <v>1656</v>
      </c>
      <c r="L192" s="11">
        <v>0</v>
      </c>
      <c r="M192" s="11">
        <v>198.72</v>
      </c>
      <c r="N192" s="11">
        <f t="shared" si="5"/>
        <v>1854.72</v>
      </c>
    </row>
    <row r="193" spans="3:14" x14ac:dyDescent="0.3">
      <c r="C193" s="6">
        <v>43741</v>
      </c>
      <c r="D193" s="7" t="s">
        <v>130</v>
      </c>
      <c r="E193" s="8">
        <v>2019</v>
      </c>
      <c r="F193" s="9" t="s">
        <v>129</v>
      </c>
      <c r="G193" s="9" t="s">
        <v>37</v>
      </c>
      <c r="H193" s="10" t="s">
        <v>65</v>
      </c>
      <c r="I193" s="7">
        <v>44</v>
      </c>
      <c r="J193" s="11">
        <v>84</v>
      </c>
      <c r="K193" s="11">
        <f t="shared" si="4"/>
        <v>3696</v>
      </c>
      <c r="L193" s="11">
        <v>0</v>
      </c>
      <c r="M193" s="11">
        <v>443.52</v>
      </c>
      <c r="N193" s="11">
        <f t="shared" si="5"/>
        <v>4139.5200000000004</v>
      </c>
    </row>
    <row r="194" spans="3:14" x14ac:dyDescent="0.3">
      <c r="C194" s="6">
        <v>43742</v>
      </c>
      <c r="D194" s="7" t="s">
        <v>130</v>
      </c>
      <c r="E194" s="8">
        <v>2019</v>
      </c>
      <c r="F194" s="9" t="s">
        <v>131</v>
      </c>
      <c r="G194" s="9" t="s">
        <v>16</v>
      </c>
      <c r="H194" s="10" t="s">
        <v>132</v>
      </c>
      <c r="I194" s="7">
        <v>46</v>
      </c>
      <c r="J194" s="11">
        <v>77</v>
      </c>
      <c r="K194" s="11">
        <f t="shared" si="4"/>
        <v>3542</v>
      </c>
      <c r="L194" s="11">
        <v>0</v>
      </c>
      <c r="M194" s="11">
        <v>425.03999999999996</v>
      </c>
      <c r="N194" s="11">
        <f t="shared" si="5"/>
        <v>3967.04</v>
      </c>
    </row>
    <row r="195" spans="3:14" x14ac:dyDescent="0.3">
      <c r="C195" s="6">
        <v>43745</v>
      </c>
      <c r="D195" s="7" t="s">
        <v>130</v>
      </c>
      <c r="E195" s="8">
        <v>2019</v>
      </c>
      <c r="F195" s="9" t="s">
        <v>133</v>
      </c>
      <c r="G195" s="9" t="s">
        <v>26</v>
      </c>
      <c r="H195" s="10" t="s">
        <v>102</v>
      </c>
      <c r="I195" s="7">
        <v>27</v>
      </c>
      <c r="J195" s="11">
        <v>85</v>
      </c>
      <c r="K195" s="11">
        <f t="shared" ref="K195:K258" si="6">J195*I195</f>
        <v>2295</v>
      </c>
      <c r="L195" s="11">
        <v>0</v>
      </c>
      <c r="M195" s="11">
        <v>275.39999999999998</v>
      </c>
      <c r="N195" s="11">
        <f t="shared" ref="N195:N258" si="7">K195-L195+M195</f>
        <v>2570.4</v>
      </c>
    </row>
    <row r="196" spans="3:14" x14ac:dyDescent="0.3">
      <c r="C196" s="6">
        <v>43745</v>
      </c>
      <c r="D196" s="7" t="s">
        <v>130</v>
      </c>
      <c r="E196" s="8">
        <v>2019</v>
      </c>
      <c r="F196" s="9" t="s">
        <v>133</v>
      </c>
      <c r="G196" s="9" t="s">
        <v>32</v>
      </c>
      <c r="H196" s="10" t="s">
        <v>134</v>
      </c>
      <c r="I196" s="7">
        <v>65</v>
      </c>
      <c r="J196" s="11">
        <v>28</v>
      </c>
      <c r="K196" s="11">
        <f t="shared" si="6"/>
        <v>1820</v>
      </c>
      <c r="L196" s="11">
        <v>0</v>
      </c>
      <c r="M196" s="11">
        <v>218.4</v>
      </c>
      <c r="N196" s="11">
        <f t="shared" si="7"/>
        <v>2038.4</v>
      </c>
    </row>
    <row r="197" spans="3:14" x14ac:dyDescent="0.3">
      <c r="C197" s="6">
        <v>43745</v>
      </c>
      <c r="D197" s="7" t="s">
        <v>130</v>
      </c>
      <c r="E197" s="8">
        <v>2019</v>
      </c>
      <c r="F197" s="9" t="s">
        <v>133</v>
      </c>
      <c r="G197" s="9" t="s">
        <v>37</v>
      </c>
      <c r="H197" s="10" t="s">
        <v>38</v>
      </c>
      <c r="I197" s="7">
        <v>29</v>
      </c>
      <c r="J197" s="11">
        <v>79</v>
      </c>
      <c r="K197" s="11">
        <f t="shared" si="6"/>
        <v>2291</v>
      </c>
      <c r="L197" s="11">
        <v>0</v>
      </c>
      <c r="M197" s="11">
        <v>274.92</v>
      </c>
      <c r="N197" s="11">
        <f t="shared" si="7"/>
        <v>2565.92</v>
      </c>
    </row>
    <row r="198" spans="3:14" x14ac:dyDescent="0.3">
      <c r="C198" s="6">
        <v>43746</v>
      </c>
      <c r="D198" s="7" t="s">
        <v>130</v>
      </c>
      <c r="E198" s="8">
        <v>2019</v>
      </c>
      <c r="F198" s="9" t="s">
        <v>135</v>
      </c>
      <c r="G198" s="9" t="s">
        <v>32</v>
      </c>
      <c r="H198" s="10" t="s">
        <v>47</v>
      </c>
      <c r="I198" s="7">
        <v>52</v>
      </c>
      <c r="J198" s="11">
        <v>30</v>
      </c>
      <c r="K198" s="11">
        <f t="shared" si="6"/>
        <v>1560</v>
      </c>
      <c r="L198" s="11">
        <v>0.15000000596046401</v>
      </c>
      <c r="M198" s="11">
        <v>187.2</v>
      </c>
      <c r="N198" s="11">
        <f t="shared" si="7"/>
        <v>1747.0499999940396</v>
      </c>
    </row>
    <row r="199" spans="3:14" x14ac:dyDescent="0.3">
      <c r="C199" s="6">
        <v>43746</v>
      </c>
      <c r="D199" s="7" t="s">
        <v>130</v>
      </c>
      <c r="E199" s="8">
        <v>2019</v>
      </c>
      <c r="F199" s="9" t="s">
        <v>135</v>
      </c>
      <c r="G199" s="9" t="s">
        <v>37</v>
      </c>
      <c r="H199" s="10" t="s">
        <v>65</v>
      </c>
      <c r="I199" s="7">
        <v>12</v>
      </c>
      <c r="J199" s="11">
        <v>68</v>
      </c>
      <c r="K199" s="11">
        <f t="shared" si="6"/>
        <v>816</v>
      </c>
      <c r="L199" s="11">
        <v>0.15000000596046401</v>
      </c>
      <c r="M199" s="11">
        <v>97.92</v>
      </c>
      <c r="N199" s="11">
        <f t="shared" si="7"/>
        <v>913.76999999403949</v>
      </c>
    </row>
    <row r="200" spans="3:14" x14ac:dyDescent="0.3">
      <c r="C200" s="6">
        <v>43746</v>
      </c>
      <c r="D200" s="7" t="s">
        <v>130</v>
      </c>
      <c r="E200" s="8">
        <v>2019</v>
      </c>
      <c r="F200" s="9" t="s">
        <v>135</v>
      </c>
      <c r="G200" s="9" t="s">
        <v>24</v>
      </c>
      <c r="H200" s="10" t="s">
        <v>107</v>
      </c>
      <c r="I200" s="7">
        <v>25</v>
      </c>
      <c r="J200" s="11">
        <v>28</v>
      </c>
      <c r="K200" s="11">
        <f t="shared" si="6"/>
        <v>700</v>
      </c>
      <c r="L200" s="11">
        <v>0</v>
      </c>
      <c r="M200" s="11">
        <v>84</v>
      </c>
      <c r="N200" s="11">
        <f t="shared" si="7"/>
        <v>784</v>
      </c>
    </row>
    <row r="201" spans="3:14" x14ac:dyDescent="0.3">
      <c r="C201" s="6">
        <v>43746</v>
      </c>
      <c r="D201" s="7" t="s">
        <v>130</v>
      </c>
      <c r="E201" s="8">
        <v>2019</v>
      </c>
      <c r="F201" s="9" t="s">
        <v>135</v>
      </c>
      <c r="G201" s="9" t="s">
        <v>14</v>
      </c>
      <c r="H201" s="10" t="s">
        <v>49</v>
      </c>
      <c r="I201" s="7">
        <v>74</v>
      </c>
      <c r="J201" s="11">
        <v>100</v>
      </c>
      <c r="K201" s="11">
        <f t="shared" si="6"/>
        <v>7400</v>
      </c>
      <c r="L201" s="11">
        <v>0.15000000596046401</v>
      </c>
      <c r="M201" s="11">
        <v>888</v>
      </c>
      <c r="N201" s="11">
        <f t="shared" si="7"/>
        <v>8287.8499999940395</v>
      </c>
    </row>
    <row r="202" spans="3:14" x14ac:dyDescent="0.3">
      <c r="C202" s="6">
        <v>43746</v>
      </c>
      <c r="D202" s="7" t="s">
        <v>130</v>
      </c>
      <c r="E202" s="8">
        <v>2019</v>
      </c>
      <c r="F202" s="9" t="s">
        <v>135</v>
      </c>
      <c r="G202" s="9" t="s">
        <v>26</v>
      </c>
      <c r="H202" s="10" t="s">
        <v>95</v>
      </c>
      <c r="I202" s="7">
        <v>81</v>
      </c>
      <c r="J202" s="11">
        <v>10</v>
      </c>
      <c r="K202" s="11">
        <f t="shared" si="6"/>
        <v>810</v>
      </c>
      <c r="L202" s="11">
        <v>0.15000000596046401</v>
      </c>
      <c r="M202" s="11">
        <v>97.2</v>
      </c>
      <c r="N202" s="11">
        <f t="shared" si="7"/>
        <v>907.04999999403958</v>
      </c>
    </row>
    <row r="203" spans="3:14" x14ac:dyDescent="0.3">
      <c r="C203" s="6">
        <v>43747</v>
      </c>
      <c r="D203" s="7" t="s">
        <v>130</v>
      </c>
      <c r="E203" s="8">
        <v>2019</v>
      </c>
      <c r="F203" s="9" t="s">
        <v>133</v>
      </c>
      <c r="G203" s="9" t="s">
        <v>26</v>
      </c>
      <c r="H203" s="10" t="s">
        <v>125</v>
      </c>
      <c r="I203" s="7">
        <v>61</v>
      </c>
      <c r="J203" s="11">
        <v>75</v>
      </c>
      <c r="K203" s="11">
        <f t="shared" si="6"/>
        <v>4575</v>
      </c>
      <c r="L203" s="11">
        <v>0</v>
      </c>
      <c r="M203" s="11">
        <v>549</v>
      </c>
      <c r="N203" s="11">
        <f t="shared" si="7"/>
        <v>5124</v>
      </c>
    </row>
    <row r="204" spans="3:14" x14ac:dyDescent="0.3">
      <c r="C204" s="6">
        <v>43747</v>
      </c>
      <c r="D204" s="7" t="s">
        <v>130</v>
      </c>
      <c r="E204" s="8">
        <v>2019</v>
      </c>
      <c r="F204" s="9" t="s">
        <v>133</v>
      </c>
      <c r="G204" s="9" t="s">
        <v>24</v>
      </c>
      <c r="H204" s="10" t="s">
        <v>90</v>
      </c>
      <c r="I204" s="7">
        <v>30</v>
      </c>
      <c r="J204" s="11">
        <v>28</v>
      </c>
      <c r="K204" s="11">
        <f t="shared" si="6"/>
        <v>840</v>
      </c>
      <c r="L204" s="11">
        <v>0</v>
      </c>
      <c r="M204" s="11">
        <v>100.8</v>
      </c>
      <c r="N204" s="11">
        <f t="shared" si="7"/>
        <v>940.8</v>
      </c>
    </row>
    <row r="205" spans="3:14" x14ac:dyDescent="0.3">
      <c r="C205" s="6">
        <v>43747</v>
      </c>
      <c r="D205" s="7" t="s">
        <v>130</v>
      </c>
      <c r="E205" s="8">
        <v>2019</v>
      </c>
      <c r="F205" s="9" t="s">
        <v>133</v>
      </c>
      <c r="G205" s="9" t="s">
        <v>20</v>
      </c>
      <c r="H205" s="10" t="s">
        <v>136</v>
      </c>
      <c r="I205" s="7">
        <v>4</v>
      </c>
      <c r="J205" s="11">
        <v>68</v>
      </c>
      <c r="K205" s="11">
        <f t="shared" si="6"/>
        <v>272</v>
      </c>
      <c r="L205" s="11">
        <v>0</v>
      </c>
      <c r="M205" s="11">
        <v>32.64</v>
      </c>
      <c r="N205" s="11">
        <f t="shared" si="7"/>
        <v>304.64</v>
      </c>
    </row>
    <row r="206" spans="3:14" x14ac:dyDescent="0.3">
      <c r="C206" s="6">
        <v>43747</v>
      </c>
      <c r="D206" s="7" t="s">
        <v>130</v>
      </c>
      <c r="E206" s="8">
        <v>2019</v>
      </c>
      <c r="F206" s="9" t="s">
        <v>133</v>
      </c>
      <c r="G206" s="9" t="s">
        <v>14</v>
      </c>
      <c r="H206" s="10" t="s">
        <v>36</v>
      </c>
      <c r="I206" s="7">
        <v>53</v>
      </c>
      <c r="J206" s="11">
        <v>12</v>
      </c>
      <c r="K206" s="11">
        <f t="shared" si="6"/>
        <v>636</v>
      </c>
      <c r="L206" s="11">
        <v>0</v>
      </c>
      <c r="M206" s="11">
        <v>76.319999999999993</v>
      </c>
      <c r="N206" s="11">
        <f t="shared" si="7"/>
        <v>712.31999999999994</v>
      </c>
    </row>
    <row r="207" spans="3:14" x14ac:dyDescent="0.3">
      <c r="C207" s="6">
        <v>43747</v>
      </c>
      <c r="D207" s="7" t="s">
        <v>130</v>
      </c>
      <c r="E207" s="8">
        <v>2019</v>
      </c>
      <c r="F207" s="9" t="s">
        <v>133</v>
      </c>
      <c r="G207" s="9" t="s">
        <v>14</v>
      </c>
      <c r="H207" s="10" t="s">
        <v>18</v>
      </c>
      <c r="I207" s="7">
        <v>64</v>
      </c>
      <c r="J207" s="11">
        <v>85</v>
      </c>
      <c r="K207" s="11">
        <f t="shared" si="6"/>
        <v>5440</v>
      </c>
      <c r="L207" s="11">
        <v>0</v>
      </c>
      <c r="M207" s="11">
        <v>652.79999999999995</v>
      </c>
      <c r="N207" s="11">
        <f t="shared" si="7"/>
        <v>6092.8</v>
      </c>
    </row>
    <row r="208" spans="3:14" x14ac:dyDescent="0.3">
      <c r="C208" s="6">
        <v>43748</v>
      </c>
      <c r="D208" s="7" t="s">
        <v>130</v>
      </c>
      <c r="E208" s="8">
        <v>2019</v>
      </c>
      <c r="F208" s="9" t="s">
        <v>137</v>
      </c>
      <c r="G208" s="9" t="s">
        <v>26</v>
      </c>
      <c r="H208" s="10" t="s">
        <v>124</v>
      </c>
      <c r="I208" s="7">
        <v>73</v>
      </c>
      <c r="J208" s="11">
        <v>63</v>
      </c>
      <c r="K208" s="11">
        <f t="shared" si="6"/>
        <v>4599</v>
      </c>
      <c r="L208" s="11">
        <v>0</v>
      </c>
      <c r="M208" s="11">
        <v>551.88</v>
      </c>
      <c r="N208" s="11">
        <f t="shared" si="7"/>
        <v>5150.88</v>
      </c>
    </row>
    <row r="209" spans="3:14" x14ac:dyDescent="0.3">
      <c r="C209" s="6">
        <v>43748</v>
      </c>
      <c r="D209" s="7" t="s">
        <v>130</v>
      </c>
      <c r="E209" s="8">
        <v>2019</v>
      </c>
      <c r="F209" s="9" t="s">
        <v>137</v>
      </c>
      <c r="G209" s="9" t="s">
        <v>16</v>
      </c>
      <c r="H209" s="10" t="s">
        <v>30</v>
      </c>
      <c r="I209" s="7">
        <v>20</v>
      </c>
      <c r="J209" s="11">
        <v>69</v>
      </c>
      <c r="K209" s="11">
        <f t="shared" si="6"/>
        <v>1380</v>
      </c>
      <c r="L209" s="11">
        <v>0</v>
      </c>
      <c r="M209" s="11">
        <v>165.6</v>
      </c>
      <c r="N209" s="11">
        <f t="shared" si="7"/>
        <v>1545.6</v>
      </c>
    </row>
    <row r="210" spans="3:14" x14ac:dyDescent="0.3">
      <c r="C210" s="6">
        <v>43748</v>
      </c>
      <c r="D210" s="7" t="s">
        <v>130</v>
      </c>
      <c r="E210" s="8">
        <v>2019</v>
      </c>
      <c r="F210" s="9" t="s">
        <v>137</v>
      </c>
      <c r="G210" s="9" t="s">
        <v>37</v>
      </c>
      <c r="H210" s="10" t="s">
        <v>98</v>
      </c>
      <c r="I210" s="7">
        <v>86</v>
      </c>
      <c r="J210" s="11">
        <v>31</v>
      </c>
      <c r="K210" s="11">
        <f t="shared" si="6"/>
        <v>2666</v>
      </c>
      <c r="L210" s="11">
        <v>0</v>
      </c>
      <c r="M210" s="11">
        <v>319.92</v>
      </c>
      <c r="N210" s="11">
        <f t="shared" si="7"/>
        <v>2985.92</v>
      </c>
    </row>
    <row r="211" spans="3:14" x14ac:dyDescent="0.3">
      <c r="C211" s="6">
        <v>43749</v>
      </c>
      <c r="D211" s="7" t="s">
        <v>130</v>
      </c>
      <c r="E211" s="8">
        <v>2019</v>
      </c>
      <c r="F211" s="9" t="s">
        <v>70</v>
      </c>
      <c r="G211" s="9" t="s">
        <v>37</v>
      </c>
      <c r="H211" s="10" t="s">
        <v>46</v>
      </c>
      <c r="I211" s="7">
        <v>21</v>
      </c>
      <c r="J211" s="11">
        <v>83</v>
      </c>
      <c r="K211" s="11">
        <f t="shared" si="6"/>
        <v>1743</v>
      </c>
      <c r="L211" s="11">
        <v>0.20000000298023199</v>
      </c>
      <c r="M211" s="11">
        <v>209.16</v>
      </c>
      <c r="N211" s="11">
        <f t="shared" si="7"/>
        <v>1951.9599999970198</v>
      </c>
    </row>
    <row r="212" spans="3:14" x14ac:dyDescent="0.3">
      <c r="C212" s="6">
        <v>43749</v>
      </c>
      <c r="D212" s="7" t="s">
        <v>130</v>
      </c>
      <c r="E212" s="8">
        <v>2019</v>
      </c>
      <c r="F212" s="9" t="s">
        <v>70</v>
      </c>
      <c r="G212" s="9" t="s">
        <v>14</v>
      </c>
      <c r="H212" s="10" t="s">
        <v>15</v>
      </c>
      <c r="I212" s="7">
        <v>63</v>
      </c>
      <c r="J212" s="11">
        <v>68</v>
      </c>
      <c r="K212" s="11">
        <f t="shared" si="6"/>
        <v>4284</v>
      </c>
      <c r="L212" s="11">
        <v>0.20000000298023199</v>
      </c>
      <c r="M212" s="11">
        <v>514.07999999999993</v>
      </c>
      <c r="N212" s="11">
        <f t="shared" si="7"/>
        <v>4797.8799999970197</v>
      </c>
    </row>
    <row r="213" spans="3:14" x14ac:dyDescent="0.3">
      <c r="C213" s="6">
        <v>43749</v>
      </c>
      <c r="D213" s="7" t="s">
        <v>130</v>
      </c>
      <c r="E213" s="8">
        <v>2019</v>
      </c>
      <c r="F213" s="9" t="s">
        <v>70</v>
      </c>
      <c r="G213" s="9" t="s">
        <v>24</v>
      </c>
      <c r="H213" s="10" t="s">
        <v>69</v>
      </c>
      <c r="I213" s="7">
        <v>7</v>
      </c>
      <c r="J213" s="11">
        <v>16</v>
      </c>
      <c r="K213" s="11">
        <f t="shared" si="6"/>
        <v>112</v>
      </c>
      <c r="L213" s="11">
        <v>0.20000000298023199</v>
      </c>
      <c r="M213" s="11">
        <v>13.44</v>
      </c>
      <c r="N213" s="11">
        <f t="shared" si="7"/>
        <v>125.23999999701977</v>
      </c>
    </row>
    <row r="214" spans="3:14" x14ac:dyDescent="0.3">
      <c r="C214" s="6">
        <v>43749</v>
      </c>
      <c r="D214" s="7" t="s">
        <v>130</v>
      </c>
      <c r="E214" s="8">
        <v>2019</v>
      </c>
      <c r="F214" s="9" t="s">
        <v>70</v>
      </c>
      <c r="G214" s="9" t="s">
        <v>24</v>
      </c>
      <c r="H214" s="10" t="s">
        <v>128</v>
      </c>
      <c r="I214" s="7">
        <v>28</v>
      </c>
      <c r="J214" s="11">
        <v>87</v>
      </c>
      <c r="K214" s="11">
        <f t="shared" si="6"/>
        <v>2436</v>
      </c>
      <c r="L214" s="11">
        <v>0.20000000298023199</v>
      </c>
      <c r="M214" s="11">
        <v>292.32</v>
      </c>
      <c r="N214" s="11">
        <f t="shared" si="7"/>
        <v>2728.1199999970199</v>
      </c>
    </row>
    <row r="215" spans="3:14" x14ac:dyDescent="0.3">
      <c r="C215" s="6">
        <v>43752</v>
      </c>
      <c r="D215" s="7" t="s">
        <v>130</v>
      </c>
      <c r="E215" s="8">
        <v>2019</v>
      </c>
      <c r="F215" s="9" t="s">
        <v>138</v>
      </c>
      <c r="G215" s="9" t="s">
        <v>14</v>
      </c>
      <c r="H215" s="10" t="s">
        <v>49</v>
      </c>
      <c r="I215" s="7">
        <v>7</v>
      </c>
      <c r="J215" s="11">
        <v>36</v>
      </c>
      <c r="K215" s="11">
        <f t="shared" si="6"/>
        <v>252</v>
      </c>
      <c r="L215" s="11">
        <v>0</v>
      </c>
      <c r="M215" s="11">
        <v>30.24</v>
      </c>
      <c r="N215" s="11">
        <f t="shared" si="7"/>
        <v>282.24</v>
      </c>
    </row>
    <row r="216" spans="3:14" x14ac:dyDescent="0.3">
      <c r="C216" s="6">
        <v>43752</v>
      </c>
      <c r="D216" s="7" t="s">
        <v>130</v>
      </c>
      <c r="E216" s="8">
        <v>2019</v>
      </c>
      <c r="F216" s="9" t="s">
        <v>138</v>
      </c>
      <c r="G216" s="9" t="s">
        <v>26</v>
      </c>
      <c r="H216" s="10" t="s">
        <v>27</v>
      </c>
      <c r="I216" s="7">
        <v>1</v>
      </c>
      <c r="J216" s="11">
        <v>54</v>
      </c>
      <c r="K216" s="11">
        <f t="shared" si="6"/>
        <v>54</v>
      </c>
      <c r="L216" s="11">
        <v>0</v>
      </c>
      <c r="M216" s="11">
        <v>6.4799999999999995</v>
      </c>
      <c r="N216" s="11">
        <f t="shared" si="7"/>
        <v>60.48</v>
      </c>
    </row>
    <row r="217" spans="3:14" x14ac:dyDescent="0.3">
      <c r="C217" s="6">
        <v>43752</v>
      </c>
      <c r="D217" s="7" t="s">
        <v>130</v>
      </c>
      <c r="E217" s="8">
        <v>2019</v>
      </c>
      <c r="F217" s="9" t="s">
        <v>138</v>
      </c>
      <c r="G217" s="9" t="s">
        <v>32</v>
      </c>
      <c r="H217" s="10" t="s">
        <v>110</v>
      </c>
      <c r="I217" s="7">
        <v>54</v>
      </c>
      <c r="J217" s="11">
        <v>67</v>
      </c>
      <c r="K217" s="11">
        <f t="shared" si="6"/>
        <v>3618</v>
      </c>
      <c r="L217" s="11">
        <v>0</v>
      </c>
      <c r="M217" s="11">
        <v>434.15999999999997</v>
      </c>
      <c r="N217" s="11">
        <f t="shared" si="7"/>
        <v>4052.16</v>
      </c>
    </row>
    <row r="218" spans="3:14" x14ac:dyDescent="0.3">
      <c r="C218" s="6">
        <v>43753</v>
      </c>
      <c r="D218" s="7" t="s">
        <v>130</v>
      </c>
      <c r="E218" s="8">
        <v>2019</v>
      </c>
      <c r="F218" s="9" t="s">
        <v>83</v>
      </c>
      <c r="G218" s="9" t="s">
        <v>32</v>
      </c>
      <c r="H218" s="10" t="s">
        <v>100</v>
      </c>
      <c r="I218" s="7">
        <v>65</v>
      </c>
      <c r="J218" s="11">
        <v>91</v>
      </c>
      <c r="K218" s="11">
        <f t="shared" si="6"/>
        <v>5915</v>
      </c>
      <c r="L218" s="11">
        <v>5.0000000745058101E-2</v>
      </c>
      <c r="M218" s="11">
        <v>709.8</v>
      </c>
      <c r="N218" s="11">
        <f t="shared" si="7"/>
        <v>6624.7499999992551</v>
      </c>
    </row>
    <row r="219" spans="3:14" x14ac:dyDescent="0.3">
      <c r="C219" s="6">
        <v>43753</v>
      </c>
      <c r="D219" s="7" t="s">
        <v>130</v>
      </c>
      <c r="E219" s="8">
        <v>2019</v>
      </c>
      <c r="F219" s="9" t="s">
        <v>83</v>
      </c>
      <c r="G219" s="9" t="s">
        <v>24</v>
      </c>
      <c r="H219" s="10" t="s">
        <v>69</v>
      </c>
      <c r="I219" s="7">
        <v>32</v>
      </c>
      <c r="J219" s="11">
        <v>31</v>
      </c>
      <c r="K219" s="11">
        <f t="shared" si="6"/>
        <v>992</v>
      </c>
      <c r="L219" s="11">
        <v>5.0000000745058101E-2</v>
      </c>
      <c r="M219" s="11">
        <v>119.03999999999999</v>
      </c>
      <c r="N219" s="11">
        <f t="shared" si="7"/>
        <v>1110.9899999992549</v>
      </c>
    </row>
    <row r="220" spans="3:14" x14ac:dyDescent="0.3">
      <c r="C220" s="6">
        <v>43753</v>
      </c>
      <c r="D220" s="7" t="s">
        <v>130</v>
      </c>
      <c r="E220" s="8">
        <v>2019</v>
      </c>
      <c r="F220" s="9" t="s">
        <v>83</v>
      </c>
      <c r="G220" s="9" t="s">
        <v>37</v>
      </c>
      <c r="H220" s="10" t="s">
        <v>139</v>
      </c>
      <c r="I220" s="7">
        <v>32</v>
      </c>
      <c r="J220" s="11">
        <v>96</v>
      </c>
      <c r="K220" s="11">
        <f t="shared" si="6"/>
        <v>3072</v>
      </c>
      <c r="L220" s="11">
        <v>5.0000000745058101E-2</v>
      </c>
      <c r="M220" s="11">
        <v>368.64</v>
      </c>
      <c r="N220" s="11">
        <f t="shared" si="7"/>
        <v>3440.5899999992548</v>
      </c>
    </row>
    <row r="221" spans="3:14" x14ac:dyDescent="0.3">
      <c r="C221" s="6">
        <v>43753</v>
      </c>
      <c r="D221" s="7" t="s">
        <v>130</v>
      </c>
      <c r="E221" s="8">
        <v>2019</v>
      </c>
      <c r="F221" s="9" t="s">
        <v>83</v>
      </c>
      <c r="G221" s="9" t="s">
        <v>16</v>
      </c>
      <c r="H221" s="10" t="s">
        <v>68</v>
      </c>
      <c r="I221" s="7">
        <v>68</v>
      </c>
      <c r="J221" s="11">
        <v>46</v>
      </c>
      <c r="K221" s="11">
        <f t="shared" si="6"/>
        <v>3128</v>
      </c>
      <c r="L221" s="11">
        <v>5.0000000745058101E-2</v>
      </c>
      <c r="M221" s="11">
        <v>375.36</v>
      </c>
      <c r="N221" s="11">
        <f t="shared" si="7"/>
        <v>3503.3099999992551</v>
      </c>
    </row>
    <row r="222" spans="3:14" x14ac:dyDescent="0.3">
      <c r="C222" s="6">
        <v>43754</v>
      </c>
      <c r="D222" s="7" t="s">
        <v>130</v>
      </c>
      <c r="E222" s="8">
        <v>2019</v>
      </c>
      <c r="F222" s="9" t="s">
        <v>101</v>
      </c>
      <c r="G222" s="9" t="s">
        <v>32</v>
      </c>
      <c r="H222" s="10" t="s">
        <v>140</v>
      </c>
      <c r="I222" s="7">
        <v>40</v>
      </c>
      <c r="J222" s="11">
        <v>61</v>
      </c>
      <c r="K222" s="11">
        <f t="shared" si="6"/>
        <v>2440</v>
      </c>
      <c r="L222" s="11">
        <v>0.15000000596046401</v>
      </c>
      <c r="M222" s="11">
        <v>292.8</v>
      </c>
      <c r="N222" s="11">
        <f t="shared" si="7"/>
        <v>2732.6499999940397</v>
      </c>
    </row>
    <row r="223" spans="3:14" x14ac:dyDescent="0.3">
      <c r="C223" s="6">
        <v>43754</v>
      </c>
      <c r="D223" s="7" t="s">
        <v>130</v>
      </c>
      <c r="E223" s="8">
        <v>2019</v>
      </c>
      <c r="F223" s="9" t="s">
        <v>101</v>
      </c>
      <c r="G223" s="9" t="s">
        <v>14</v>
      </c>
      <c r="H223" s="10" t="s">
        <v>18</v>
      </c>
      <c r="I223" s="7">
        <v>54</v>
      </c>
      <c r="J223" s="11">
        <v>37</v>
      </c>
      <c r="K223" s="11">
        <f t="shared" si="6"/>
        <v>1998</v>
      </c>
      <c r="L223" s="11">
        <v>0.15000000596046401</v>
      </c>
      <c r="M223" s="11">
        <v>239.76</v>
      </c>
      <c r="N223" s="11">
        <f t="shared" si="7"/>
        <v>2237.6099999940398</v>
      </c>
    </row>
    <row r="224" spans="3:14" x14ac:dyDescent="0.3">
      <c r="C224" s="6">
        <v>43754</v>
      </c>
      <c r="D224" s="7" t="s">
        <v>130</v>
      </c>
      <c r="E224" s="8">
        <v>2019</v>
      </c>
      <c r="F224" s="9" t="s">
        <v>141</v>
      </c>
      <c r="G224" s="9" t="s">
        <v>42</v>
      </c>
      <c r="H224" s="10" t="s">
        <v>109</v>
      </c>
      <c r="I224" s="7">
        <v>90</v>
      </c>
      <c r="J224" s="11">
        <v>34</v>
      </c>
      <c r="K224" s="11">
        <f t="shared" si="6"/>
        <v>3060</v>
      </c>
      <c r="L224" s="11">
        <v>0</v>
      </c>
      <c r="M224" s="11">
        <v>367.2</v>
      </c>
      <c r="N224" s="11">
        <f t="shared" si="7"/>
        <v>3427.2</v>
      </c>
    </row>
    <row r="225" spans="3:14" x14ac:dyDescent="0.3">
      <c r="C225" s="6">
        <v>43755</v>
      </c>
      <c r="D225" s="7" t="s">
        <v>130</v>
      </c>
      <c r="E225" s="8">
        <v>2019</v>
      </c>
      <c r="F225" s="9" t="s">
        <v>142</v>
      </c>
      <c r="G225" s="9" t="s">
        <v>24</v>
      </c>
      <c r="H225" s="10" t="s">
        <v>115</v>
      </c>
      <c r="I225" s="7">
        <v>74</v>
      </c>
      <c r="J225" s="11">
        <v>33</v>
      </c>
      <c r="K225" s="11">
        <f t="shared" si="6"/>
        <v>2442</v>
      </c>
      <c r="L225" s="11">
        <v>0.20000000298023199</v>
      </c>
      <c r="M225" s="11">
        <v>293.03999999999996</v>
      </c>
      <c r="N225" s="11">
        <f t="shared" si="7"/>
        <v>2734.8399999970197</v>
      </c>
    </row>
    <row r="226" spans="3:14" x14ac:dyDescent="0.3">
      <c r="C226" s="6">
        <v>43755</v>
      </c>
      <c r="D226" s="7" t="s">
        <v>130</v>
      </c>
      <c r="E226" s="8">
        <v>2019</v>
      </c>
      <c r="F226" s="9" t="s">
        <v>142</v>
      </c>
      <c r="G226" s="9" t="s">
        <v>16</v>
      </c>
      <c r="H226" s="10" t="s">
        <v>17</v>
      </c>
      <c r="I226" s="7">
        <v>52</v>
      </c>
      <c r="J226" s="11">
        <v>98</v>
      </c>
      <c r="K226" s="11">
        <f t="shared" si="6"/>
        <v>5096</v>
      </c>
      <c r="L226" s="11">
        <v>0.20000000298023199</v>
      </c>
      <c r="M226" s="11">
        <v>611.52</v>
      </c>
      <c r="N226" s="11">
        <f t="shared" si="7"/>
        <v>5707.3199999970202</v>
      </c>
    </row>
    <row r="227" spans="3:14" x14ac:dyDescent="0.3">
      <c r="C227" s="6">
        <v>43755</v>
      </c>
      <c r="D227" s="7" t="s">
        <v>130</v>
      </c>
      <c r="E227" s="8">
        <v>2019</v>
      </c>
      <c r="F227" s="9" t="s">
        <v>142</v>
      </c>
      <c r="G227" s="9" t="s">
        <v>32</v>
      </c>
      <c r="H227" s="10" t="s">
        <v>143</v>
      </c>
      <c r="I227" s="7">
        <v>49</v>
      </c>
      <c r="J227" s="11">
        <v>82</v>
      </c>
      <c r="K227" s="11">
        <f t="shared" si="6"/>
        <v>4018</v>
      </c>
      <c r="L227" s="11">
        <v>0.20000000298023199</v>
      </c>
      <c r="M227" s="11">
        <v>482.15999999999997</v>
      </c>
      <c r="N227" s="11">
        <f t="shared" si="7"/>
        <v>4499.9599999970196</v>
      </c>
    </row>
    <row r="228" spans="3:14" x14ac:dyDescent="0.3">
      <c r="C228" s="6">
        <v>43756</v>
      </c>
      <c r="D228" s="7" t="s">
        <v>130</v>
      </c>
      <c r="E228" s="8">
        <v>2019</v>
      </c>
      <c r="F228" s="9" t="s">
        <v>73</v>
      </c>
      <c r="G228" s="9" t="s">
        <v>20</v>
      </c>
      <c r="H228" s="10" t="s">
        <v>136</v>
      </c>
      <c r="I228" s="7">
        <v>15</v>
      </c>
      <c r="J228" s="11">
        <v>46</v>
      </c>
      <c r="K228" s="11">
        <f t="shared" si="6"/>
        <v>690</v>
      </c>
      <c r="L228" s="11">
        <v>0</v>
      </c>
      <c r="M228" s="11">
        <v>82.8</v>
      </c>
      <c r="N228" s="11">
        <f t="shared" si="7"/>
        <v>772.8</v>
      </c>
    </row>
    <row r="229" spans="3:14" x14ac:dyDescent="0.3">
      <c r="C229" s="6">
        <v>43756</v>
      </c>
      <c r="D229" s="7" t="s">
        <v>130</v>
      </c>
      <c r="E229" s="8">
        <v>2019</v>
      </c>
      <c r="F229" s="9" t="s">
        <v>73</v>
      </c>
      <c r="G229" s="9" t="s">
        <v>32</v>
      </c>
      <c r="H229" s="10" t="s">
        <v>59</v>
      </c>
      <c r="I229" s="7">
        <v>15</v>
      </c>
      <c r="J229" s="11">
        <v>17</v>
      </c>
      <c r="K229" s="11">
        <f t="shared" si="6"/>
        <v>255</v>
      </c>
      <c r="L229" s="11">
        <v>0.10000000149011599</v>
      </c>
      <c r="M229" s="11">
        <v>30.599999999999998</v>
      </c>
      <c r="N229" s="11">
        <f t="shared" si="7"/>
        <v>285.49999999850991</v>
      </c>
    </row>
    <row r="230" spans="3:14" x14ac:dyDescent="0.3">
      <c r="C230" s="6">
        <v>43756</v>
      </c>
      <c r="D230" s="7" t="s">
        <v>130</v>
      </c>
      <c r="E230" s="8">
        <v>2019</v>
      </c>
      <c r="F230" s="9" t="s">
        <v>73</v>
      </c>
      <c r="G230" s="9" t="s">
        <v>14</v>
      </c>
      <c r="H230" s="10" t="s">
        <v>87</v>
      </c>
      <c r="I230" s="7">
        <v>17</v>
      </c>
      <c r="J230" s="11">
        <v>50</v>
      </c>
      <c r="K230" s="11">
        <f t="shared" si="6"/>
        <v>850</v>
      </c>
      <c r="L230" s="11">
        <v>0.10000000149011599</v>
      </c>
      <c r="M230" s="11">
        <v>102</v>
      </c>
      <c r="N230" s="11">
        <f t="shared" si="7"/>
        <v>951.89999999850988</v>
      </c>
    </row>
    <row r="231" spans="3:14" x14ac:dyDescent="0.3">
      <c r="C231" s="6">
        <v>43759</v>
      </c>
      <c r="D231" s="7" t="s">
        <v>130</v>
      </c>
      <c r="E231" s="8">
        <v>2019</v>
      </c>
      <c r="F231" s="9" t="s">
        <v>28</v>
      </c>
      <c r="G231" s="9" t="s">
        <v>16</v>
      </c>
      <c r="H231" s="10" t="s">
        <v>132</v>
      </c>
      <c r="I231" s="7">
        <v>19</v>
      </c>
      <c r="J231" s="11">
        <v>91</v>
      </c>
      <c r="K231" s="11">
        <f t="shared" si="6"/>
        <v>1729</v>
      </c>
      <c r="L231" s="11">
        <v>0</v>
      </c>
      <c r="M231" s="11">
        <v>207.48</v>
      </c>
      <c r="N231" s="11">
        <f t="shared" si="7"/>
        <v>1936.48</v>
      </c>
    </row>
    <row r="232" spans="3:14" x14ac:dyDescent="0.3">
      <c r="C232" s="6">
        <v>43759</v>
      </c>
      <c r="D232" s="7" t="s">
        <v>130</v>
      </c>
      <c r="E232" s="8">
        <v>2019</v>
      </c>
      <c r="F232" s="9" t="s">
        <v>28</v>
      </c>
      <c r="G232" s="9" t="s">
        <v>32</v>
      </c>
      <c r="H232" s="10" t="s">
        <v>110</v>
      </c>
      <c r="I232" s="7">
        <v>77</v>
      </c>
      <c r="J232" s="11">
        <v>37</v>
      </c>
      <c r="K232" s="11">
        <f t="shared" si="6"/>
        <v>2849</v>
      </c>
      <c r="L232" s="11">
        <v>0</v>
      </c>
      <c r="M232" s="11">
        <v>341.88</v>
      </c>
      <c r="N232" s="11">
        <f t="shared" si="7"/>
        <v>3190.88</v>
      </c>
    </row>
    <row r="233" spans="3:14" x14ac:dyDescent="0.3">
      <c r="C233" s="6">
        <v>43760</v>
      </c>
      <c r="D233" s="7" t="s">
        <v>130</v>
      </c>
      <c r="E233" s="8">
        <v>2019</v>
      </c>
      <c r="F233" s="9" t="s">
        <v>118</v>
      </c>
      <c r="G233" s="9" t="s">
        <v>37</v>
      </c>
      <c r="H233" s="10" t="s">
        <v>46</v>
      </c>
      <c r="I233" s="7">
        <v>99</v>
      </c>
      <c r="J233" s="11">
        <v>83</v>
      </c>
      <c r="K233" s="11">
        <f t="shared" si="6"/>
        <v>8217</v>
      </c>
      <c r="L233" s="11">
        <v>0.20000000298023199</v>
      </c>
      <c r="M233" s="11">
        <v>986.04</v>
      </c>
      <c r="N233" s="11">
        <f t="shared" si="7"/>
        <v>9202.8399999970206</v>
      </c>
    </row>
    <row r="234" spans="3:14" x14ac:dyDescent="0.3">
      <c r="C234" s="6">
        <v>43760</v>
      </c>
      <c r="D234" s="7" t="s">
        <v>130</v>
      </c>
      <c r="E234" s="8">
        <v>2019</v>
      </c>
      <c r="F234" s="9" t="s">
        <v>118</v>
      </c>
      <c r="G234" s="9" t="s">
        <v>14</v>
      </c>
      <c r="H234" s="10" t="s">
        <v>36</v>
      </c>
      <c r="I234" s="7">
        <v>80</v>
      </c>
      <c r="J234" s="11">
        <v>84</v>
      </c>
      <c r="K234" s="11">
        <f t="shared" si="6"/>
        <v>6720</v>
      </c>
      <c r="L234" s="11">
        <v>0.20000000298023199</v>
      </c>
      <c r="M234" s="11">
        <v>806.4</v>
      </c>
      <c r="N234" s="11">
        <f t="shared" si="7"/>
        <v>7526.1999999970194</v>
      </c>
    </row>
    <row r="235" spans="3:14" x14ac:dyDescent="0.3">
      <c r="C235" s="6">
        <v>43760</v>
      </c>
      <c r="D235" s="7" t="s">
        <v>130</v>
      </c>
      <c r="E235" s="8">
        <v>2019</v>
      </c>
      <c r="F235" s="9" t="s">
        <v>118</v>
      </c>
      <c r="G235" s="9" t="s">
        <v>14</v>
      </c>
      <c r="H235" s="10" t="s">
        <v>57</v>
      </c>
      <c r="I235" s="7">
        <v>11</v>
      </c>
      <c r="J235" s="11">
        <v>90</v>
      </c>
      <c r="K235" s="11">
        <f t="shared" si="6"/>
        <v>990</v>
      </c>
      <c r="L235" s="11">
        <v>0.20000000298023199</v>
      </c>
      <c r="M235" s="11">
        <v>118.8</v>
      </c>
      <c r="N235" s="11">
        <f t="shared" si="7"/>
        <v>1108.5999999970197</v>
      </c>
    </row>
    <row r="236" spans="3:14" x14ac:dyDescent="0.3">
      <c r="C236" s="6">
        <v>43760</v>
      </c>
      <c r="D236" s="7" t="s">
        <v>130</v>
      </c>
      <c r="E236" s="8">
        <v>2019</v>
      </c>
      <c r="F236" s="9" t="s">
        <v>118</v>
      </c>
      <c r="G236" s="9" t="s">
        <v>20</v>
      </c>
      <c r="H236" s="10" t="s">
        <v>22</v>
      </c>
      <c r="I236" s="7">
        <v>23</v>
      </c>
      <c r="J236" s="11">
        <v>10</v>
      </c>
      <c r="K236" s="11">
        <f t="shared" si="6"/>
        <v>230</v>
      </c>
      <c r="L236" s="11">
        <v>0.20000000298023199</v>
      </c>
      <c r="M236" s="11">
        <v>27.599999999999998</v>
      </c>
      <c r="N236" s="11">
        <f t="shared" si="7"/>
        <v>257.39999999701979</v>
      </c>
    </row>
    <row r="237" spans="3:14" x14ac:dyDescent="0.3">
      <c r="C237" s="6">
        <v>43761</v>
      </c>
      <c r="D237" s="7" t="s">
        <v>130</v>
      </c>
      <c r="E237" s="8">
        <v>2019</v>
      </c>
      <c r="F237" s="9" t="s">
        <v>144</v>
      </c>
      <c r="G237" s="9" t="s">
        <v>26</v>
      </c>
      <c r="H237" s="10" t="s">
        <v>124</v>
      </c>
      <c r="I237" s="7">
        <v>90</v>
      </c>
      <c r="J237" s="11">
        <v>77</v>
      </c>
      <c r="K237" s="11">
        <f t="shared" si="6"/>
        <v>6930</v>
      </c>
      <c r="L237" s="11">
        <v>0.10000000149011599</v>
      </c>
      <c r="M237" s="11">
        <v>831.6</v>
      </c>
      <c r="N237" s="11">
        <f t="shared" si="7"/>
        <v>7761.4999999985102</v>
      </c>
    </row>
    <row r="238" spans="3:14" x14ac:dyDescent="0.3">
      <c r="C238" s="6">
        <v>43762</v>
      </c>
      <c r="D238" s="7" t="s">
        <v>130</v>
      </c>
      <c r="E238" s="8">
        <v>2019</v>
      </c>
      <c r="F238" s="9" t="s">
        <v>75</v>
      </c>
      <c r="G238" s="9" t="s">
        <v>16</v>
      </c>
      <c r="H238" s="10" t="s">
        <v>145</v>
      </c>
      <c r="I238" s="7">
        <v>51</v>
      </c>
      <c r="J238" s="11">
        <v>57</v>
      </c>
      <c r="K238" s="11">
        <f t="shared" si="6"/>
        <v>2907</v>
      </c>
      <c r="L238" s="11">
        <v>0</v>
      </c>
      <c r="M238" s="11">
        <v>348.84</v>
      </c>
      <c r="N238" s="11">
        <f t="shared" si="7"/>
        <v>3255.84</v>
      </c>
    </row>
    <row r="239" spans="3:14" x14ac:dyDescent="0.3">
      <c r="C239" s="6">
        <v>43762</v>
      </c>
      <c r="D239" s="7" t="s">
        <v>130</v>
      </c>
      <c r="E239" s="8">
        <v>2019</v>
      </c>
      <c r="F239" s="9" t="s">
        <v>75</v>
      </c>
      <c r="G239" s="9" t="s">
        <v>32</v>
      </c>
      <c r="H239" s="10" t="s">
        <v>140</v>
      </c>
      <c r="I239" s="7">
        <v>94</v>
      </c>
      <c r="J239" s="11">
        <v>27</v>
      </c>
      <c r="K239" s="11">
        <f t="shared" si="6"/>
        <v>2538</v>
      </c>
      <c r="L239" s="11">
        <v>0</v>
      </c>
      <c r="M239" s="11">
        <v>304.56</v>
      </c>
      <c r="N239" s="11">
        <f t="shared" si="7"/>
        <v>2842.56</v>
      </c>
    </row>
    <row r="240" spans="3:14" x14ac:dyDescent="0.3">
      <c r="C240" s="6">
        <v>43762</v>
      </c>
      <c r="D240" s="7" t="s">
        <v>130</v>
      </c>
      <c r="E240" s="8">
        <v>2019</v>
      </c>
      <c r="F240" s="9" t="s">
        <v>75</v>
      </c>
      <c r="G240" s="9" t="s">
        <v>24</v>
      </c>
      <c r="H240" s="10" t="s">
        <v>48</v>
      </c>
      <c r="I240" s="7">
        <v>88</v>
      </c>
      <c r="J240" s="11">
        <v>40</v>
      </c>
      <c r="K240" s="11">
        <f t="shared" si="6"/>
        <v>3520</v>
      </c>
      <c r="L240" s="11">
        <v>0</v>
      </c>
      <c r="M240" s="11">
        <v>422.4</v>
      </c>
      <c r="N240" s="11">
        <f t="shared" si="7"/>
        <v>3942.4</v>
      </c>
    </row>
    <row r="241" spans="3:14" x14ac:dyDescent="0.3">
      <c r="C241" s="6">
        <v>43762</v>
      </c>
      <c r="D241" s="7" t="s">
        <v>130</v>
      </c>
      <c r="E241" s="8">
        <v>2019</v>
      </c>
      <c r="F241" s="9" t="s">
        <v>75</v>
      </c>
      <c r="G241" s="9" t="s">
        <v>24</v>
      </c>
      <c r="H241" s="10" t="s">
        <v>60</v>
      </c>
      <c r="I241" s="7">
        <v>29</v>
      </c>
      <c r="J241" s="11">
        <v>28</v>
      </c>
      <c r="K241" s="11">
        <f t="shared" si="6"/>
        <v>812</v>
      </c>
      <c r="L241" s="11">
        <v>0</v>
      </c>
      <c r="M241" s="11">
        <v>97.44</v>
      </c>
      <c r="N241" s="11">
        <f t="shared" si="7"/>
        <v>909.44</v>
      </c>
    </row>
    <row r="242" spans="3:14" x14ac:dyDescent="0.3">
      <c r="C242" s="6">
        <v>43762</v>
      </c>
      <c r="D242" s="7" t="s">
        <v>130</v>
      </c>
      <c r="E242" s="8">
        <v>2019</v>
      </c>
      <c r="F242" s="9" t="s">
        <v>75</v>
      </c>
      <c r="G242" s="9" t="s">
        <v>14</v>
      </c>
      <c r="H242" s="10" t="s">
        <v>18</v>
      </c>
      <c r="I242" s="7">
        <v>55</v>
      </c>
      <c r="J242" s="11">
        <v>13</v>
      </c>
      <c r="K242" s="11">
        <f t="shared" si="6"/>
        <v>715</v>
      </c>
      <c r="L242" s="11">
        <v>0</v>
      </c>
      <c r="M242" s="11">
        <v>85.8</v>
      </c>
      <c r="N242" s="11">
        <f t="shared" si="7"/>
        <v>800.8</v>
      </c>
    </row>
    <row r="243" spans="3:14" x14ac:dyDescent="0.3">
      <c r="C243" s="6">
        <v>43763</v>
      </c>
      <c r="D243" s="7" t="s">
        <v>130</v>
      </c>
      <c r="E243" s="8">
        <v>2019</v>
      </c>
      <c r="F243" s="9" t="s">
        <v>61</v>
      </c>
      <c r="G243" s="9" t="s">
        <v>42</v>
      </c>
      <c r="H243" s="10" t="s">
        <v>72</v>
      </c>
      <c r="I243" s="7">
        <v>45</v>
      </c>
      <c r="J243" s="11">
        <v>40</v>
      </c>
      <c r="K243" s="11">
        <f t="shared" si="6"/>
        <v>1800</v>
      </c>
      <c r="L243" s="11">
        <v>0</v>
      </c>
      <c r="M243" s="11">
        <v>216</v>
      </c>
      <c r="N243" s="11">
        <f t="shared" si="7"/>
        <v>2016</v>
      </c>
    </row>
    <row r="244" spans="3:14" x14ac:dyDescent="0.3">
      <c r="C244" s="6">
        <v>43763</v>
      </c>
      <c r="D244" s="7" t="s">
        <v>130</v>
      </c>
      <c r="E244" s="8">
        <v>2019</v>
      </c>
      <c r="F244" s="9" t="s">
        <v>61</v>
      </c>
      <c r="G244" s="9" t="s">
        <v>24</v>
      </c>
      <c r="H244" s="10" t="s">
        <v>69</v>
      </c>
      <c r="I244" s="7">
        <v>57</v>
      </c>
      <c r="J244" s="11">
        <v>97</v>
      </c>
      <c r="K244" s="11">
        <f t="shared" si="6"/>
        <v>5529</v>
      </c>
      <c r="L244" s="11">
        <v>0</v>
      </c>
      <c r="M244" s="11">
        <v>663.48</v>
      </c>
      <c r="N244" s="11">
        <f t="shared" si="7"/>
        <v>6192.48</v>
      </c>
    </row>
    <row r="245" spans="3:14" x14ac:dyDescent="0.3">
      <c r="C245" s="6">
        <v>43766</v>
      </c>
      <c r="D245" s="7" t="s">
        <v>130</v>
      </c>
      <c r="E245" s="8">
        <v>2019</v>
      </c>
      <c r="F245" s="9" t="s">
        <v>142</v>
      </c>
      <c r="G245" s="9" t="s">
        <v>26</v>
      </c>
      <c r="H245" s="10" t="s">
        <v>124</v>
      </c>
      <c r="I245" s="7">
        <v>2</v>
      </c>
      <c r="J245" s="11">
        <v>32</v>
      </c>
      <c r="K245" s="11">
        <f t="shared" si="6"/>
        <v>64</v>
      </c>
      <c r="L245" s="11">
        <v>0</v>
      </c>
      <c r="M245" s="11">
        <v>7.68</v>
      </c>
      <c r="N245" s="11">
        <f t="shared" si="7"/>
        <v>71.680000000000007</v>
      </c>
    </row>
    <row r="246" spans="3:14" x14ac:dyDescent="0.3">
      <c r="C246" s="6">
        <v>43766</v>
      </c>
      <c r="D246" s="7" t="s">
        <v>130</v>
      </c>
      <c r="E246" s="8">
        <v>2019</v>
      </c>
      <c r="F246" s="9" t="s">
        <v>142</v>
      </c>
      <c r="G246" s="9" t="s">
        <v>42</v>
      </c>
      <c r="H246" s="10" t="s">
        <v>72</v>
      </c>
      <c r="I246" s="7">
        <v>15</v>
      </c>
      <c r="J246" s="11">
        <v>30</v>
      </c>
      <c r="K246" s="11">
        <f t="shared" si="6"/>
        <v>450</v>
      </c>
      <c r="L246" s="11">
        <v>5.0000000745058101E-2</v>
      </c>
      <c r="M246" s="11">
        <v>54</v>
      </c>
      <c r="N246" s="11">
        <f t="shared" si="7"/>
        <v>503.94999999925494</v>
      </c>
    </row>
    <row r="247" spans="3:14" x14ac:dyDescent="0.3">
      <c r="C247" s="6">
        <v>43766</v>
      </c>
      <c r="D247" s="7" t="s">
        <v>130</v>
      </c>
      <c r="E247" s="8">
        <v>2019</v>
      </c>
      <c r="F247" s="9" t="s">
        <v>142</v>
      </c>
      <c r="G247" s="9" t="s">
        <v>32</v>
      </c>
      <c r="H247" s="10" t="s">
        <v>62</v>
      </c>
      <c r="I247" s="7">
        <v>53</v>
      </c>
      <c r="J247" s="11">
        <v>89</v>
      </c>
      <c r="K247" s="11">
        <f t="shared" si="6"/>
        <v>4717</v>
      </c>
      <c r="L247" s="11">
        <v>0</v>
      </c>
      <c r="M247" s="11">
        <v>566.04</v>
      </c>
      <c r="N247" s="11">
        <f t="shared" si="7"/>
        <v>5283.04</v>
      </c>
    </row>
    <row r="248" spans="3:14" x14ac:dyDescent="0.3">
      <c r="C248" s="6">
        <v>43767</v>
      </c>
      <c r="D248" s="7" t="s">
        <v>130</v>
      </c>
      <c r="E248" s="8">
        <v>2019</v>
      </c>
      <c r="F248" s="9" t="s">
        <v>141</v>
      </c>
      <c r="G248" s="9" t="s">
        <v>24</v>
      </c>
      <c r="H248" s="10" t="s">
        <v>115</v>
      </c>
      <c r="I248" s="7">
        <v>89</v>
      </c>
      <c r="J248" s="11">
        <v>86</v>
      </c>
      <c r="K248" s="11">
        <f t="shared" si="6"/>
        <v>7654</v>
      </c>
      <c r="L248" s="11">
        <v>5.0000000745058101E-2</v>
      </c>
      <c r="M248" s="11">
        <v>918.48</v>
      </c>
      <c r="N248" s="11">
        <f t="shared" si="7"/>
        <v>8572.4299999992545</v>
      </c>
    </row>
    <row r="249" spans="3:14" x14ac:dyDescent="0.3">
      <c r="C249" s="6">
        <v>43767</v>
      </c>
      <c r="D249" s="7" t="s">
        <v>130</v>
      </c>
      <c r="E249" s="8">
        <v>2019</v>
      </c>
      <c r="F249" s="9" t="s">
        <v>141</v>
      </c>
      <c r="G249" s="9" t="s">
        <v>24</v>
      </c>
      <c r="H249" s="10" t="s">
        <v>25</v>
      </c>
      <c r="I249" s="7">
        <v>99</v>
      </c>
      <c r="J249" s="11">
        <v>75</v>
      </c>
      <c r="K249" s="11">
        <f t="shared" si="6"/>
        <v>7425</v>
      </c>
      <c r="L249" s="11">
        <v>5.0000000745058101E-2</v>
      </c>
      <c r="M249" s="11">
        <v>891</v>
      </c>
      <c r="N249" s="11">
        <f t="shared" si="7"/>
        <v>8315.9499999992549</v>
      </c>
    </row>
    <row r="250" spans="3:14" x14ac:dyDescent="0.3">
      <c r="C250" s="6">
        <v>43767</v>
      </c>
      <c r="D250" s="7" t="s">
        <v>130</v>
      </c>
      <c r="E250" s="8">
        <v>2019</v>
      </c>
      <c r="F250" s="9" t="s">
        <v>141</v>
      </c>
      <c r="G250" s="9" t="s">
        <v>37</v>
      </c>
      <c r="H250" s="10" t="s">
        <v>82</v>
      </c>
      <c r="I250" s="7">
        <v>76</v>
      </c>
      <c r="J250" s="11">
        <v>14</v>
      </c>
      <c r="K250" s="11">
        <f t="shared" si="6"/>
        <v>1064</v>
      </c>
      <c r="L250" s="11">
        <v>5.0000000745058101E-2</v>
      </c>
      <c r="M250" s="11">
        <v>127.67999999999999</v>
      </c>
      <c r="N250" s="11">
        <f t="shared" si="7"/>
        <v>1191.629999999255</v>
      </c>
    </row>
    <row r="251" spans="3:14" x14ac:dyDescent="0.3">
      <c r="C251" s="6">
        <v>43767</v>
      </c>
      <c r="D251" s="7" t="s">
        <v>130</v>
      </c>
      <c r="E251" s="8">
        <v>2019</v>
      </c>
      <c r="F251" s="9" t="s">
        <v>146</v>
      </c>
      <c r="G251" s="9" t="s">
        <v>14</v>
      </c>
      <c r="H251" s="10" t="s">
        <v>34</v>
      </c>
      <c r="I251" s="7">
        <v>21</v>
      </c>
      <c r="J251" s="11">
        <v>13</v>
      </c>
      <c r="K251" s="11">
        <f t="shared" si="6"/>
        <v>273</v>
      </c>
      <c r="L251" s="11">
        <v>0</v>
      </c>
      <c r="M251" s="11">
        <v>32.76</v>
      </c>
      <c r="N251" s="11">
        <f t="shared" si="7"/>
        <v>305.76</v>
      </c>
    </row>
    <row r="252" spans="3:14" x14ac:dyDescent="0.3">
      <c r="C252" s="6">
        <v>43767</v>
      </c>
      <c r="D252" s="7" t="s">
        <v>130</v>
      </c>
      <c r="E252" s="8">
        <v>2019</v>
      </c>
      <c r="F252" s="9" t="s">
        <v>146</v>
      </c>
      <c r="G252" s="9" t="s">
        <v>14</v>
      </c>
      <c r="H252" s="10" t="s">
        <v>49</v>
      </c>
      <c r="I252" s="7">
        <v>30</v>
      </c>
      <c r="J252" s="11">
        <v>97</v>
      </c>
      <c r="K252" s="11">
        <f t="shared" si="6"/>
        <v>2910</v>
      </c>
      <c r="L252" s="11">
        <v>0.15000000596046401</v>
      </c>
      <c r="M252" s="11">
        <v>349.2</v>
      </c>
      <c r="N252" s="11">
        <f t="shared" si="7"/>
        <v>3259.0499999940394</v>
      </c>
    </row>
    <row r="253" spans="3:14" x14ac:dyDescent="0.3">
      <c r="C253" s="6">
        <v>43768</v>
      </c>
      <c r="D253" s="7" t="s">
        <v>130</v>
      </c>
      <c r="E253" s="8">
        <v>2019</v>
      </c>
      <c r="F253" s="9" t="s">
        <v>75</v>
      </c>
      <c r="G253" s="9" t="s">
        <v>37</v>
      </c>
      <c r="H253" s="10" t="s">
        <v>46</v>
      </c>
      <c r="I253" s="7">
        <v>59</v>
      </c>
      <c r="J253" s="11">
        <v>77</v>
      </c>
      <c r="K253" s="11">
        <f t="shared" si="6"/>
        <v>4543</v>
      </c>
      <c r="L253" s="11">
        <v>0.20000000298023199</v>
      </c>
      <c r="M253" s="11">
        <v>545.16</v>
      </c>
      <c r="N253" s="11">
        <f t="shared" si="7"/>
        <v>5087.9599999970196</v>
      </c>
    </row>
    <row r="254" spans="3:14" x14ac:dyDescent="0.3">
      <c r="C254" s="6">
        <v>43768</v>
      </c>
      <c r="D254" s="7" t="s">
        <v>130</v>
      </c>
      <c r="E254" s="8">
        <v>2019</v>
      </c>
      <c r="F254" s="9" t="s">
        <v>75</v>
      </c>
      <c r="G254" s="9" t="s">
        <v>14</v>
      </c>
      <c r="H254" s="10" t="s">
        <v>36</v>
      </c>
      <c r="I254" s="7">
        <v>41</v>
      </c>
      <c r="J254" s="11">
        <v>81</v>
      </c>
      <c r="K254" s="11">
        <f t="shared" si="6"/>
        <v>3321</v>
      </c>
      <c r="L254" s="11">
        <v>0.20000000298023199</v>
      </c>
      <c r="M254" s="11">
        <v>398.52</v>
      </c>
      <c r="N254" s="11">
        <f t="shared" si="7"/>
        <v>3719.3199999970197</v>
      </c>
    </row>
    <row r="255" spans="3:14" x14ac:dyDescent="0.3">
      <c r="C255" s="6">
        <v>43768</v>
      </c>
      <c r="D255" s="7" t="s">
        <v>130</v>
      </c>
      <c r="E255" s="8">
        <v>2019</v>
      </c>
      <c r="F255" s="9" t="s">
        <v>75</v>
      </c>
      <c r="G255" s="9" t="s">
        <v>24</v>
      </c>
      <c r="H255" s="10" t="s">
        <v>48</v>
      </c>
      <c r="I255" s="7">
        <v>34</v>
      </c>
      <c r="J255" s="11">
        <v>15</v>
      </c>
      <c r="K255" s="11">
        <f t="shared" si="6"/>
        <v>510</v>
      </c>
      <c r="L255" s="11">
        <v>0.20000000298023199</v>
      </c>
      <c r="M255" s="11">
        <v>61.199999999999996</v>
      </c>
      <c r="N255" s="11">
        <f t="shared" si="7"/>
        <v>570.99999999701981</v>
      </c>
    </row>
    <row r="256" spans="3:14" x14ac:dyDescent="0.3">
      <c r="C256" s="6">
        <v>43768</v>
      </c>
      <c r="D256" s="7" t="s">
        <v>130</v>
      </c>
      <c r="E256" s="8">
        <v>2019</v>
      </c>
      <c r="F256" s="9" t="s">
        <v>75</v>
      </c>
      <c r="G256" s="9" t="s">
        <v>42</v>
      </c>
      <c r="H256" s="10" t="s">
        <v>43</v>
      </c>
      <c r="I256" s="7">
        <v>67</v>
      </c>
      <c r="J256" s="11">
        <v>65</v>
      </c>
      <c r="K256" s="11">
        <f t="shared" si="6"/>
        <v>4355</v>
      </c>
      <c r="L256" s="11">
        <v>0.20000000298023199</v>
      </c>
      <c r="M256" s="11">
        <v>522.6</v>
      </c>
      <c r="N256" s="11">
        <f t="shared" si="7"/>
        <v>4877.3999999970201</v>
      </c>
    </row>
    <row r="257" spans="3:14" x14ac:dyDescent="0.3">
      <c r="C257" s="6">
        <v>43769</v>
      </c>
      <c r="D257" s="7" t="s">
        <v>130</v>
      </c>
      <c r="E257" s="8">
        <v>2019</v>
      </c>
      <c r="F257" s="9" t="s">
        <v>97</v>
      </c>
      <c r="G257" s="9" t="s">
        <v>16</v>
      </c>
      <c r="H257" s="10" t="s">
        <v>113</v>
      </c>
      <c r="I257" s="7">
        <v>93</v>
      </c>
      <c r="J257" s="11">
        <v>29</v>
      </c>
      <c r="K257" s="11">
        <f t="shared" si="6"/>
        <v>2697</v>
      </c>
      <c r="L257" s="11">
        <v>0</v>
      </c>
      <c r="M257" s="11">
        <v>323.64</v>
      </c>
      <c r="N257" s="11">
        <f t="shared" si="7"/>
        <v>3020.64</v>
      </c>
    </row>
    <row r="258" spans="3:14" x14ac:dyDescent="0.3">
      <c r="C258" s="6">
        <v>43769</v>
      </c>
      <c r="D258" s="7" t="s">
        <v>130</v>
      </c>
      <c r="E258" s="8">
        <v>2019</v>
      </c>
      <c r="F258" s="9" t="s">
        <v>97</v>
      </c>
      <c r="G258" s="9" t="s">
        <v>32</v>
      </c>
      <c r="H258" s="10" t="s">
        <v>110</v>
      </c>
      <c r="I258" s="7">
        <v>99</v>
      </c>
      <c r="J258" s="11">
        <v>67</v>
      </c>
      <c r="K258" s="11">
        <f t="shared" si="6"/>
        <v>6633</v>
      </c>
      <c r="L258" s="11">
        <v>5.0000000745058101E-2</v>
      </c>
      <c r="M258" s="11">
        <v>795.95999999999992</v>
      </c>
      <c r="N258" s="11">
        <f t="shared" si="7"/>
        <v>7428.909999999255</v>
      </c>
    </row>
    <row r="259" spans="3:14" x14ac:dyDescent="0.3">
      <c r="C259" s="6">
        <v>43769</v>
      </c>
      <c r="D259" s="7" t="s">
        <v>130</v>
      </c>
      <c r="E259" s="8">
        <v>2019</v>
      </c>
      <c r="F259" s="9" t="s">
        <v>97</v>
      </c>
      <c r="G259" s="9" t="s">
        <v>37</v>
      </c>
      <c r="H259" s="10" t="s">
        <v>77</v>
      </c>
      <c r="I259" s="7">
        <v>30</v>
      </c>
      <c r="J259" s="11">
        <v>12</v>
      </c>
      <c r="K259" s="11">
        <f t="shared" ref="K259:K322" si="8">J259*I259</f>
        <v>360</v>
      </c>
      <c r="L259" s="11">
        <v>0</v>
      </c>
      <c r="M259" s="11">
        <v>43.199999999999996</v>
      </c>
      <c r="N259" s="11">
        <f t="shared" ref="N259:N322" si="9">K259-L259+M259</f>
        <v>403.2</v>
      </c>
    </row>
    <row r="260" spans="3:14" x14ac:dyDescent="0.3">
      <c r="C260" s="6">
        <v>43770</v>
      </c>
      <c r="D260" s="7" t="s">
        <v>147</v>
      </c>
      <c r="E260" s="8">
        <v>2019</v>
      </c>
      <c r="F260" s="9" t="s">
        <v>80</v>
      </c>
      <c r="G260" s="9" t="s">
        <v>26</v>
      </c>
      <c r="H260" s="10" t="s">
        <v>124</v>
      </c>
      <c r="I260" s="7">
        <v>100</v>
      </c>
      <c r="J260" s="11">
        <v>95</v>
      </c>
      <c r="K260" s="11">
        <f t="shared" si="8"/>
        <v>9500</v>
      </c>
      <c r="L260" s="11">
        <v>0</v>
      </c>
      <c r="M260" s="11">
        <v>1140</v>
      </c>
      <c r="N260" s="11">
        <f t="shared" si="9"/>
        <v>10640</v>
      </c>
    </row>
    <row r="261" spans="3:14" x14ac:dyDescent="0.3">
      <c r="C261" s="6">
        <v>43770</v>
      </c>
      <c r="D261" s="7" t="s">
        <v>147</v>
      </c>
      <c r="E261" s="8">
        <v>2019</v>
      </c>
      <c r="F261" s="9" t="s">
        <v>80</v>
      </c>
      <c r="G261" s="9" t="s">
        <v>26</v>
      </c>
      <c r="H261" s="10" t="s">
        <v>148</v>
      </c>
      <c r="I261" s="7">
        <v>85</v>
      </c>
      <c r="J261" s="11">
        <v>57</v>
      </c>
      <c r="K261" s="11">
        <f t="shared" si="8"/>
        <v>4845</v>
      </c>
      <c r="L261" s="11">
        <v>0.25</v>
      </c>
      <c r="M261" s="11">
        <v>581.4</v>
      </c>
      <c r="N261" s="11">
        <f t="shared" si="9"/>
        <v>5426.15</v>
      </c>
    </row>
    <row r="262" spans="3:14" x14ac:dyDescent="0.3">
      <c r="C262" s="6">
        <v>43773</v>
      </c>
      <c r="D262" s="7" t="s">
        <v>147</v>
      </c>
      <c r="E262" s="8">
        <v>2019</v>
      </c>
      <c r="F262" s="9" t="s">
        <v>84</v>
      </c>
      <c r="G262" s="9" t="s">
        <v>26</v>
      </c>
      <c r="H262" s="10" t="s">
        <v>148</v>
      </c>
      <c r="I262" s="7">
        <v>89</v>
      </c>
      <c r="J262" s="11">
        <v>55</v>
      </c>
      <c r="K262" s="11">
        <f t="shared" si="8"/>
        <v>4895</v>
      </c>
      <c r="L262" s="11">
        <v>0</v>
      </c>
      <c r="M262" s="11">
        <v>587.4</v>
      </c>
      <c r="N262" s="11">
        <f t="shared" si="9"/>
        <v>5482.4</v>
      </c>
    </row>
    <row r="263" spans="3:14" x14ac:dyDescent="0.3">
      <c r="C263" s="6">
        <v>43773</v>
      </c>
      <c r="D263" s="7" t="s">
        <v>147</v>
      </c>
      <c r="E263" s="8">
        <v>2019</v>
      </c>
      <c r="F263" s="9" t="s">
        <v>84</v>
      </c>
      <c r="G263" s="9" t="s">
        <v>32</v>
      </c>
      <c r="H263" s="10" t="s">
        <v>100</v>
      </c>
      <c r="I263" s="7">
        <v>8</v>
      </c>
      <c r="J263" s="11">
        <v>24</v>
      </c>
      <c r="K263" s="11">
        <f t="shared" si="8"/>
        <v>192</v>
      </c>
      <c r="L263" s="11">
        <v>0</v>
      </c>
      <c r="M263" s="11">
        <v>23.04</v>
      </c>
      <c r="N263" s="11">
        <f t="shared" si="9"/>
        <v>215.04</v>
      </c>
    </row>
    <row r="264" spans="3:14" x14ac:dyDescent="0.3">
      <c r="C264" s="6">
        <v>43773</v>
      </c>
      <c r="D264" s="7" t="s">
        <v>147</v>
      </c>
      <c r="E264" s="8">
        <v>2019</v>
      </c>
      <c r="F264" s="9" t="s">
        <v>84</v>
      </c>
      <c r="G264" s="9" t="s">
        <v>16</v>
      </c>
      <c r="H264" s="10" t="s">
        <v>17</v>
      </c>
      <c r="I264" s="7">
        <v>2</v>
      </c>
      <c r="J264" s="11">
        <v>64</v>
      </c>
      <c r="K264" s="11">
        <f t="shared" si="8"/>
        <v>128</v>
      </c>
      <c r="L264" s="11">
        <v>0</v>
      </c>
      <c r="M264" s="11">
        <v>15.36</v>
      </c>
      <c r="N264" s="11">
        <f t="shared" si="9"/>
        <v>143.36000000000001</v>
      </c>
    </row>
    <row r="265" spans="3:14" x14ac:dyDescent="0.3">
      <c r="C265" s="6">
        <v>43774</v>
      </c>
      <c r="D265" s="7" t="s">
        <v>147</v>
      </c>
      <c r="E265" s="8">
        <v>2019</v>
      </c>
      <c r="F265" s="9" t="s">
        <v>66</v>
      </c>
      <c r="G265" s="9" t="s">
        <v>42</v>
      </c>
      <c r="H265" s="10" t="s">
        <v>72</v>
      </c>
      <c r="I265" s="7">
        <v>26</v>
      </c>
      <c r="J265" s="11">
        <v>32</v>
      </c>
      <c r="K265" s="11">
        <f t="shared" si="8"/>
        <v>832</v>
      </c>
      <c r="L265" s="11">
        <v>0.10000000149011599</v>
      </c>
      <c r="M265" s="11">
        <v>99.84</v>
      </c>
      <c r="N265" s="11">
        <f t="shared" si="9"/>
        <v>931.73999999850992</v>
      </c>
    </row>
    <row r="266" spans="3:14" x14ac:dyDescent="0.3">
      <c r="C266" s="6">
        <v>43774</v>
      </c>
      <c r="D266" s="7" t="s">
        <v>147</v>
      </c>
      <c r="E266" s="8">
        <v>2019</v>
      </c>
      <c r="F266" s="9" t="s">
        <v>66</v>
      </c>
      <c r="G266" s="9" t="s">
        <v>16</v>
      </c>
      <c r="H266" s="10" t="s">
        <v>68</v>
      </c>
      <c r="I266" s="7">
        <v>41</v>
      </c>
      <c r="J266" s="11">
        <v>67</v>
      </c>
      <c r="K266" s="11">
        <f t="shared" si="8"/>
        <v>2747</v>
      </c>
      <c r="L266" s="11">
        <v>0</v>
      </c>
      <c r="M266" s="11">
        <v>329.64</v>
      </c>
      <c r="N266" s="11">
        <f t="shared" si="9"/>
        <v>3076.64</v>
      </c>
    </row>
    <row r="267" spans="3:14" x14ac:dyDescent="0.3">
      <c r="C267" s="6">
        <v>43775</v>
      </c>
      <c r="D267" s="7" t="s">
        <v>147</v>
      </c>
      <c r="E267" s="8">
        <v>2019</v>
      </c>
      <c r="F267" s="9" t="s">
        <v>149</v>
      </c>
      <c r="G267" s="9" t="s">
        <v>32</v>
      </c>
      <c r="H267" s="10" t="s">
        <v>134</v>
      </c>
      <c r="I267" s="7">
        <v>32</v>
      </c>
      <c r="J267" s="11">
        <v>34</v>
      </c>
      <c r="K267" s="11">
        <f t="shared" si="8"/>
        <v>1088</v>
      </c>
      <c r="L267" s="11">
        <v>0</v>
      </c>
      <c r="M267" s="11">
        <v>130.56</v>
      </c>
      <c r="N267" s="11">
        <f t="shared" si="9"/>
        <v>1218.56</v>
      </c>
    </row>
    <row r="268" spans="3:14" x14ac:dyDescent="0.3">
      <c r="C268" s="6">
        <v>43775</v>
      </c>
      <c r="D268" s="7" t="s">
        <v>147</v>
      </c>
      <c r="E268" s="8">
        <v>2019</v>
      </c>
      <c r="F268" s="9" t="s">
        <v>149</v>
      </c>
      <c r="G268" s="9" t="s">
        <v>37</v>
      </c>
      <c r="H268" s="10" t="s">
        <v>38</v>
      </c>
      <c r="I268" s="7">
        <v>72</v>
      </c>
      <c r="J268" s="11">
        <v>13</v>
      </c>
      <c r="K268" s="11">
        <f t="shared" si="8"/>
        <v>936</v>
      </c>
      <c r="L268" s="11">
        <v>0.15000000596046401</v>
      </c>
      <c r="M268" s="11">
        <v>112.32</v>
      </c>
      <c r="N268" s="11">
        <f t="shared" si="9"/>
        <v>1048.1699999940395</v>
      </c>
    </row>
    <row r="269" spans="3:14" x14ac:dyDescent="0.3">
      <c r="C269" s="6">
        <v>43775</v>
      </c>
      <c r="D269" s="7" t="s">
        <v>147</v>
      </c>
      <c r="E269" s="8">
        <v>2019</v>
      </c>
      <c r="F269" s="9" t="s">
        <v>149</v>
      </c>
      <c r="G269" s="9" t="s">
        <v>24</v>
      </c>
      <c r="H269" s="10" t="s">
        <v>76</v>
      </c>
      <c r="I269" s="7">
        <v>99</v>
      </c>
      <c r="J269" s="11">
        <v>17</v>
      </c>
      <c r="K269" s="11">
        <f t="shared" si="8"/>
        <v>1683</v>
      </c>
      <c r="L269" s="11">
        <v>0</v>
      </c>
      <c r="M269" s="11">
        <v>201.95999999999998</v>
      </c>
      <c r="N269" s="11">
        <f t="shared" si="9"/>
        <v>1884.96</v>
      </c>
    </row>
    <row r="270" spans="3:14" x14ac:dyDescent="0.3">
      <c r="C270" s="6">
        <v>43775</v>
      </c>
      <c r="D270" s="7" t="s">
        <v>147</v>
      </c>
      <c r="E270" s="8">
        <v>2019</v>
      </c>
      <c r="F270" s="9" t="s">
        <v>149</v>
      </c>
      <c r="G270" s="9" t="s">
        <v>37</v>
      </c>
      <c r="H270" s="10" t="s">
        <v>98</v>
      </c>
      <c r="I270" s="7">
        <v>39</v>
      </c>
      <c r="J270" s="11">
        <v>88</v>
      </c>
      <c r="K270" s="11">
        <f t="shared" si="8"/>
        <v>3432</v>
      </c>
      <c r="L270" s="11">
        <v>0.15000000596046401</v>
      </c>
      <c r="M270" s="11">
        <v>411.84</v>
      </c>
      <c r="N270" s="11">
        <f t="shared" si="9"/>
        <v>3843.6899999940397</v>
      </c>
    </row>
    <row r="271" spans="3:14" x14ac:dyDescent="0.3">
      <c r="C271" s="6">
        <v>43776</v>
      </c>
      <c r="D271" s="7" t="s">
        <v>147</v>
      </c>
      <c r="E271" s="8">
        <v>2019</v>
      </c>
      <c r="F271" s="9" t="s">
        <v>120</v>
      </c>
      <c r="G271" s="9" t="s">
        <v>37</v>
      </c>
      <c r="H271" s="10" t="s">
        <v>104</v>
      </c>
      <c r="I271" s="7">
        <v>96</v>
      </c>
      <c r="J271" s="11">
        <v>97</v>
      </c>
      <c r="K271" s="11">
        <f t="shared" si="8"/>
        <v>9312</v>
      </c>
      <c r="L271" s="11">
        <v>0.15000000596046401</v>
      </c>
      <c r="M271" s="11">
        <v>1117.44</v>
      </c>
      <c r="N271" s="11">
        <f t="shared" si="9"/>
        <v>10429.28999999404</v>
      </c>
    </row>
    <row r="272" spans="3:14" x14ac:dyDescent="0.3">
      <c r="C272" s="6">
        <v>43776</v>
      </c>
      <c r="D272" s="7" t="s">
        <v>147</v>
      </c>
      <c r="E272" s="8">
        <v>2019</v>
      </c>
      <c r="F272" s="9" t="s">
        <v>120</v>
      </c>
      <c r="G272" s="9" t="s">
        <v>16</v>
      </c>
      <c r="H272" s="10" t="s">
        <v>145</v>
      </c>
      <c r="I272" s="7">
        <v>61</v>
      </c>
      <c r="J272" s="11">
        <v>38</v>
      </c>
      <c r="K272" s="11">
        <f t="shared" si="8"/>
        <v>2318</v>
      </c>
      <c r="L272" s="11">
        <v>0</v>
      </c>
      <c r="M272" s="11">
        <v>278.15999999999997</v>
      </c>
      <c r="N272" s="11">
        <f t="shared" si="9"/>
        <v>2596.16</v>
      </c>
    </row>
    <row r="273" spans="3:14" x14ac:dyDescent="0.3">
      <c r="C273" s="6">
        <v>43777</v>
      </c>
      <c r="D273" s="7" t="s">
        <v>147</v>
      </c>
      <c r="E273" s="8">
        <v>2019</v>
      </c>
      <c r="F273" s="9" t="s">
        <v>83</v>
      </c>
      <c r="G273" s="9" t="s">
        <v>42</v>
      </c>
      <c r="H273" s="10" t="s">
        <v>109</v>
      </c>
      <c r="I273" s="7">
        <v>57</v>
      </c>
      <c r="J273" s="11">
        <v>53</v>
      </c>
      <c r="K273" s="11">
        <f t="shared" si="8"/>
        <v>3021</v>
      </c>
      <c r="L273" s="11">
        <v>0</v>
      </c>
      <c r="M273" s="11">
        <v>362.52</v>
      </c>
      <c r="N273" s="11">
        <f t="shared" si="9"/>
        <v>3383.52</v>
      </c>
    </row>
    <row r="274" spans="3:14" x14ac:dyDescent="0.3">
      <c r="C274" s="6">
        <v>43780</v>
      </c>
      <c r="D274" s="7" t="s">
        <v>147</v>
      </c>
      <c r="E274" s="8">
        <v>2019</v>
      </c>
      <c r="F274" s="9" t="s">
        <v>150</v>
      </c>
      <c r="G274" s="9" t="s">
        <v>32</v>
      </c>
      <c r="H274" s="10" t="s">
        <v>151</v>
      </c>
      <c r="I274" s="7">
        <v>77</v>
      </c>
      <c r="J274" s="11">
        <v>59</v>
      </c>
      <c r="K274" s="11">
        <f t="shared" si="8"/>
        <v>4543</v>
      </c>
      <c r="L274" s="11">
        <v>0.10000000149011599</v>
      </c>
      <c r="M274" s="11">
        <v>545.16</v>
      </c>
      <c r="N274" s="11">
        <f t="shared" si="9"/>
        <v>5088.0599999985097</v>
      </c>
    </row>
    <row r="275" spans="3:14" x14ac:dyDescent="0.3">
      <c r="C275" s="6">
        <v>43780</v>
      </c>
      <c r="D275" s="7" t="s">
        <v>147</v>
      </c>
      <c r="E275" s="8">
        <v>2019</v>
      </c>
      <c r="F275" s="9" t="s">
        <v>150</v>
      </c>
      <c r="G275" s="9" t="s">
        <v>14</v>
      </c>
      <c r="H275" s="10" t="s">
        <v>117</v>
      </c>
      <c r="I275" s="7">
        <v>39</v>
      </c>
      <c r="J275" s="11">
        <v>60</v>
      </c>
      <c r="K275" s="11">
        <f t="shared" si="8"/>
        <v>2340</v>
      </c>
      <c r="L275" s="11">
        <v>0.10000000149011599</v>
      </c>
      <c r="M275" s="11">
        <v>280.8</v>
      </c>
      <c r="N275" s="11">
        <f t="shared" si="9"/>
        <v>2620.6999999985101</v>
      </c>
    </row>
    <row r="276" spans="3:14" x14ac:dyDescent="0.3">
      <c r="C276" s="6">
        <v>43780</v>
      </c>
      <c r="D276" s="7" t="s">
        <v>147</v>
      </c>
      <c r="E276" s="8">
        <v>2019</v>
      </c>
      <c r="F276" s="9" t="s">
        <v>55</v>
      </c>
      <c r="G276" s="9" t="s">
        <v>37</v>
      </c>
      <c r="H276" s="10" t="s">
        <v>139</v>
      </c>
      <c r="I276" s="7">
        <v>73</v>
      </c>
      <c r="J276" s="11">
        <v>64</v>
      </c>
      <c r="K276" s="11">
        <f t="shared" si="8"/>
        <v>4672</v>
      </c>
      <c r="L276" s="11">
        <v>5.0000000745058101E-2</v>
      </c>
      <c r="M276" s="11">
        <v>560.64</v>
      </c>
      <c r="N276" s="11">
        <f t="shared" si="9"/>
        <v>5232.5899999992553</v>
      </c>
    </row>
    <row r="277" spans="3:14" x14ac:dyDescent="0.3">
      <c r="C277" s="6">
        <v>43780</v>
      </c>
      <c r="D277" s="7" t="s">
        <v>147</v>
      </c>
      <c r="E277" s="8">
        <v>2019</v>
      </c>
      <c r="F277" s="9" t="s">
        <v>55</v>
      </c>
      <c r="G277" s="9" t="s">
        <v>24</v>
      </c>
      <c r="H277" s="10" t="s">
        <v>25</v>
      </c>
      <c r="I277" s="7">
        <v>43</v>
      </c>
      <c r="J277" s="11">
        <v>94</v>
      </c>
      <c r="K277" s="11">
        <f t="shared" si="8"/>
        <v>4042</v>
      </c>
      <c r="L277" s="11">
        <v>0</v>
      </c>
      <c r="M277" s="11">
        <v>485.03999999999996</v>
      </c>
      <c r="N277" s="11">
        <f t="shared" si="9"/>
        <v>4527.04</v>
      </c>
    </row>
    <row r="278" spans="3:14" x14ac:dyDescent="0.3">
      <c r="C278" s="6">
        <v>43780</v>
      </c>
      <c r="D278" s="7" t="s">
        <v>147</v>
      </c>
      <c r="E278" s="8">
        <v>2019</v>
      </c>
      <c r="F278" s="9" t="s">
        <v>55</v>
      </c>
      <c r="G278" s="9" t="s">
        <v>26</v>
      </c>
      <c r="H278" s="10" t="s">
        <v>94</v>
      </c>
      <c r="I278" s="7">
        <v>84</v>
      </c>
      <c r="J278" s="11">
        <v>55</v>
      </c>
      <c r="K278" s="11">
        <f t="shared" si="8"/>
        <v>4620</v>
      </c>
      <c r="L278" s="11">
        <v>5.0000000745058101E-2</v>
      </c>
      <c r="M278" s="11">
        <v>554.4</v>
      </c>
      <c r="N278" s="11">
        <f t="shared" si="9"/>
        <v>5174.3499999992546</v>
      </c>
    </row>
    <row r="279" spans="3:14" x14ac:dyDescent="0.3">
      <c r="C279" s="6">
        <v>43780</v>
      </c>
      <c r="D279" s="7" t="s">
        <v>147</v>
      </c>
      <c r="E279" s="8">
        <v>2019</v>
      </c>
      <c r="F279" s="9" t="s">
        <v>55</v>
      </c>
      <c r="G279" s="9" t="s">
        <v>26</v>
      </c>
      <c r="H279" s="10" t="s">
        <v>27</v>
      </c>
      <c r="I279" s="7">
        <v>17</v>
      </c>
      <c r="J279" s="11">
        <v>36</v>
      </c>
      <c r="K279" s="11">
        <f t="shared" si="8"/>
        <v>612</v>
      </c>
      <c r="L279" s="11">
        <v>5.0000000745058101E-2</v>
      </c>
      <c r="M279" s="11">
        <v>73.44</v>
      </c>
      <c r="N279" s="11">
        <f t="shared" si="9"/>
        <v>685.389999999255</v>
      </c>
    </row>
    <row r="280" spans="3:14" x14ac:dyDescent="0.3">
      <c r="C280" s="6">
        <v>43781</v>
      </c>
      <c r="D280" s="7" t="s">
        <v>147</v>
      </c>
      <c r="E280" s="8">
        <v>2019</v>
      </c>
      <c r="F280" s="9" t="s">
        <v>138</v>
      </c>
      <c r="G280" s="9" t="s">
        <v>37</v>
      </c>
      <c r="H280" s="10" t="s">
        <v>41</v>
      </c>
      <c r="I280" s="7">
        <v>68</v>
      </c>
      <c r="J280" s="11">
        <v>91</v>
      </c>
      <c r="K280" s="11">
        <f t="shared" si="8"/>
        <v>6188</v>
      </c>
      <c r="L280" s="11">
        <v>0</v>
      </c>
      <c r="M280" s="11">
        <v>742.56</v>
      </c>
      <c r="N280" s="11">
        <f t="shared" si="9"/>
        <v>6930.5599999999995</v>
      </c>
    </row>
    <row r="281" spans="3:14" x14ac:dyDescent="0.3">
      <c r="C281" s="6">
        <v>43781</v>
      </c>
      <c r="D281" s="7" t="s">
        <v>147</v>
      </c>
      <c r="E281" s="8">
        <v>2019</v>
      </c>
      <c r="F281" s="9" t="s">
        <v>138</v>
      </c>
      <c r="G281" s="9" t="s">
        <v>42</v>
      </c>
      <c r="H281" s="10" t="s">
        <v>109</v>
      </c>
      <c r="I281" s="7">
        <v>93</v>
      </c>
      <c r="J281" s="11">
        <v>48</v>
      </c>
      <c r="K281" s="11">
        <f t="shared" si="8"/>
        <v>4464</v>
      </c>
      <c r="L281" s="11">
        <v>0.15000000596046401</v>
      </c>
      <c r="M281" s="11">
        <v>535.67999999999995</v>
      </c>
      <c r="N281" s="11">
        <f t="shared" si="9"/>
        <v>4999.5299999940398</v>
      </c>
    </row>
    <row r="282" spans="3:14" x14ac:dyDescent="0.3">
      <c r="C282" s="6">
        <v>43782</v>
      </c>
      <c r="D282" s="7" t="s">
        <v>147</v>
      </c>
      <c r="E282" s="8">
        <v>2019</v>
      </c>
      <c r="F282" s="9" t="s">
        <v>152</v>
      </c>
      <c r="G282" s="9" t="s">
        <v>14</v>
      </c>
      <c r="H282" s="10" t="s">
        <v>15</v>
      </c>
      <c r="I282" s="7">
        <v>17</v>
      </c>
      <c r="J282" s="11">
        <v>35</v>
      </c>
      <c r="K282" s="11">
        <f t="shared" si="8"/>
        <v>595</v>
      </c>
      <c r="L282" s="11">
        <v>0.20000000298023199</v>
      </c>
      <c r="M282" s="11">
        <v>71.399999999999991</v>
      </c>
      <c r="N282" s="11">
        <f t="shared" si="9"/>
        <v>666.19999999701975</v>
      </c>
    </row>
    <row r="283" spans="3:14" x14ac:dyDescent="0.3">
      <c r="C283" s="6">
        <v>43782</v>
      </c>
      <c r="D283" s="7" t="s">
        <v>147</v>
      </c>
      <c r="E283" s="8">
        <v>2019</v>
      </c>
      <c r="F283" s="9" t="s">
        <v>152</v>
      </c>
      <c r="G283" s="9" t="s">
        <v>37</v>
      </c>
      <c r="H283" s="10" t="s">
        <v>139</v>
      </c>
      <c r="I283" s="7">
        <v>85</v>
      </c>
      <c r="J283" s="11">
        <v>31</v>
      </c>
      <c r="K283" s="11">
        <f t="shared" si="8"/>
        <v>2635</v>
      </c>
      <c r="L283" s="11">
        <v>0.20000000298023199</v>
      </c>
      <c r="M283" s="11">
        <v>316.2</v>
      </c>
      <c r="N283" s="11">
        <f t="shared" si="9"/>
        <v>2950.9999999970196</v>
      </c>
    </row>
    <row r="284" spans="3:14" x14ac:dyDescent="0.3">
      <c r="C284" s="6">
        <v>43783</v>
      </c>
      <c r="D284" s="7" t="s">
        <v>147</v>
      </c>
      <c r="E284" s="8">
        <v>2019</v>
      </c>
      <c r="F284" s="9" t="s">
        <v>131</v>
      </c>
      <c r="G284" s="9" t="s">
        <v>37</v>
      </c>
      <c r="H284" s="10" t="s">
        <v>104</v>
      </c>
      <c r="I284" s="7">
        <v>28</v>
      </c>
      <c r="J284" s="11">
        <v>79</v>
      </c>
      <c r="K284" s="11">
        <f t="shared" si="8"/>
        <v>2212</v>
      </c>
      <c r="L284" s="11">
        <v>0</v>
      </c>
      <c r="M284" s="11">
        <v>265.44</v>
      </c>
      <c r="N284" s="11">
        <f t="shared" si="9"/>
        <v>2477.44</v>
      </c>
    </row>
    <row r="285" spans="3:14" x14ac:dyDescent="0.3">
      <c r="C285" s="6">
        <v>43783</v>
      </c>
      <c r="D285" s="7" t="s">
        <v>147</v>
      </c>
      <c r="E285" s="8">
        <v>2019</v>
      </c>
      <c r="F285" s="9" t="s">
        <v>131</v>
      </c>
      <c r="G285" s="9" t="s">
        <v>42</v>
      </c>
      <c r="H285" s="10" t="s">
        <v>79</v>
      </c>
      <c r="I285" s="7">
        <v>11</v>
      </c>
      <c r="J285" s="11">
        <v>83</v>
      </c>
      <c r="K285" s="11">
        <f t="shared" si="8"/>
        <v>913</v>
      </c>
      <c r="L285" s="11">
        <v>0</v>
      </c>
      <c r="M285" s="11">
        <v>109.56</v>
      </c>
      <c r="N285" s="11">
        <f t="shared" si="9"/>
        <v>1022.56</v>
      </c>
    </row>
    <row r="286" spans="3:14" x14ac:dyDescent="0.3">
      <c r="C286" s="6">
        <v>43784</v>
      </c>
      <c r="D286" s="7" t="s">
        <v>147</v>
      </c>
      <c r="E286" s="8">
        <v>2019</v>
      </c>
      <c r="F286" s="9" t="s">
        <v>153</v>
      </c>
      <c r="G286" s="9" t="s">
        <v>37</v>
      </c>
      <c r="H286" s="10" t="s">
        <v>41</v>
      </c>
      <c r="I286" s="7">
        <v>100</v>
      </c>
      <c r="J286" s="11">
        <v>22</v>
      </c>
      <c r="K286" s="11">
        <f t="shared" si="8"/>
        <v>2200</v>
      </c>
      <c r="L286" s="11">
        <v>0</v>
      </c>
      <c r="M286" s="11">
        <v>264</v>
      </c>
      <c r="N286" s="11">
        <f t="shared" si="9"/>
        <v>2464</v>
      </c>
    </row>
    <row r="287" spans="3:14" x14ac:dyDescent="0.3">
      <c r="C287" s="6">
        <v>43784</v>
      </c>
      <c r="D287" s="7" t="s">
        <v>147</v>
      </c>
      <c r="E287" s="8">
        <v>2019</v>
      </c>
      <c r="F287" s="9" t="s">
        <v>153</v>
      </c>
      <c r="G287" s="9" t="s">
        <v>16</v>
      </c>
      <c r="H287" s="10" t="s">
        <v>30</v>
      </c>
      <c r="I287" s="7">
        <v>72</v>
      </c>
      <c r="J287" s="11">
        <v>22</v>
      </c>
      <c r="K287" s="11">
        <f t="shared" si="8"/>
        <v>1584</v>
      </c>
      <c r="L287" s="11">
        <v>0</v>
      </c>
      <c r="M287" s="11">
        <v>190.07999999999998</v>
      </c>
      <c r="N287" s="11">
        <f t="shared" si="9"/>
        <v>1774.08</v>
      </c>
    </row>
    <row r="288" spans="3:14" x14ac:dyDescent="0.3">
      <c r="C288" s="6">
        <v>43787</v>
      </c>
      <c r="D288" s="7" t="s">
        <v>147</v>
      </c>
      <c r="E288" s="8">
        <v>2019</v>
      </c>
      <c r="F288" s="9" t="s">
        <v>120</v>
      </c>
      <c r="G288" s="9" t="s">
        <v>14</v>
      </c>
      <c r="H288" s="10" t="s">
        <v>36</v>
      </c>
      <c r="I288" s="7">
        <v>9</v>
      </c>
      <c r="J288" s="11">
        <v>43</v>
      </c>
      <c r="K288" s="11">
        <f t="shared" si="8"/>
        <v>387</v>
      </c>
      <c r="L288" s="11">
        <v>0</v>
      </c>
      <c r="M288" s="11">
        <v>46.44</v>
      </c>
      <c r="N288" s="11">
        <f t="shared" si="9"/>
        <v>433.44</v>
      </c>
    </row>
    <row r="289" spans="3:14" x14ac:dyDescent="0.3">
      <c r="C289" s="6">
        <v>43787</v>
      </c>
      <c r="D289" s="7" t="s">
        <v>147</v>
      </c>
      <c r="E289" s="8">
        <v>2019</v>
      </c>
      <c r="F289" s="9" t="s">
        <v>120</v>
      </c>
      <c r="G289" s="9" t="s">
        <v>42</v>
      </c>
      <c r="H289" s="10" t="s">
        <v>43</v>
      </c>
      <c r="I289" s="7">
        <v>91</v>
      </c>
      <c r="J289" s="11">
        <v>96</v>
      </c>
      <c r="K289" s="11">
        <f t="shared" si="8"/>
        <v>8736</v>
      </c>
      <c r="L289" s="11">
        <v>0</v>
      </c>
      <c r="M289" s="11">
        <v>1048.32</v>
      </c>
      <c r="N289" s="11">
        <f t="shared" si="9"/>
        <v>9784.32</v>
      </c>
    </row>
    <row r="290" spans="3:14" x14ac:dyDescent="0.3">
      <c r="C290" s="6">
        <v>43787</v>
      </c>
      <c r="D290" s="7" t="s">
        <v>147</v>
      </c>
      <c r="E290" s="8">
        <v>2019</v>
      </c>
      <c r="F290" s="9" t="s">
        <v>120</v>
      </c>
      <c r="G290" s="9" t="s">
        <v>14</v>
      </c>
      <c r="H290" s="10" t="s">
        <v>117</v>
      </c>
      <c r="I290" s="7">
        <v>44</v>
      </c>
      <c r="J290" s="11">
        <v>53</v>
      </c>
      <c r="K290" s="11">
        <f t="shared" si="8"/>
        <v>2332</v>
      </c>
      <c r="L290" s="11">
        <v>0</v>
      </c>
      <c r="M290" s="11">
        <v>279.83999999999997</v>
      </c>
      <c r="N290" s="11">
        <f t="shared" si="9"/>
        <v>2611.84</v>
      </c>
    </row>
    <row r="291" spans="3:14" x14ac:dyDescent="0.3">
      <c r="C291" s="6">
        <v>43788</v>
      </c>
      <c r="D291" s="7" t="s">
        <v>147</v>
      </c>
      <c r="E291" s="8">
        <v>2019</v>
      </c>
      <c r="F291" s="9" t="s">
        <v>101</v>
      </c>
      <c r="G291" s="9" t="s">
        <v>24</v>
      </c>
      <c r="H291" s="10" t="s">
        <v>85</v>
      </c>
      <c r="I291" s="7">
        <v>36</v>
      </c>
      <c r="J291" s="11">
        <v>13</v>
      </c>
      <c r="K291" s="11">
        <f t="shared" si="8"/>
        <v>468</v>
      </c>
      <c r="L291" s="11">
        <v>0.20000000298023199</v>
      </c>
      <c r="M291" s="11">
        <v>56.16</v>
      </c>
      <c r="N291" s="11">
        <f t="shared" si="9"/>
        <v>523.95999999701974</v>
      </c>
    </row>
    <row r="292" spans="3:14" x14ac:dyDescent="0.3">
      <c r="C292" s="6">
        <v>43788</v>
      </c>
      <c r="D292" s="7" t="s">
        <v>147</v>
      </c>
      <c r="E292" s="8">
        <v>2019</v>
      </c>
      <c r="F292" s="9" t="s">
        <v>101</v>
      </c>
      <c r="G292" s="9" t="s">
        <v>32</v>
      </c>
      <c r="H292" s="10" t="s">
        <v>140</v>
      </c>
      <c r="I292" s="7">
        <v>65</v>
      </c>
      <c r="J292" s="11">
        <v>21</v>
      </c>
      <c r="K292" s="11">
        <f t="shared" si="8"/>
        <v>1365</v>
      </c>
      <c r="L292" s="11">
        <v>0</v>
      </c>
      <c r="M292" s="11">
        <v>163.79999999999998</v>
      </c>
      <c r="N292" s="11">
        <f t="shared" si="9"/>
        <v>1528.8</v>
      </c>
    </row>
    <row r="293" spans="3:14" x14ac:dyDescent="0.3">
      <c r="C293" s="6">
        <v>43788</v>
      </c>
      <c r="D293" s="7" t="s">
        <v>147</v>
      </c>
      <c r="E293" s="8">
        <v>2019</v>
      </c>
      <c r="F293" s="9" t="s">
        <v>101</v>
      </c>
      <c r="G293" s="9" t="s">
        <v>14</v>
      </c>
      <c r="H293" s="10" t="s">
        <v>35</v>
      </c>
      <c r="I293" s="7">
        <v>38</v>
      </c>
      <c r="J293" s="11">
        <v>78</v>
      </c>
      <c r="K293" s="11">
        <f t="shared" si="8"/>
        <v>2964</v>
      </c>
      <c r="L293" s="11">
        <v>0.20000000298023199</v>
      </c>
      <c r="M293" s="11">
        <v>355.68</v>
      </c>
      <c r="N293" s="11">
        <f t="shared" si="9"/>
        <v>3319.4799999970196</v>
      </c>
    </row>
    <row r="294" spans="3:14" x14ac:dyDescent="0.3">
      <c r="C294" s="6">
        <v>43789</v>
      </c>
      <c r="D294" s="7" t="s">
        <v>147</v>
      </c>
      <c r="E294" s="8">
        <v>2019</v>
      </c>
      <c r="F294" s="9" t="s">
        <v>150</v>
      </c>
      <c r="G294" s="9" t="s">
        <v>37</v>
      </c>
      <c r="H294" s="10" t="s">
        <v>41</v>
      </c>
      <c r="I294" s="7">
        <v>33</v>
      </c>
      <c r="J294" s="11">
        <v>99</v>
      </c>
      <c r="K294" s="11">
        <f t="shared" si="8"/>
        <v>3267</v>
      </c>
      <c r="L294" s="11">
        <v>5.0000000745058101E-2</v>
      </c>
      <c r="M294" s="11">
        <v>392.03999999999996</v>
      </c>
      <c r="N294" s="11">
        <f t="shared" si="9"/>
        <v>3658.9899999992549</v>
      </c>
    </row>
    <row r="295" spans="3:14" x14ac:dyDescent="0.3">
      <c r="C295" s="6">
        <v>43789</v>
      </c>
      <c r="D295" s="7" t="s">
        <v>147</v>
      </c>
      <c r="E295" s="8">
        <v>2019</v>
      </c>
      <c r="F295" s="9" t="s">
        <v>150</v>
      </c>
      <c r="G295" s="9" t="s">
        <v>37</v>
      </c>
      <c r="H295" s="10" t="s">
        <v>106</v>
      </c>
      <c r="I295" s="7">
        <v>31</v>
      </c>
      <c r="J295" s="11">
        <v>72</v>
      </c>
      <c r="K295" s="11">
        <f t="shared" si="8"/>
        <v>2232</v>
      </c>
      <c r="L295" s="11">
        <v>5.0000000745058101E-2</v>
      </c>
      <c r="M295" s="11">
        <v>267.83999999999997</v>
      </c>
      <c r="N295" s="11">
        <f t="shared" si="9"/>
        <v>2499.7899999992551</v>
      </c>
    </row>
    <row r="296" spans="3:14" x14ac:dyDescent="0.3">
      <c r="C296" s="6">
        <v>43789</v>
      </c>
      <c r="D296" s="7" t="s">
        <v>147</v>
      </c>
      <c r="E296" s="8">
        <v>2019</v>
      </c>
      <c r="F296" s="9" t="s">
        <v>150</v>
      </c>
      <c r="G296" s="9" t="s">
        <v>24</v>
      </c>
      <c r="H296" s="10" t="s">
        <v>48</v>
      </c>
      <c r="I296" s="7">
        <v>22</v>
      </c>
      <c r="J296" s="11">
        <v>28</v>
      </c>
      <c r="K296" s="11">
        <f t="shared" si="8"/>
        <v>616</v>
      </c>
      <c r="L296" s="11">
        <v>5.0000000745058101E-2</v>
      </c>
      <c r="M296" s="11">
        <v>73.92</v>
      </c>
      <c r="N296" s="11">
        <f t="shared" si="9"/>
        <v>689.8699999992549</v>
      </c>
    </row>
    <row r="297" spans="3:14" x14ac:dyDescent="0.3">
      <c r="C297" s="6">
        <v>43790</v>
      </c>
      <c r="D297" s="7" t="s">
        <v>147</v>
      </c>
      <c r="E297" s="8">
        <v>2019</v>
      </c>
      <c r="F297" s="9" t="s">
        <v>154</v>
      </c>
      <c r="G297" s="9" t="s">
        <v>32</v>
      </c>
      <c r="H297" s="10" t="s">
        <v>47</v>
      </c>
      <c r="I297" s="7">
        <v>38</v>
      </c>
      <c r="J297" s="11">
        <v>30</v>
      </c>
      <c r="K297" s="11">
        <f t="shared" si="8"/>
        <v>1140</v>
      </c>
      <c r="L297" s="11">
        <v>5.0000000745058101E-2</v>
      </c>
      <c r="M297" s="11">
        <v>136.79999999999998</v>
      </c>
      <c r="N297" s="11">
        <f t="shared" si="9"/>
        <v>1276.7499999992549</v>
      </c>
    </row>
    <row r="298" spans="3:14" x14ac:dyDescent="0.3">
      <c r="C298" s="6">
        <v>43790</v>
      </c>
      <c r="D298" s="7" t="s">
        <v>147</v>
      </c>
      <c r="E298" s="8">
        <v>2019</v>
      </c>
      <c r="F298" s="9" t="s">
        <v>154</v>
      </c>
      <c r="G298" s="9" t="s">
        <v>14</v>
      </c>
      <c r="H298" s="10" t="s">
        <v>36</v>
      </c>
      <c r="I298" s="7">
        <v>51</v>
      </c>
      <c r="J298" s="11">
        <v>42</v>
      </c>
      <c r="K298" s="11">
        <f t="shared" si="8"/>
        <v>2142</v>
      </c>
      <c r="L298" s="11">
        <v>5.0000000745058101E-2</v>
      </c>
      <c r="M298" s="11">
        <v>257.03999999999996</v>
      </c>
      <c r="N298" s="11">
        <f t="shared" si="9"/>
        <v>2398.9899999992549</v>
      </c>
    </row>
    <row r="299" spans="3:14" x14ac:dyDescent="0.3">
      <c r="C299" s="6">
        <v>43790</v>
      </c>
      <c r="D299" s="7" t="s">
        <v>147</v>
      </c>
      <c r="E299" s="8">
        <v>2019</v>
      </c>
      <c r="F299" s="9" t="s">
        <v>154</v>
      </c>
      <c r="G299" s="9" t="s">
        <v>14</v>
      </c>
      <c r="H299" s="10" t="s">
        <v>35</v>
      </c>
      <c r="I299" s="7">
        <v>75</v>
      </c>
      <c r="J299" s="11">
        <v>68</v>
      </c>
      <c r="K299" s="11">
        <f t="shared" si="8"/>
        <v>5100</v>
      </c>
      <c r="L299" s="11">
        <v>5.0000000745058101E-2</v>
      </c>
      <c r="M299" s="11">
        <v>612</v>
      </c>
      <c r="N299" s="11">
        <f t="shared" si="9"/>
        <v>5711.9499999992549</v>
      </c>
    </row>
    <row r="300" spans="3:14" x14ac:dyDescent="0.3">
      <c r="C300" s="6">
        <v>43791</v>
      </c>
      <c r="D300" s="7" t="s">
        <v>147</v>
      </c>
      <c r="E300" s="8">
        <v>2019</v>
      </c>
      <c r="F300" s="9" t="s">
        <v>71</v>
      </c>
      <c r="G300" s="9" t="s">
        <v>20</v>
      </c>
      <c r="H300" s="10" t="s">
        <v>92</v>
      </c>
      <c r="I300" s="7">
        <v>43</v>
      </c>
      <c r="J300" s="11">
        <v>38</v>
      </c>
      <c r="K300" s="11">
        <f t="shared" si="8"/>
        <v>1634</v>
      </c>
      <c r="L300" s="11">
        <v>0</v>
      </c>
      <c r="M300" s="11">
        <v>196.07999999999998</v>
      </c>
      <c r="N300" s="11">
        <f t="shared" si="9"/>
        <v>1830.08</v>
      </c>
    </row>
    <row r="301" spans="3:14" x14ac:dyDescent="0.3">
      <c r="C301" s="6">
        <v>43791</v>
      </c>
      <c r="D301" s="7" t="s">
        <v>147</v>
      </c>
      <c r="E301" s="8">
        <v>2019</v>
      </c>
      <c r="F301" s="9" t="s">
        <v>71</v>
      </c>
      <c r="G301" s="9" t="s">
        <v>42</v>
      </c>
      <c r="H301" s="10" t="s">
        <v>79</v>
      </c>
      <c r="I301" s="7">
        <v>34</v>
      </c>
      <c r="J301" s="11">
        <v>45</v>
      </c>
      <c r="K301" s="11">
        <f t="shared" si="8"/>
        <v>1530</v>
      </c>
      <c r="L301" s="11">
        <v>0</v>
      </c>
      <c r="M301" s="11">
        <v>183.6</v>
      </c>
      <c r="N301" s="11">
        <f t="shared" si="9"/>
        <v>1713.6</v>
      </c>
    </row>
    <row r="302" spans="3:14" x14ac:dyDescent="0.3">
      <c r="C302" s="6">
        <v>43791</v>
      </c>
      <c r="D302" s="7" t="s">
        <v>147</v>
      </c>
      <c r="E302" s="8">
        <v>2019</v>
      </c>
      <c r="F302" s="9" t="s">
        <v>71</v>
      </c>
      <c r="G302" s="9" t="s">
        <v>37</v>
      </c>
      <c r="H302" s="10" t="s">
        <v>139</v>
      </c>
      <c r="I302" s="7">
        <v>52</v>
      </c>
      <c r="J302" s="11">
        <v>96</v>
      </c>
      <c r="K302" s="11">
        <f t="shared" si="8"/>
        <v>4992</v>
      </c>
      <c r="L302" s="11">
        <v>0</v>
      </c>
      <c r="M302" s="11">
        <v>599.04</v>
      </c>
      <c r="N302" s="11">
        <f t="shared" si="9"/>
        <v>5591.04</v>
      </c>
    </row>
    <row r="303" spans="3:14" x14ac:dyDescent="0.3">
      <c r="C303" s="6">
        <v>43791</v>
      </c>
      <c r="D303" s="7" t="s">
        <v>147</v>
      </c>
      <c r="E303" s="8">
        <v>2019</v>
      </c>
      <c r="F303" s="9" t="s">
        <v>71</v>
      </c>
      <c r="G303" s="9" t="s">
        <v>32</v>
      </c>
      <c r="H303" s="10" t="s">
        <v>39</v>
      </c>
      <c r="I303" s="7">
        <v>96</v>
      </c>
      <c r="J303" s="11">
        <v>89</v>
      </c>
      <c r="K303" s="11">
        <f t="shared" si="8"/>
        <v>8544</v>
      </c>
      <c r="L303" s="11">
        <v>0</v>
      </c>
      <c r="M303" s="11">
        <v>1025.28</v>
      </c>
      <c r="N303" s="11">
        <f t="shared" si="9"/>
        <v>9569.2800000000007</v>
      </c>
    </row>
    <row r="304" spans="3:14" x14ac:dyDescent="0.3">
      <c r="C304" s="6">
        <v>43791</v>
      </c>
      <c r="D304" s="7" t="s">
        <v>147</v>
      </c>
      <c r="E304" s="8">
        <v>2019</v>
      </c>
      <c r="F304" s="9" t="s">
        <v>71</v>
      </c>
      <c r="G304" s="9" t="s">
        <v>42</v>
      </c>
      <c r="H304" s="10" t="s">
        <v>109</v>
      </c>
      <c r="I304" s="7">
        <v>75</v>
      </c>
      <c r="J304" s="11">
        <v>69</v>
      </c>
      <c r="K304" s="11">
        <f t="shared" si="8"/>
        <v>5175</v>
      </c>
      <c r="L304" s="11">
        <v>0</v>
      </c>
      <c r="M304" s="11">
        <v>621</v>
      </c>
      <c r="N304" s="11">
        <f t="shared" si="9"/>
        <v>5796</v>
      </c>
    </row>
    <row r="305" spans="3:14" x14ac:dyDescent="0.3">
      <c r="C305" s="6">
        <v>43791</v>
      </c>
      <c r="D305" s="7" t="s">
        <v>147</v>
      </c>
      <c r="E305" s="8">
        <v>2019</v>
      </c>
      <c r="F305" s="9" t="s">
        <v>84</v>
      </c>
      <c r="G305" s="9" t="s">
        <v>37</v>
      </c>
      <c r="H305" s="10" t="s">
        <v>38</v>
      </c>
      <c r="I305" s="7">
        <v>6</v>
      </c>
      <c r="J305" s="11">
        <v>36</v>
      </c>
      <c r="K305" s="11">
        <f t="shared" si="8"/>
        <v>216</v>
      </c>
      <c r="L305" s="11">
        <v>0.10000000149011599</v>
      </c>
      <c r="M305" s="11">
        <v>25.919999999999998</v>
      </c>
      <c r="N305" s="11">
        <f t="shared" si="9"/>
        <v>241.81999999850987</v>
      </c>
    </row>
    <row r="306" spans="3:14" x14ac:dyDescent="0.3">
      <c r="C306" s="6">
        <v>43791</v>
      </c>
      <c r="D306" s="7" t="s">
        <v>147</v>
      </c>
      <c r="E306" s="8">
        <v>2019</v>
      </c>
      <c r="F306" s="9" t="s">
        <v>84</v>
      </c>
      <c r="G306" s="9" t="s">
        <v>14</v>
      </c>
      <c r="H306" s="10" t="s">
        <v>35</v>
      </c>
      <c r="I306" s="7">
        <v>1</v>
      </c>
      <c r="J306" s="11">
        <v>75</v>
      </c>
      <c r="K306" s="11">
        <f t="shared" si="8"/>
        <v>75</v>
      </c>
      <c r="L306" s="11">
        <v>0.10000000149011599</v>
      </c>
      <c r="M306" s="11">
        <v>9</v>
      </c>
      <c r="N306" s="11">
        <f t="shared" si="9"/>
        <v>83.899999998509884</v>
      </c>
    </row>
    <row r="307" spans="3:14" x14ac:dyDescent="0.3">
      <c r="C307" s="6">
        <v>43794</v>
      </c>
      <c r="D307" s="7" t="s">
        <v>147</v>
      </c>
      <c r="E307" s="8">
        <v>2019</v>
      </c>
      <c r="F307" s="9" t="s">
        <v>141</v>
      </c>
      <c r="G307" s="9" t="s">
        <v>32</v>
      </c>
      <c r="H307" s="10" t="s">
        <v>134</v>
      </c>
      <c r="I307" s="7">
        <v>67</v>
      </c>
      <c r="J307" s="11">
        <v>81</v>
      </c>
      <c r="K307" s="11">
        <f t="shared" si="8"/>
        <v>5427</v>
      </c>
      <c r="L307" s="11">
        <v>0</v>
      </c>
      <c r="M307" s="11">
        <v>651.24</v>
      </c>
      <c r="N307" s="11">
        <f t="shared" si="9"/>
        <v>6078.24</v>
      </c>
    </row>
    <row r="308" spans="3:14" x14ac:dyDescent="0.3">
      <c r="C308" s="6">
        <v>43794</v>
      </c>
      <c r="D308" s="7" t="s">
        <v>147</v>
      </c>
      <c r="E308" s="8">
        <v>2019</v>
      </c>
      <c r="F308" s="9" t="s">
        <v>141</v>
      </c>
      <c r="G308" s="9" t="s">
        <v>20</v>
      </c>
      <c r="H308" s="10" t="s">
        <v>22</v>
      </c>
      <c r="I308" s="7">
        <v>5</v>
      </c>
      <c r="J308" s="11">
        <v>56</v>
      </c>
      <c r="K308" s="11">
        <f t="shared" si="8"/>
        <v>280</v>
      </c>
      <c r="L308" s="11">
        <v>0</v>
      </c>
      <c r="M308" s="11">
        <v>33.6</v>
      </c>
      <c r="N308" s="11">
        <f t="shared" si="9"/>
        <v>313.60000000000002</v>
      </c>
    </row>
    <row r="309" spans="3:14" x14ac:dyDescent="0.3">
      <c r="C309" s="6">
        <v>43794</v>
      </c>
      <c r="D309" s="7" t="s">
        <v>147</v>
      </c>
      <c r="E309" s="8">
        <v>2019</v>
      </c>
      <c r="F309" s="9" t="s">
        <v>141</v>
      </c>
      <c r="G309" s="9" t="s">
        <v>42</v>
      </c>
      <c r="H309" s="10" t="s">
        <v>109</v>
      </c>
      <c r="I309" s="7">
        <v>69</v>
      </c>
      <c r="J309" s="11">
        <v>84</v>
      </c>
      <c r="K309" s="11">
        <f t="shared" si="8"/>
        <v>5796</v>
      </c>
      <c r="L309" s="11">
        <v>0</v>
      </c>
      <c r="M309" s="11">
        <v>695.52</v>
      </c>
      <c r="N309" s="11">
        <f t="shared" si="9"/>
        <v>6491.52</v>
      </c>
    </row>
    <row r="310" spans="3:14" x14ac:dyDescent="0.3">
      <c r="C310" s="6">
        <v>43795</v>
      </c>
      <c r="D310" s="7" t="s">
        <v>147</v>
      </c>
      <c r="E310" s="8">
        <v>2019</v>
      </c>
      <c r="F310" s="9" t="s">
        <v>155</v>
      </c>
      <c r="G310" s="9" t="s">
        <v>14</v>
      </c>
      <c r="H310" s="10" t="s">
        <v>36</v>
      </c>
      <c r="I310" s="7">
        <v>57</v>
      </c>
      <c r="J310" s="11">
        <v>57</v>
      </c>
      <c r="K310" s="11">
        <f t="shared" si="8"/>
        <v>3249</v>
      </c>
      <c r="L310" s="11">
        <v>0</v>
      </c>
      <c r="M310" s="11">
        <v>389.88</v>
      </c>
      <c r="N310" s="11">
        <f t="shared" si="9"/>
        <v>3638.88</v>
      </c>
    </row>
    <row r="311" spans="3:14" x14ac:dyDescent="0.3">
      <c r="C311" s="6">
        <v>43795</v>
      </c>
      <c r="D311" s="7" t="s">
        <v>147</v>
      </c>
      <c r="E311" s="8">
        <v>2019</v>
      </c>
      <c r="F311" s="9" t="s">
        <v>155</v>
      </c>
      <c r="G311" s="9" t="s">
        <v>37</v>
      </c>
      <c r="H311" s="10" t="s">
        <v>98</v>
      </c>
      <c r="I311" s="7">
        <v>81</v>
      </c>
      <c r="J311" s="11">
        <v>31</v>
      </c>
      <c r="K311" s="11">
        <f t="shared" si="8"/>
        <v>2511</v>
      </c>
      <c r="L311" s="11">
        <v>0</v>
      </c>
      <c r="M311" s="11">
        <v>301.32</v>
      </c>
      <c r="N311" s="11">
        <f t="shared" si="9"/>
        <v>2812.32</v>
      </c>
    </row>
    <row r="312" spans="3:14" x14ac:dyDescent="0.3">
      <c r="C312" s="6">
        <v>43795</v>
      </c>
      <c r="D312" s="7" t="s">
        <v>147</v>
      </c>
      <c r="E312" s="8">
        <v>2019</v>
      </c>
      <c r="F312" s="9" t="s">
        <v>155</v>
      </c>
      <c r="G312" s="9" t="s">
        <v>37</v>
      </c>
      <c r="H312" s="10" t="s">
        <v>77</v>
      </c>
      <c r="I312" s="7">
        <v>87</v>
      </c>
      <c r="J312" s="11">
        <v>56</v>
      </c>
      <c r="K312" s="11">
        <f t="shared" si="8"/>
        <v>4872</v>
      </c>
      <c r="L312" s="11">
        <v>0</v>
      </c>
      <c r="M312" s="11">
        <v>584.64</v>
      </c>
      <c r="N312" s="11">
        <f t="shared" si="9"/>
        <v>5456.64</v>
      </c>
    </row>
    <row r="313" spans="3:14" x14ac:dyDescent="0.3">
      <c r="C313" s="6">
        <v>43795</v>
      </c>
      <c r="D313" s="7" t="s">
        <v>147</v>
      </c>
      <c r="E313" s="8">
        <v>2019</v>
      </c>
      <c r="F313" s="9" t="s">
        <v>156</v>
      </c>
      <c r="G313" s="9" t="s">
        <v>14</v>
      </c>
      <c r="H313" s="10" t="s">
        <v>117</v>
      </c>
      <c r="I313" s="7">
        <v>40</v>
      </c>
      <c r="J313" s="11">
        <v>64</v>
      </c>
      <c r="K313" s="11">
        <f t="shared" si="8"/>
        <v>2560</v>
      </c>
      <c r="L313" s="11">
        <v>0</v>
      </c>
      <c r="M313" s="11">
        <v>307.2</v>
      </c>
      <c r="N313" s="11">
        <f t="shared" si="9"/>
        <v>2867.2</v>
      </c>
    </row>
    <row r="314" spans="3:14" x14ac:dyDescent="0.3">
      <c r="C314" s="6">
        <v>43795</v>
      </c>
      <c r="D314" s="7" t="s">
        <v>147</v>
      </c>
      <c r="E314" s="8">
        <v>2019</v>
      </c>
      <c r="F314" s="9" t="s">
        <v>156</v>
      </c>
      <c r="G314" s="9" t="s">
        <v>14</v>
      </c>
      <c r="H314" s="10" t="s">
        <v>87</v>
      </c>
      <c r="I314" s="7">
        <v>71</v>
      </c>
      <c r="J314" s="11">
        <v>47</v>
      </c>
      <c r="K314" s="11">
        <f t="shared" si="8"/>
        <v>3337</v>
      </c>
      <c r="L314" s="11">
        <v>0</v>
      </c>
      <c r="M314" s="11">
        <v>400.44</v>
      </c>
      <c r="N314" s="11">
        <f t="shared" si="9"/>
        <v>3737.44</v>
      </c>
    </row>
    <row r="315" spans="3:14" x14ac:dyDescent="0.3">
      <c r="C315" s="6">
        <v>43796</v>
      </c>
      <c r="D315" s="7" t="s">
        <v>147</v>
      </c>
      <c r="E315" s="8">
        <v>2019</v>
      </c>
      <c r="F315" s="9" t="s">
        <v>157</v>
      </c>
      <c r="G315" s="9" t="s">
        <v>14</v>
      </c>
      <c r="H315" s="10" t="s">
        <v>15</v>
      </c>
      <c r="I315" s="7">
        <v>68</v>
      </c>
      <c r="J315" s="11">
        <v>31</v>
      </c>
      <c r="K315" s="11">
        <f t="shared" si="8"/>
        <v>2108</v>
      </c>
      <c r="L315" s="11">
        <v>0</v>
      </c>
      <c r="M315" s="11">
        <v>252.95999999999998</v>
      </c>
      <c r="N315" s="11">
        <f t="shared" si="9"/>
        <v>2360.96</v>
      </c>
    </row>
    <row r="316" spans="3:14" x14ac:dyDescent="0.3">
      <c r="C316" s="6">
        <v>43797</v>
      </c>
      <c r="D316" s="7" t="s">
        <v>147</v>
      </c>
      <c r="E316" s="8">
        <v>2019</v>
      </c>
      <c r="F316" s="9" t="s">
        <v>158</v>
      </c>
      <c r="G316" s="9" t="s">
        <v>26</v>
      </c>
      <c r="H316" s="10" t="s">
        <v>27</v>
      </c>
      <c r="I316" s="7">
        <v>40</v>
      </c>
      <c r="J316" s="11">
        <v>93</v>
      </c>
      <c r="K316" s="11">
        <f t="shared" si="8"/>
        <v>3720</v>
      </c>
      <c r="L316" s="11">
        <v>0</v>
      </c>
      <c r="M316" s="11">
        <v>446.4</v>
      </c>
      <c r="N316" s="11">
        <f t="shared" si="9"/>
        <v>4166.3999999999996</v>
      </c>
    </row>
    <row r="317" spans="3:14" x14ac:dyDescent="0.3">
      <c r="C317" s="6">
        <v>43797</v>
      </c>
      <c r="D317" s="7" t="s">
        <v>147</v>
      </c>
      <c r="E317" s="8">
        <v>2019</v>
      </c>
      <c r="F317" s="9" t="s">
        <v>158</v>
      </c>
      <c r="G317" s="9" t="s">
        <v>26</v>
      </c>
      <c r="H317" s="10" t="s">
        <v>52</v>
      </c>
      <c r="I317" s="7">
        <v>21</v>
      </c>
      <c r="J317" s="11">
        <v>35</v>
      </c>
      <c r="K317" s="11">
        <f t="shared" si="8"/>
        <v>735</v>
      </c>
      <c r="L317" s="11">
        <v>0</v>
      </c>
      <c r="M317" s="11">
        <v>88.2</v>
      </c>
      <c r="N317" s="11">
        <f t="shared" si="9"/>
        <v>823.2</v>
      </c>
    </row>
    <row r="318" spans="3:14" x14ac:dyDescent="0.3">
      <c r="C318" s="6">
        <v>43797</v>
      </c>
      <c r="D318" s="7" t="s">
        <v>147</v>
      </c>
      <c r="E318" s="8">
        <v>2019</v>
      </c>
      <c r="F318" s="9" t="s">
        <v>159</v>
      </c>
      <c r="G318" s="9" t="s">
        <v>37</v>
      </c>
      <c r="H318" s="10" t="s">
        <v>106</v>
      </c>
      <c r="I318" s="7">
        <v>43</v>
      </c>
      <c r="J318" s="11">
        <v>50</v>
      </c>
      <c r="K318" s="11">
        <f t="shared" si="8"/>
        <v>2150</v>
      </c>
      <c r="L318" s="11">
        <v>0</v>
      </c>
      <c r="M318" s="11">
        <v>258</v>
      </c>
      <c r="N318" s="11">
        <f t="shared" si="9"/>
        <v>2408</v>
      </c>
    </row>
    <row r="319" spans="3:14" x14ac:dyDescent="0.3">
      <c r="C319" s="6">
        <v>43797</v>
      </c>
      <c r="D319" s="7" t="s">
        <v>147</v>
      </c>
      <c r="E319" s="8">
        <v>2019</v>
      </c>
      <c r="F319" s="9" t="s">
        <v>159</v>
      </c>
      <c r="G319" s="9" t="s">
        <v>42</v>
      </c>
      <c r="H319" s="10" t="s">
        <v>109</v>
      </c>
      <c r="I319" s="7">
        <v>62</v>
      </c>
      <c r="J319" s="11">
        <v>96</v>
      </c>
      <c r="K319" s="11">
        <f t="shared" si="8"/>
        <v>5952</v>
      </c>
      <c r="L319" s="11">
        <v>0</v>
      </c>
      <c r="M319" s="11">
        <v>714.24</v>
      </c>
      <c r="N319" s="11">
        <f t="shared" si="9"/>
        <v>6666.24</v>
      </c>
    </row>
    <row r="320" spans="3:14" x14ac:dyDescent="0.3">
      <c r="C320" s="6">
        <v>43797</v>
      </c>
      <c r="D320" s="7" t="s">
        <v>147</v>
      </c>
      <c r="E320" s="8">
        <v>2019</v>
      </c>
      <c r="F320" s="9" t="s">
        <v>159</v>
      </c>
      <c r="G320" s="9" t="s">
        <v>26</v>
      </c>
      <c r="H320" s="10" t="s">
        <v>27</v>
      </c>
      <c r="I320" s="7">
        <v>3</v>
      </c>
      <c r="J320" s="11">
        <v>55</v>
      </c>
      <c r="K320" s="11">
        <f t="shared" si="8"/>
        <v>165</v>
      </c>
      <c r="L320" s="11">
        <v>0</v>
      </c>
      <c r="M320" s="11">
        <v>19.8</v>
      </c>
      <c r="N320" s="11">
        <f t="shared" si="9"/>
        <v>184.8</v>
      </c>
    </row>
    <row r="321" spans="3:14" x14ac:dyDescent="0.3">
      <c r="C321" s="6">
        <v>43797</v>
      </c>
      <c r="D321" s="7" t="s">
        <v>147</v>
      </c>
      <c r="E321" s="8">
        <v>2019</v>
      </c>
      <c r="F321" s="9" t="s">
        <v>159</v>
      </c>
      <c r="G321" s="9" t="s">
        <v>26</v>
      </c>
      <c r="H321" s="10" t="s">
        <v>52</v>
      </c>
      <c r="I321" s="7">
        <v>59</v>
      </c>
      <c r="J321" s="11">
        <v>71</v>
      </c>
      <c r="K321" s="11">
        <f t="shared" si="8"/>
        <v>4189</v>
      </c>
      <c r="L321" s="11">
        <v>0</v>
      </c>
      <c r="M321" s="11">
        <v>502.68</v>
      </c>
      <c r="N321" s="11">
        <f t="shared" si="9"/>
        <v>4691.68</v>
      </c>
    </row>
    <row r="322" spans="3:14" x14ac:dyDescent="0.3">
      <c r="C322" s="6">
        <v>43798</v>
      </c>
      <c r="D322" s="7" t="s">
        <v>147</v>
      </c>
      <c r="E322" s="8">
        <v>2019</v>
      </c>
      <c r="F322" s="9" t="s">
        <v>55</v>
      </c>
      <c r="G322" s="9" t="s">
        <v>32</v>
      </c>
      <c r="H322" s="10" t="s">
        <v>59</v>
      </c>
      <c r="I322" s="7">
        <v>16</v>
      </c>
      <c r="J322" s="11">
        <v>81</v>
      </c>
      <c r="K322" s="11">
        <f t="shared" si="8"/>
        <v>1296</v>
      </c>
      <c r="L322" s="11">
        <v>0.10000000149011599</v>
      </c>
      <c r="M322" s="11">
        <v>155.51999999999998</v>
      </c>
      <c r="N322" s="11">
        <f t="shared" si="9"/>
        <v>1451.4199999985099</v>
      </c>
    </row>
    <row r="323" spans="3:14" x14ac:dyDescent="0.3">
      <c r="C323" s="6">
        <v>43798</v>
      </c>
      <c r="D323" s="7" t="s">
        <v>147</v>
      </c>
      <c r="E323" s="8">
        <v>2019</v>
      </c>
      <c r="F323" s="9" t="s">
        <v>55</v>
      </c>
      <c r="G323" s="9" t="s">
        <v>20</v>
      </c>
      <c r="H323" s="10" t="s">
        <v>92</v>
      </c>
      <c r="I323" s="7">
        <v>93</v>
      </c>
      <c r="J323" s="11">
        <v>41</v>
      </c>
      <c r="K323" s="11">
        <f t="shared" ref="K323:K386" si="10">J323*I323</f>
        <v>3813</v>
      </c>
      <c r="L323" s="11">
        <v>0.10000000149011599</v>
      </c>
      <c r="M323" s="11">
        <v>457.56</v>
      </c>
      <c r="N323" s="11">
        <f t="shared" ref="N323:N386" si="11">K323-L323+M323</f>
        <v>4270.4599999985103</v>
      </c>
    </row>
    <row r="324" spans="3:14" x14ac:dyDescent="0.3">
      <c r="C324" s="6">
        <v>43798</v>
      </c>
      <c r="D324" s="7" t="s">
        <v>147</v>
      </c>
      <c r="E324" s="8">
        <v>2019</v>
      </c>
      <c r="F324" s="9" t="s">
        <v>55</v>
      </c>
      <c r="G324" s="9" t="s">
        <v>16</v>
      </c>
      <c r="H324" s="10" t="s">
        <v>30</v>
      </c>
      <c r="I324" s="7">
        <v>84</v>
      </c>
      <c r="J324" s="11">
        <v>60</v>
      </c>
      <c r="K324" s="11">
        <f t="shared" si="10"/>
        <v>5040</v>
      </c>
      <c r="L324" s="11">
        <v>0</v>
      </c>
      <c r="M324" s="11">
        <v>604.79999999999995</v>
      </c>
      <c r="N324" s="11">
        <f t="shared" si="11"/>
        <v>5644.8</v>
      </c>
    </row>
    <row r="325" spans="3:14" x14ac:dyDescent="0.3">
      <c r="C325" s="6">
        <v>43798</v>
      </c>
      <c r="D325" s="7" t="s">
        <v>147</v>
      </c>
      <c r="E325" s="8">
        <v>2019</v>
      </c>
      <c r="F325" s="9" t="s">
        <v>55</v>
      </c>
      <c r="G325" s="9" t="s">
        <v>16</v>
      </c>
      <c r="H325" s="10" t="s">
        <v>113</v>
      </c>
      <c r="I325" s="7">
        <v>7</v>
      </c>
      <c r="J325" s="11">
        <v>48</v>
      </c>
      <c r="K325" s="11">
        <f t="shared" si="10"/>
        <v>336</v>
      </c>
      <c r="L325" s="11">
        <v>0.10000000149011599</v>
      </c>
      <c r="M325" s="11">
        <v>40.32</v>
      </c>
      <c r="N325" s="11">
        <f t="shared" si="11"/>
        <v>376.21999999850988</v>
      </c>
    </row>
    <row r="326" spans="3:14" x14ac:dyDescent="0.3">
      <c r="C326" s="6">
        <v>43801</v>
      </c>
      <c r="D326" s="7" t="s">
        <v>160</v>
      </c>
      <c r="E326" s="8">
        <v>2019</v>
      </c>
      <c r="F326" s="9" t="s">
        <v>83</v>
      </c>
      <c r="G326" s="9" t="s">
        <v>42</v>
      </c>
      <c r="H326" s="10" t="s">
        <v>79</v>
      </c>
      <c r="I326" s="7">
        <v>55</v>
      </c>
      <c r="J326" s="11">
        <v>58</v>
      </c>
      <c r="K326" s="11">
        <f t="shared" si="10"/>
        <v>3190</v>
      </c>
      <c r="L326" s="11">
        <v>0</v>
      </c>
      <c r="M326" s="11">
        <v>382.8</v>
      </c>
      <c r="N326" s="11">
        <f t="shared" si="11"/>
        <v>3572.8</v>
      </c>
    </row>
    <row r="327" spans="3:14" x14ac:dyDescent="0.3">
      <c r="C327" s="6">
        <v>43801</v>
      </c>
      <c r="D327" s="7" t="s">
        <v>160</v>
      </c>
      <c r="E327" s="8">
        <v>2019</v>
      </c>
      <c r="F327" s="9" t="s">
        <v>83</v>
      </c>
      <c r="G327" s="9" t="s">
        <v>16</v>
      </c>
      <c r="H327" s="10" t="s">
        <v>68</v>
      </c>
      <c r="I327" s="7">
        <v>18</v>
      </c>
      <c r="J327" s="11">
        <v>64</v>
      </c>
      <c r="K327" s="11">
        <f t="shared" si="10"/>
        <v>1152</v>
      </c>
      <c r="L327" s="11">
        <v>0.25</v>
      </c>
      <c r="M327" s="11">
        <v>138.24</v>
      </c>
      <c r="N327" s="11">
        <f t="shared" si="11"/>
        <v>1289.99</v>
      </c>
    </row>
    <row r="328" spans="3:14" x14ac:dyDescent="0.3">
      <c r="C328" s="6">
        <v>43802</v>
      </c>
      <c r="D328" s="7" t="s">
        <v>160</v>
      </c>
      <c r="E328" s="8">
        <v>2019</v>
      </c>
      <c r="F328" s="9" t="s">
        <v>40</v>
      </c>
      <c r="G328" s="9" t="s">
        <v>37</v>
      </c>
      <c r="H328" s="10" t="s">
        <v>104</v>
      </c>
      <c r="I328" s="7">
        <v>6</v>
      </c>
      <c r="J328" s="11">
        <v>40</v>
      </c>
      <c r="K328" s="11">
        <f t="shared" si="10"/>
        <v>240</v>
      </c>
      <c r="L328" s="11">
        <v>0.15000000596046401</v>
      </c>
      <c r="M328" s="11">
        <v>28.799999999999997</v>
      </c>
      <c r="N328" s="11">
        <f t="shared" si="11"/>
        <v>268.64999999403955</v>
      </c>
    </row>
    <row r="329" spans="3:14" x14ac:dyDescent="0.3">
      <c r="C329" s="6">
        <v>43802</v>
      </c>
      <c r="D329" s="7" t="s">
        <v>160</v>
      </c>
      <c r="E329" s="8">
        <v>2019</v>
      </c>
      <c r="F329" s="9" t="s">
        <v>40</v>
      </c>
      <c r="G329" s="9" t="s">
        <v>16</v>
      </c>
      <c r="H329" s="10" t="s">
        <v>113</v>
      </c>
      <c r="I329" s="7">
        <v>71</v>
      </c>
      <c r="J329" s="11">
        <v>58</v>
      </c>
      <c r="K329" s="11">
        <f t="shared" si="10"/>
        <v>4118</v>
      </c>
      <c r="L329" s="11">
        <v>0</v>
      </c>
      <c r="M329" s="11">
        <v>494.15999999999997</v>
      </c>
      <c r="N329" s="11">
        <f t="shared" si="11"/>
        <v>4612.16</v>
      </c>
    </row>
    <row r="330" spans="3:14" x14ac:dyDescent="0.3">
      <c r="C330" s="6">
        <v>43802</v>
      </c>
      <c r="D330" s="7" t="s">
        <v>160</v>
      </c>
      <c r="E330" s="8">
        <v>2019</v>
      </c>
      <c r="F330" s="9" t="s">
        <v>40</v>
      </c>
      <c r="G330" s="9" t="s">
        <v>20</v>
      </c>
      <c r="H330" s="10" t="s">
        <v>44</v>
      </c>
      <c r="I330" s="7">
        <v>36</v>
      </c>
      <c r="J330" s="11">
        <v>25</v>
      </c>
      <c r="K330" s="11">
        <f t="shared" si="10"/>
        <v>900</v>
      </c>
      <c r="L330" s="11">
        <v>0.15000000596046401</v>
      </c>
      <c r="M330" s="11">
        <v>108</v>
      </c>
      <c r="N330" s="11">
        <f t="shared" si="11"/>
        <v>1007.8499999940395</v>
      </c>
    </row>
    <row r="331" spans="3:14" x14ac:dyDescent="0.3">
      <c r="C331" s="6">
        <v>43802</v>
      </c>
      <c r="D331" s="7" t="s">
        <v>160</v>
      </c>
      <c r="E331" s="8">
        <v>2019</v>
      </c>
      <c r="F331" s="9" t="s">
        <v>150</v>
      </c>
      <c r="G331" s="9" t="s">
        <v>24</v>
      </c>
      <c r="H331" s="10" t="s">
        <v>48</v>
      </c>
      <c r="I331" s="7">
        <v>57</v>
      </c>
      <c r="J331" s="11">
        <v>23</v>
      </c>
      <c r="K331" s="11">
        <f t="shared" si="10"/>
        <v>1311</v>
      </c>
      <c r="L331" s="11">
        <v>0.20000000298023199</v>
      </c>
      <c r="M331" s="11">
        <v>157.32</v>
      </c>
      <c r="N331" s="11">
        <f t="shared" si="11"/>
        <v>1468.1199999970197</v>
      </c>
    </row>
    <row r="332" spans="3:14" x14ac:dyDescent="0.3">
      <c r="C332" s="6">
        <v>43803</v>
      </c>
      <c r="D332" s="7" t="s">
        <v>160</v>
      </c>
      <c r="E332" s="8">
        <v>2019</v>
      </c>
      <c r="F332" s="9" t="s">
        <v>161</v>
      </c>
      <c r="G332" s="9" t="s">
        <v>32</v>
      </c>
      <c r="H332" s="10" t="s">
        <v>33</v>
      </c>
      <c r="I332" s="7">
        <v>5</v>
      </c>
      <c r="J332" s="11">
        <v>50</v>
      </c>
      <c r="K332" s="11">
        <f t="shared" si="10"/>
        <v>250</v>
      </c>
      <c r="L332" s="11">
        <v>0.25</v>
      </c>
      <c r="M332" s="11">
        <v>30</v>
      </c>
      <c r="N332" s="11">
        <f t="shared" si="11"/>
        <v>279.75</v>
      </c>
    </row>
    <row r="333" spans="3:14" x14ac:dyDescent="0.3">
      <c r="C333" s="6">
        <v>43803</v>
      </c>
      <c r="D333" s="7" t="s">
        <v>160</v>
      </c>
      <c r="E333" s="8">
        <v>2019</v>
      </c>
      <c r="F333" s="9" t="s">
        <v>161</v>
      </c>
      <c r="G333" s="9" t="s">
        <v>37</v>
      </c>
      <c r="H333" s="10" t="s">
        <v>139</v>
      </c>
      <c r="I333" s="7">
        <v>93</v>
      </c>
      <c r="J333" s="11">
        <v>31</v>
      </c>
      <c r="K333" s="11">
        <f t="shared" si="10"/>
        <v>2883</v>
      </c>
      <c r="L333" s="11">
        <v>0.25</v>
      </c>
      <c r="M333" s="11">
        <v>345.96</v>
      </c>
      <c r="N333" s="11">
        <f t="shared" si="11"/>
        <v>3228.71</v>
      </c>
    </row>
    <row r="334" spans="3:14" x14ac:dyDescent="0.3">
      <c r="C334" s="6">
        <v>43803</v>
      </c>
      <c r="D334" s="7" t="s">
        <v>160</v>
      </c>
      <c r="E334" s="8">
        <v>2019</v>
      </c>
      <c r="F334" s="9" t="s">
        <v>161</v>
      </c>
      <c r="G334" s="9" t="s">
        <v>14</v>
      </c>
      <c r="H334" s="10" t="s">
        <v>35</v>
      </c>
      <c r="I334" s="7">
        <v>12</v>
      </c>
      <c r="J334" s="11">
        <v>15</v>
      </c>
      <c r="K334" s="11">
        <f t="shared" si="10"/>
        <v>180</v>
      </c>
      <c r="L334" s="11">
        <v>0.25</v>
      </c>
      <c r="M334" s="11">
        <v>21.599999999999998</v>
      </c>
      <c r="N334" s="11">
        <f t="shared" si="11"/>
        <v>201.35</v>
      </c>
    </row>
    <row r="335" spans="3:14" x14ac:dyDescent="0.3">
      <c r="C335" s="6">
        <v>43803</v>
      </c>
      <c r="D335" s="7" t="s">
        <v>160</v>
      </c>
      <c r="E335" s="8">
        <v>2019</v>
      </c>
      <c r="F335" s="9" t="s">
        <v>161</v>
      </c>
      <c r="G335" s="9" t="s">
        <v>14</v>
      </c>
      <c r="H335" s="10" t="s">
        <v>18</v>
      </c>
      <c r="I335" s="7">
        <v>17</v>
      </c>
      <c r="J335" s="11">
        <v>86</v>
      </c>
      <c r="K335" s="11">
        <f t="shared" si="10"/>
        <v>1462</v>
      </c>
      <c r="L335" s="11">
        <v>0.25</v>
      </c>
      <c r="M335" s="11">
        <v>175.44</v>
      </c>
      <c r="N335" s="11">
        <f t="shared" si="11"/>
        <v>1637.19</v>
      </c>
    </row>
    <row r="336" spans="3:14" x14ac:dyDescent="0.3">
      <c r="C336" s="6">
        <v>43804</v>
      </c>
      <c r="D336" s="7" t="s">
        <v>160</v>
      </c>
      <c r="E336" s="8">
        <v>2019</v>
      </c>
      <c r="F336" s="9" t="s">
        <v>118</v>
      </c>
      <c r="G336" s="9" t="s">
        <v>24</v>
      </c>
      <c r="H336" s="10" t="s">
        <v>128</v>
      </c>
      <c r="I336" s="7">
        <v>50</v>
      </c>
      <c r="J336" s="11">
        <v>43</v>
      </c>
      <c r="K336" s="11">
        <f t="shared" si="10"/>
        <v>2150</v>
      </c>
      <c r="L336" s="11">
        <v>0.20000000298023199</v>
      </c>
      <c r="M336" s="11">
        <v>258</v>
      </c>
      <c r="N336" s="11">
        <f t="shared" si="11"/>
        <v>2407.7999999970198</v>
      </c>
    </row>
    <row r="337" spans="3:14" x14ac:dyDescent="0.3">
      <c r="C337" s="6">
        <v>43804</v>
      </c>
      <c r="D337" s="7" t="s">
        <v>160</v>
      </c>
      <c r="E337" s="8">
        <v>2019</v>
      </c>
      <c r="F337" s="9" t="s">
        <v>118</v>
      </c>
      <c r="G337" s="9" t="s">
        <v>14</v>
      </c>
      <c r="H337" s="10" t="s">
        <v>87</v>
      </c>
      <c r="I337" s="7">
        <v>71</v>
      </c>
      <c r="J337" s="11">
        <v>88</v>
      </c>
      <c r="K337" s="11">
        <f t="shared" si="10"/>
        <v>6248</v>
      </c>
      <c r="L337" s="11">
        <v>0.20000000298023199</v>
      </c>
      <c r="M337" s="11">
        <v>749.76</v>
      </c>
      <c r="N337" s="11">
        <f t="shared" si="11"/>
        <v>6997.55999999702</v>
      </c>
    </row>
    <row r="338" spans="3:14" x14ac:dyDescent="0.3">
      <c r="C338" s="6">
        <v>43804</v>
      </c>
      <c r="D338" s="7" t="s">
        <v>160</v>
      </c>
      <c r="E338" s="8">
        <v>2019</v>
      </c>
      <c r="F338" s="9" t="s">
        <v>162</v>
      </c>
      <c r="G338" s="9" t="s">
        <v>14</v>
      </c>
      <c r="H338" s="10" t="s">
        <v>36</v>
      </c>
      <c r="I338" s="7">
        <v>61</v>
      </c>
      <c r="J338" s="11">
        <v>54</v>
      </c>
      <c r="K338" s="11">
        <f t="shared" si="10"/>
        <v>3294</v>
      </c>
      <c r="L338" s="11">
        <v>0</v>
      </c>
      <c r="M338" s="11">
        <v>395.28</v>
      </c>
      <c r="N338" s="11">
        <f t="shared" si="11"/>
        <v>3689.2799999999997</v>
      </c>
    </row>
    <row r="339" spans="3:14" x14ac:dyDescent="0.3">
      <c r="C339" s="6">
        <v>43804</v>
      </c>
      <c r="D339" s="7" t="s">
        <v>160</v>
      </c>
      <c r="E339" s="8">
        <v>2019</v>
      </c>
      <c r="F339" s="9" t="s">
        <v>162</v>
      </c>
      <c r="G339" s="9" t="s">
        <v>24</v>
      </c>
      <c r="H339" s="10" t="s">
        <v>128</v>
      </c>
      <c r="I339" s="7">
        <v>35</v>
      </c>
      <c r="J339" s="11">
        <v>29</v>
      </c>
      <c r="K339" s="11">
        <f t="shared" si="10"/>
        <v>1015</v>
      </c>
      <c r="L339" s="11">
        <v>0</v>
      </c>
      <c r="M339" s="11">
        <v>121.8</v>
      </c>
      <c r="N339" s="11">
        <f t="shared" si="11"/>
        <v>1136.8</v>
      </c>
    </row>
    <row r="340" spans="3:14" x14ac:dyDescent="0.3">
      <c r="C340" s="6">
        <v>43805</v>
      </c>
      <c r="D340" s="7" t="s">
        <v>160</v>
      </c>
      <c r="E340" s="8">
        <v>2019</v>
      </c>
      <c r="F340" s="9" t="s">
        <v>163</v>
      </c>
      <c r="G340" s="9" t="s">
        <v>20</v>
      </c>
      <c r="H340" s="10" t="s">
        <v>136</v>
      </c>
      <c r="I340" s="7">
        <v>77</v>
      </c>
      <c r="J340" s="11">
        <v>83</v>
      </c>
      <c r="K340" s="11">
        <f t="shared" si="10"/>
        <v>6391</v>
      </c>
      <c r="L340" s="11">
        <v>0</v>
      </c>
      <c r="M340" s="11">
        <v>766.92</v>
      </c>
      <c r="N340" s="11">
        <f t="shared" si="11"/>
        <v>7157.92</v>
      </c>
    </row>
    <row r="341" spans="3:14" x14ac:dyDescent="0.3">
      <c r="C341" s="6">
        <v>43805</v>
      </c>
      <c r="D341" s="7" t="s">
        <v>160</v>
      </c>
      <c r="E341" s="8">
        <v>2019</v>
      </c>
      <c r="F341" s="9" t="s">
        <v>163</v>
      </c>
      <c r="G341" s="9" t="s">
        <v>42</v>
      </c>
      <c r="H341" s="10" t="s">
        <v>109</v>
      </c>
      <c r="I341" s="7">
        <v>70</v>
      </c>
      <c r="J341" s="11">
        <v>77</v>
      </c>
      <c r="K341" s="11">
        <f t="shared" si="10"/>
        <v>5390</v>
      </c>
      <c r="L341" s="11">
        <v>0</v>
      </c>
      <c r="M341" s="11">
        <v>646.79999999999995</v>
      </c>
      <c r="N341" s="11">
        <f t="shared" si="11"/>
        <v>6036.8</v>
      </c>
    </row>
    <row r="342" spans="3:14" x14ac:dyDescent="0.3">
      <c r="C342" s="6">
        <v>43808</v>
      </c>
      <c r="D342" s="7" t="s">
        <v>160</v>
      </c>
      <c r="E342" s="8">
        <v>2019</v>
      </c>
      <c r="F342" s="9" t="s">
        <v>142</v>
      </c>
      <c r="G342" s="9" t="s">
        <v>14</v>
      </c>
      <c r="H342" s="10" t="s">
        <v>36</v>
      </c>
      <c r="I342" s="7">
        <v>92</v>
      </c>
      <c r="J342" s="11">
        <v>56</v>
      </c>
      <c r="K342" s="11">
        <f t="shared" si="10"/>
        <v>5152</v>
      </c>
      <c r="L342" s="11">
        <v>5.0000000745058101E-2</v>
      </c>
      <c r="M342" s="11">
        <v>618.24</v>
      </c>
      <c r="N342" s="11">
        <f t="shared" si="11"/>
        <v>5770.1899999992547</v>
      </c>
    </row>
    <row r="343" spans="3:14" x14ac:dyDescent="0.3">
      <c r="C343" s="6">
        <v>43808</v>
      </c>
      <c r="D343" s="7" t="s">
        <v>160</v>
      </c>
      <c r="E343" s="8">
        <v>2019</v>
      </c>
      <c r="F343" s="9" t="s">
        <v>154</v>
      </c>
      <c r="G343" s="9" t="s">
        <v>20</v>
      </c>
      <c r="H343" s="10" t="s">
        <v>92</v>
      </c>
      <c r="I343" s="7">
        <v>59</v>
      </c>
      <c r="J343" s="11">
        <v>87</v>
      </c>
      <c r="K343" s="11">
        <f t="shared" si="10"/>
        <v>5133</v>
      </c>
      <c r="L343" s="11">
        <v>0.15000000596046401</v>
      </c>
      <c r="M343" s="11">
        <v>615.95999999999992</v>
      </c>
      <c r="N343" s="11">
        <f t="shared" si="11"/>
        <v>5748.8099999940396</v>
      </c>
    </row>
    <row r="344" spans="3:14" x14ac:dyDescent="0.3">
      <c r="C344" s="6">
        <v>43808</v>
      </c>
      <c r="D344" s="7" t="s">
        <v>160</v>
      </c>
      <c r="E344" s="8">
        <v>2019</v>
      </c>
      <c r="F344" s="9" t="s">
        <v>154</v>
      </c>
      <c r="G344" s="9" t="s">
        <v>37</v>
      </c>
      <c r="H344" s="10" t="s">
        <v>38</v>
      </c>
      <c r="I344" s="7">
        <v>78</v>
      </c>
      <c r="J344" s="11">
        <v>49</v>
      </c>
      <c r="K344" s="11">
        <f t="shared" si="10"/>
        <v>3822</v>
      </c>
      <c r="L344" s="11">
        <v>0.15000000596046401</v>
      </c>
      <c r="M344" s="11">
        <v>458.64</v>
      </c>
      <c r="N344" s="11">
        <f t="shared" si="11"/>
        <v>4280.4899999940399</v>
      </c>
    </row>
    <row r="345" spans="3:14" x14ac:dyDescent="0.3">
      <c r="C345" s="6">
        <v>43809</v>
      </c>
      <c r="D345" s="7" t="s">
        <v>160</v>
      </c>
      <c r="E345" s="8">
        <v>2019</v>
      </c>
      <c r="F345" s="9" t="s">
        <v>70</v>
      </c>
      <c r="G345" s="9" t="s">
        <v>14</v>
      </c>
      <c r="H345" s="10" t="s">
        <v>87</v>
      </c>
      <c r="I345" s="7">
        <v>67</v>
      </c>
      <c r="J345" s="11">
        <v>92</v>
      </c>
      <c r="K345" s="11">
        <f t="shared" si="10"/>
        <v>6164</v>
      </c>
      <c r="L345" s="11">
        <v>0</v>
      </c>
      <c r="M345" s="11">
        <v>739.68</v>
      </c>
      <c r="N345" s="11">
        <f t="shared" si="11"/>
        <v>6903.68</v>
      </c>
    </row>
    <row r="346" spans="3:14" x14ac:dyDescent="0.3">
      <c r="C346" s="6">
        <v>43810</v>
      </c>
      <c r="D346" s="7" t="s">
        <v>160</v>
      </c>
      <c r="E346" s="8">
        <v>2019</v>
      </c>
      <c r="F346" s="9" t="s">
        <v>64</v>
      </c>
      <c r="G346" s="9" t="s">
        <v>24</v>
      </c>
      <c r="H346" s="10" t="s">
        <v>25</v>
      </c>
      <c r="I346" s="7">
        <v>37</v>
      </c>
      <c r="J346" s="11">
        <v>88</v>
      </c>
      <c r="K346" s="11">
        <f t="shared" si="10"/>
        <v>3256</v>
      </c>
      <c r="L346" s="11">
        <v>0.10000000149011599</v>
      </c>
      <c r="M346" s="11">
        <v>390.71999999999997</v>
      </c>
      <c r="N346" s="11">
        <f t="shared" si="11"/>
        <v>3646.6199999985097</v>
      </c>
    </row>
    <row r="347" spans="3:14" x14ac:dyDescent="0.3">
      <c r="C347" s="6">
        <v>43810</v>
      </c>
      <c r="D347" s="7" t="s">
        <v>160</v>
      </c>
      <c r="E347" s="8">
        <v>2019</v>
      </c>
      <c r="F347" s="9" t="s">
        <v>64</v>
      </c>
      <c r="G347" s="9" t="s">
        <v>26</v>
      </c>
      <c r="H347" s="10" t="s">
        <v>95</v>
      </c>
      <c r="I347" s="7">
        <v>18</v>
      </c>
      <c r="J347" s="11">
        <v>71</v>
      </c>
      <c r="K347" s="11">
        <f t="shared" si="10"/>
        <v>1278</v>
      </c>
      <c r="L347" s="11">
        <v>0.10000000149011599</v>
      </c>
      <c r="M347" s="11">
        <v>153.35999999999999</v>
      </c>
      <c r="N347" s="11">
        <f t="shared" si="11"/>
        <v>1431.2599999985098</v>
      </c>
    </row>
    <row r="348" spans="3:14" x14ac:dyDescent="0.3">
      <c r="C348" s="6">
        <v>43810</v>
      </c>
      <c r="D348" s="7" t="s">
        <v>160</v>
      </c>
      <c r="E348" s="8">
        <v>2019</v>
      </c>
      <c r="F348" s="9" t="s">
        <v>64</v>
      </c>
      <c r="G348" s="9" t="s">
        <v>26</v>
      </c>
      <c r="H348" s="10" t="s">
        <v>27</v>
      </c>
      <c r="I348" s="7">
        <v>24</v>
      </c>
      <c r="J348" s="11">
        <v>12</v>
      </c>
      <c r="K348" s="11">
        <f t="shared" si="10"/>
        <v>288</v>
      </c>
      <c r="L348" s="11">
        <v>0.10000000149011599</v>
      </c>
      <c r="M348" s="11">
        <v>34.56</v>
      </c>
      <c r="N348" s="11">
        <f t="shared" si="11"/>
        <v>322.45999999850989</v>
      </c>
    </row>
    <row r="349" spans="3:14" x14ac:dyDescent="0.3">
      <c r="C349" s="6">
        <v>43811</v>
      </c>
      <c r="D349" s="7" t="s">
        <v>160</v>
      </c>
      <c r="E349" s="8">
        <v>2019</v>
      </c>
      <c r="F349" s="9" t="s">
        <v>118</v>
      </c>
      <c r="G349" s="9" t="s">
        <v>24</v>
      </c>
      <c r="H349" s="10" t="s">
        <v>69</v>
      </c>
      <c r="I349" s="7">
        <v>8</v>
      </c>
      <c r="J349" s="11">
        <v>100</v>
      </c>
      <c r="K349" s="11">
        <f t="shared" si="10"/>
        <v>800</v>
      </c>
      <c r="L349" s="11">
        <v>0.10000000149011599</v>
      </c>
      <c r="M349" s="11">
        <v>96</v>
      </c>
      <c r="N349" s="11">
        <f t="shared" si="11"/>
        <v>895.89999999850988</v>
      </c>
    </row>
    <row r="350" spans="3:14" x14ac:dyDescent="0.3">
      <c r="C350" s="6">
        <v>43811</v>
      </c>
      <c r="D350" s="7" t="s">
        <v>160</v>
      </c>
      <c r="E350" s="8">
        <v>2019</v>
      </c>
      <c r="F350" s="9" t="s">
        <v>118</v>
      </c>
      <c r="G350" s="9" t="s">
        <v>42</v>
      </c>
      <c r="H350" s="10" t="s">
        <v>51</v>
      </c>
      <c r="I350" s="7">
        <v>4</v>
      </c>
      <c r="J350" s="11">
        <v>32</v>
      </c>
      <c r="K350" s="11">
        <f t="shared" si="10"/>
        <v>128</v>
      </c>
      <c r="L350" s="11">
        <v>0.10000000149011599</v>
      </c>
      <c r="M350" s="11">
        <v>15.36</v>
      </c>
      <c r="N350" s="11">
        <f t="shared" si="11"/>
        <v>143.2599999985099</v>
      </c>
    </row>
    <row r="351" spans="3:14" x14ac:dyDescent="0.3">
      <c r="C351" s="6">
        <v>43811</v>
      </c>
      <c r="D351" s="7" t="s">
        <v>160</v>
      </c>
      <c r="E351" s="8">
        <v>2019</v>
      </c>
      <c r="F351" s="9" t="s">
        <v>118</v>
      </c>
      <c r="G351" s="9" t="s">
        <v>14</v>
      </c>
      <c r="H351" s="10" t="s">
        <v>35</v>
      </c>
      <c r="I351" s="7">
        <v>9</v>
      </c>
      <c r="J351" s="11">
        <v>69</v>
      </c>
      <c r="K351" s="11">
        <f t="shared" si="10"/>
        <v>621</v>
      </c>
      <c r="L351" s="11">
        <v>0.10000000149011599</v>
      </c>
      <c r="M351" s="11">
        <v>74.52</v>
      </c>
      <c r="N351" s="11">
        <f t="shared" si="11"/>
        <v>695.41999999850987</v>
      </c>
    </row>
    <row r="352" spans="3:14" x14ac:dyDescent="0.3">
      <c r="C352" s="6">
        <v>43811</v>
      </c>
      <c r="D352" s="7" t="s">
        <v>160</v>
      </c>
      <c r="E352" s="8">
        <v>2019</v>
      </c>
      <c r="F352" s="9" t="s">
        <v>118</v>
      </c>
      <c r="G352" s="9" t="s">
        <v>37</v>
      </c>
      <c r="H352" s="10" t="s">
        <v>63</v>
      </c>
      <c r="I352" s="7">
        <v>11</v>
      </c>
      <c r="J352" s="11">
        <v>17</v>
      </c>
      <c r="K352" s="11">
        <f t="shared" si="10"/>
        <v>187</v>
      </c>
      <c r="L352" s="11">
        <v>0</v>
      </c>
      <c r="M352" s="11">
        <v>22.439999999999998</v>
      </c>
      <c r="N352" s="11">
        <f t="shared" si="11"/>
        <v>209.44</v>
      </c>
    </row>
    <row r="353" spans="3:14" x14ac:dyDescent="0.3">
      <c r="C353" s="6">
        <v>43811</v>
      </c>
      <c r="D353" s="7" t="s">
        <v>160</v>
      </c>
      <c r="E353" s="8">
        <v>2019</v>
      </c>
      <c r="F353" s="9" t="s">
        <v>101</v>
      </c>
      <c r="G353" s="9" t="s">
        <v>20</v>
      </c>
      <c r="H353" s="10" t="s">
        <v>44</v>
      </c>
      <c r="I353" s="7">
        <v>86</v>
      </c>
      <c r="J353" s="11">
        <v>38</v>
      </c>
      <c r="K353" s="11">
        <f t="shared" si="10"/>
        <v>3268</v>
      </c>
      <c r="L353" s="11">
        <v>0</v>
      </c>
      <c r="M353" s="11">
        <v>392.15999999999997</v>
      </c>
      <c r="N353" s="11">
        <f t="shared" si="11"/>
        <v>3660.16</v>
      </c>
    </row>
    <row r="354" spans="3:14" x14ac:dyDescent="0.3">
      <c r="C354" s="6">
        <v>43812</v>
      </c>
      <c r="D354" s="7" t="s">
        <v>160</v>
      </c>
      <c r="E354" s="8">
        <v>2019</v>
      </c>
      <c r="F354" s="9" t="s">
        <v>55</v>
      </c>
      <c r="G354" s="9" t="s">
        <v>26</v>
      </c>
      <c r="H354" s="10" t="s">
        <v>56</v>
      </c>
      <c r="I354" s="7">
        <v>40</v>
      </c>
      <c r="J354" s="11">
        <v>31</v>
      </c>
      <c r="K354" s="11">
        <f t="shared" si="10"/>
        <v>1240</v>
      </c>
      <c r="L354" s="11">
        <v>0</v>
      </c>
      <c r="M354" s="11">
        <v>148.79999999999998</v>
      </c>
      <c r="N354" s="11">
        <f t="shared" si="11"/>
        <v>1388.8</v>
      </c>
    </row>
    <row r="355" spans="3:14" x14ac:dyDescent="0.3">
      <c r="C355" s="6">
        <v>43812</v>
      </c>
      <c r="D355" s="7" t="s">
        <v>160</v>
      </c>
      <c r="E355" s="8">
        <v>2019</v>
      </c>
      <c r="F355" s="9" t="s">
        <v>55</v>
      </c>
      <c r="G355" s="9" t="s">
        <v>24</v>
      </c>
      <c r="H355" s="10" t="s">
        <v>115</v>
      </c>
      <c r="I355" s="7">
        <v>29</v>
      </c>
      <c r="J355" s="11">
        <v>79</v>
      </c>
      <c r="K355" s="11">
        <f t="shared" si="10"/>
        <v>2291</v>
      </c>
      <c r="L355" s="11">
        <v>0</v>
      </c>
      <c r="M355" s="11">
        <v>274.92</v>
      </c>
      <c r="N355" s="11">
        <f t="shared" si="11"/>
        <v>2565.92</v>
      </c>
    </row>
    <row r="356" spans="3:14" x14ac:dyDescent="0.3">
      <c r="C356" s="6">
        <v>43812</v>
      </c>
      <c r="D356" s="7" t="s">
        <v>160</v>
      </c>
      <c r="E356" s="8">
        <v>2019</v>
      </c>
      <c r="F356" s="9" t="s">
        <v>55</v>
      </c>
      <c r="G356" s="9" t="s">
        <v>42</v>
      </c>
      <c r="H356" s="10" t="s">
        <v>79</v>
      </c>
      <c r="I356" s="7">
        <v>79</v>
      </c>
      <c r="J356" s="11">
        <v>26</v>
      </c>
      <c r="K356" s="11">
        <f t="shared" si="10"/>
        <v>2054</v>
      </c>
      <c r="L356" s="11">
        <v>0</v>
      </c>
      <c r="M356" s="11">
        <v>246.48</v>
      </c>
      <c r="N356" s="11">
        <f t="shared" si="11"/>
        <v>2300.48</v>
      </c>
    </row>
    <row r="357" spans="3:14" x14ac:dyDescent="0.3">
      <c r="C357" s="6">
        <v>43812</v>
      </c>
      <c r="D357" s="7" t="s">
        <v>160</v>
      </c>
      <c r="E357" s="8">
        <v>2019</v>
      </c>
      <c r="F357" s="9" t="s">
        <v>55</v>
      </c>
      <c r="G357" s="9" t="s">
        <v>14</v>
      </c>
      <c r="H357" s="10" t="s">
        <v>34</v>
      </c>
      <c r="I357" s="7">
        <v>92</v>
      </c>
      <c r="J357" s="11">
        <v>17</v>
      </c>
      <c r="K357" s="11">
        <f t="shared" si="10"/>
        <v>1564</v>
      </c>
      <c r="L357" s="11">
        <v>0</v>
      </c>
      <c r="M357" s="11">
        <v>187.68</v>
      </c>
      <c r="N357" s="11">
        <f t="shared" si="11"/>
        <v>1751.68</v>
      </c>
    </row>
    <row r="358" spans="3:14" x14ac:dyDescent="0.3">
      <c r="C358" s="6">
        <v>43812</v>
      </c>
      <c r="D358" s="7" t="s">
        <v>160</v>
      </c>
      <c r="E358" s="8">
        <v>2019</v>
      </c>
      <c r="F358" s="9" t="s">
        <v>55</v>
      </c>
      <c r="G358" s="9" t="s">
        <v>20</v>
      </c>
      <c r="H358" s="10" t="s">
        <v>44</v>
      </c>
      <c r="I358" s="7">
        <v>33</v>
      </c>
      <c r="J358" s="11">
        <v>41</v>
      </c>
      <c r="K358" s="11">
        <f t="shared" si="10"/>
        <v>1353</v>
      </c>
      <c r="L358" s="11">
        <v>0</v>
      </c>
      <c r="M358" s="11">
        <v>162.35999999999999</v>
      </c>
      <c r="N358" s="11">
        <f t="shared" si="11"/>
        <v>1515.36</v>
      </c>
    </row>
    <row r="359" spans="3:14" x14ac:dyDescent="0.3">
      <c r="C359" s="6">
        <v>43815</v>
      </c>
      <c r="D359" s="7" t="s">
        <v>160</v>
      </c>
      <c r="E359" s="8">
        <v>2019</v>
      </c>
      <c r="F359" s="9" t="s">
        <v>153</v>
      </c>
      <c r="G359" s="9" t="s">
        <v>24</v>
      </c>
      <c r="H359" s="10" t="s">
        <v>90</v>
      </c>
      <c r="I359" s="7">
        <v>4</v>
      </c>
      <c r="J359" s="11">
        <v>26</v>
      </c>
      <c r="K359" s="11">
        <f t="shared" si="10"/>
        <v>104</v>
      </c>
      <c r="L359" s="11">
        <v>0</v>
      </c>
      <c r="M359" s="11">
        <v>12.48</v>
      </c>
      <c r="N359" s="11">
        <f t="shared" si="11"/>
        <v>116.48</v>
      </c>
    </row>
    <row r="360" spans="3:14" x14ac:dyDescent="0.3">
      <c r="C360" s="6">
        <v>43815</v>
      </c>
      <c r="D360" s="7" t="s">
        <v>160</v>
      </c>
      <c r="E360" s="8">
        <v>2019</v>
      </c>
      <c r="F360" s="9" t="s">
        <v>153</v>
      </c>
      <c r="G360" s="9" t="s">
        <v>32</v>
      </c>
      <c r="H360" s="10" t="s">
        <v>151</v>
      </c>
      <c r="I360" s="7">
        <v>10</v>
      </c>
      <c r="J360" s="11">
        <v>79</v>
      </c>
      <c r="K360" s="11">
        <f t="shared" si="10"/>
        <v>790</v>
      </c>
      <c r="L360" s="11">
        <v>0</v>
      </c>
      <c r="M360" s="11">
        <v>94.8</v>
      </c>
      <c r="N360" s="11">
        <f t="shared" si="11"/>
        <v>884.8</v>
      </c>
    </row>
    <row r="361" spans="3:14" x14ac:dyDescent="0.3">
      <c r="C361" s="6">
        <v>43815</v>
      </c>
      <c r="D361" s="7" t="s">
        <v>160</v>
      </c>
      <c r="E361" s="8">
        <v>2019</v>
      </c>
      <c r="F361" s="9" t="s">
        <v>153</v>
      </c>
      <c r="G361" s="9" t="s">
        <v>16</v>
      </c>
      <c r="H361" s="10" t="s">
        <v>68</v>
      </c>
      <c r="I361" s="7">
        <v>65</v>
      </c>
      <c r="J361" s="11">
        <v>10</v>
      </c>
      <c r="K361" s="11">
        <f t="shared" si="10"/>
        <v>650</v>
      </c>
      <c r="L361" s="11">
        <v>0</v>
      </c>
      <c r="M361" s="11">
        <v>78</v>
      </c>
      <c r="N361" s="11">
        <f t="shared" si="11"/>
        <v>728</v>
      </c>
    </row>
    <row r="362" spans="3:14" x14ac:dyDescent="0.3">
      <c r="C362" s="6">
        <v>43815</v>
      </c>
      <c r="D362" s="7" t="s">
        <v>160</v>
      </c>
      <c r="E362" s="8">
        <v>2019</v>
      </c>
      <c r="F362" s="9" t="s">
        <v>93</v>
      </c>
      <c r="G362" s="9" t="s">
        <v>32</v>
      </c>
      <c r="H362" s="10" t="s">
        <v>33</v>
      </c>
      <c r="I362" s="7">
        <v>29</v>
      </c>
      <c r="J362" s="11">
        <v>37</v>
      </c>
      <c r="K362" s="11">
        <f t="shared" si="10"/>
        <v>1073</v>
      </c>
      <c r="L362" s="11">
        <v>0</v>
      </c>
      <c r="M362" s="11">
        <v>128.76</v>
      </c>
      <c r="N362" s="11">
        <f t="shared" si="11"/>
        <v>1201.76</v>
      </c>
    </row>
    <row r="363" spans="3:14" x14ac:dyDescent="0.3">
      <c r="C363" s="6">
        <v>43815</v>
      </c>
      <c r="D363" s="7" t="s">
        <v>160</v>
      </c>
      <c r="E363" s="8">
        <v>2019</v>
      </c>
      <c r="F363" s="9" t="s">
        <v>93</v>
      </c>
      <c r="G363" s="9" t="s">
        <v>14</v>
      </c>
      <c r="H363" s="10" t="s">
        <v>35</v>
      </c>
      <c r="I363" s="7">
        <v>73</v>
      </c>
      <c r="J363" s="11">
        <v>96</v>
      </c>
      <c r="K363" s="11">
        <f t="shared" si="10"/>
        <v>7008</v>
      </c>
      <c r="L363" s="11">
        <v>0</v>
      </c>
      <c r="M363" s="11">
        <v>840.95999999999992</v>
      </c>
      <c r="N363" s="11">
        <f t="shared" si="11"/>
        <v>7848.96</v>
      </c>
    </row>
    <row r="364" spans="3:14" x14ac:dyDescent="0.3">
      <c r="C364" s="6">
        <v>43816</v>
      </c>
      <c r="D364" s="7" t="s">
        <v>160</v>
      </c>
      <c r="E364" s="8">
        <v>2019</v>
      </c>
      <c r="F364" s="9" t="s">
        <v>83</v>
      </c>
      <c r="G364" s="9" t="s">
        <v>20</v>
      </c>
      <c r="H364" s="10" t="s">
        <v>67</v>
      </c>
      <c r="I364" s="7">
        <v>5</v>
      </c>
      <c r="J364" s="11">
        <v>18</v>
      </c>
      <c r="K364" s="11">
        <f t="shared" si="10"/>
        <v>90</v>
      </c>
      <c r="L364" s="11">
        <v>0.20000000298023199</v>
      </c>
      <c r="M364" s="11">
        <v>10.799999999999999</v>
      </c>
      <c r="N364" s="11">
        <f t="shared" si="11"/>
        <v>100.59999999701976</v>
      </c>
    </row>
    <row r="365" spans="3:14" x14ac:dyDescent="0.3">
      <c r="C365" s="6">
        <v>43816</v>
      </c>
      <c r="D365" s="7" t="s">
        <v>160</v>
      </c>
      <c r="E365" s="8">
        <v>2019</v>
      </c>
      <c r="F365" s="9" t="s">
        <v>83</v>
      </c>
      <c r="G365" s="9" t="s">
        <v>14</v>
      </c>
      <c r="H365" s="10" t="s">
        <v>35</v>
      </c>
      <c r="I365" s="7">
        <v>54</v>
      </c>
      <c r="J365" s="11">
        <v>83</v>
      </c>
      <c r="K365" s="11">
        <f t="shared" si="10"/>
        <v>4482</v>
      </c>
      <c r="L365" s="11">
        <v>0.20000000298023199</v>
      </c>
      <c r="M365" s="11">
        <v>537.84</v>
      </c>
      <c r="N365" s="11">
        <f t="shared" si="11"/>
        <v>5019.6399999970199</v>
      </c>
    </row>
    <row r="366" spans="3:14" x14ac:dyDescent="0.3">
      <c r="C366" s="6">
        <v>43816</v>
      </c>
      <c r="D366" s="7" t="s">
        <v>160</v>
      </c>
      <c r="E366" s="8">
        <v>2019</v>
      </c>
      <c r="F366" s="9" t="s">
        <v>83</v>
      </c>
      <c r="G366" s="9" t="s">
        <v>32</v>
      </c>
      <c r="H366" s="10" t="s">
        <v>110</v>
      </c>
      <c r="I366" s="7">
        <v>26</v>
      </c>
      <c r="J366" s="11">
        <v>33</v>
      </c>
      <c r="K366" s="11">
        <f t="shared" si="10"/>
        <v>858</v>
      </c>
      <c r="L366" s="11">
        <v>0.20000000298023199</v>
      </c>
      <c r="M366" s="11">
        <v>102.96</v>
      </c>
      <c r="N366" s="11">
        <f t="shared" si="11"/>
        <v>960.7599999970198</v>
      </c>
    </row>
    <row r="367" spans="3:14" x14ac:dyDescent="0.3">
      <c r="C367" s="6">
        <v>43817</v>
      </c>
      <c r="D367" s="7" t="s">
        <v>160</v>
      </c>
      <c r="E367" s="8">
        <v>2019</v>
      </c>
      <c r="F367" s="9" t="s">
        <v>149</v>
      </c>
      <c r="G367" s="9" t="s">
        <v>37</v>
      </c>
      <c r="H367" s="10" t="s">
        <v>41</v>
      </c>
      <c r="I367" s="7">
        <v>46</v>
      </c>
      <c r="J367" s="11">
        <v>28</v>
      </c>
      <c r="K367" s="11">
        <f t="shared" si="10"/>
        <v>1288</v>
      </c>
      <c r="L367" s="11">
        <v>0</v>
      </c>
      <c r="M367" s="11">
        <v>154.56</v>
      </c>
      <c r="N367" s="11">
        <f t="shared" si="11"/>
        <v>1442.56</v>
      </c>
    </row>
    <row r="368" spans="3:14" x14ac:dyDescent="0.3">
      <c r="C368" s="6">
        <v>43817</v>
      </c>
      <c r="D368" s="7" t="s">
        <v>160</v>
      </c>
      <c r="E368" s="8">
        <v>2019</v>
      </c>
      <c r="F368" s="9" t="s">
        <v>149</v>
      </c>
      <c r="G368" s="9" t="s">
        <v>37</v>
      </c>
      <c r="H368" s="10" t="s">
        <v>106</v>
      </c>
      <c r="I368" s="7">
        <v>87</v>
      </c>
      <c r="J368" s="11">
        <v>20</v>
      </c>
      <c r="K368" s="11">
        <f t="shared" si="10"/>
        <v>1740</v>
      </c>
      <c r="L368" s="11">
        <v>0</v>
      </c>
      <c r="M368" s="11">
        <v>208.79999999999998</v>
      </c>
      <c r="N368" s="11">
        <f t="shared" si="11"/>
        <v>1948.8</v>
      </c>
    </row>
    <row r="369" spans="3:14" x14ac:dyDescent="0.3">
      <c r="C369" s="6">
        <v>43817</v>
      </c>
      <c r="D369" s="7" t="s">
        <v>160</v>
      </c>
      <c r="E369" s="8">
        <v>2019</v>
      </c>
      <c r="F369" s="9" t="s">
        <v>164</v>
      </c>
      <c r="G369" s="9" t="s">
        <v>37</v>
      </c>
      <c r="H369" s="10" t="s">
        <v>41</v>
      </c>
      <c r="I369" s="7">
        <v>58</v>
      </c>
      <c r="J369" s="11">
        <v>32</v>
      </c>
      <c r="K369" s="11">
        <f t="shared" si="10"/>
        <v>1856</v>
      </c>
      <c r="L369" s="11">
        <v>0</v>
      </c>
      <c r="M369" s="11">
        <v>222.72</v>
      </c>
      <c r="N369" s="11">
        <f t="shared" si="11"/>
        <v>2078.7199999999998</v>
      </c>
    </row>
    <row r="370" spans="3:14" x14ac:dyDescent="0.3">
      <c r="C370" s="6">
        <v>43817</v>
      </c>
      <c r="D370" s="7" t="s">
        <v>160</v>
      </c>
      <c r="E370" s="8">
        <v>2019</v>
      </c>
      <c r="F370" s="9" t="s">
        <v>164</v>
      </c>
      <c r="G370" s="9" t="s">
        <v>20</v>
      </c>
      <c r="H370" s="10" t="s">
        <v>92</v>
      </c>
      <c r="I370" s="7">
        <v>4</v>
      </c>
      <c r="J370" s="11">
        <v>74</v>
      </c>
      <c r="K370" s="11">
        <f t="shared" si="10"/>
        <v>296</v>
      </c>
      <c r="L370" s="11">
        <v>0</v>
      </c>
      <c r="M370" s="11">
        <v>35.519999999999996</v>
      </c>
      <c r="N370" s="11">
        <f t="shared" si="11"/>
        <v>331.52</v>
      </c>
    </row>
    <row r="371" spans="3:14" x14ac:dyDescent="0.3">
      <c r="C371" s="6">
        <v>43817</v>
      </c>
      <c r="D371" s="7" t="s">
        <v>160</v>
      </c>
      <c r="E371" s="8">
        <v>2019</v>
      </c>
      <c r="F371" s="9" t="s">
        <v>164</v>
      </c>
      <c r="G371" s="9" t="s">
        <v>14</v>
      </c>
      <c r="H371" s="10" t="s">
        <v>49</v>
      </c>
      <c r="I371" s="7">
        <v>47</v>
      </c>
      <c r="J371" s="11">
        <v>90</v>
      </c>
      <c r="K371" s="11">
        <f t="shared" si="10"/>
        <v>4230</v>
      </c>
      <c r="L371" s="11">
        <v>0</v>
      </c>
      <c r="M371" s="11">
        <v>507.59999999999997</v>
      </c>
      <c r="N371" s="11">
        <f t="shared" si="11"/>
        <v>4737.6000000000004</v>
      </c>
    </row>
    <row r="372" spans="3:14" x14ac:dyDescent="0.3">
      <c r="C372" s="6">
        <v>43817</v>
      </c>
      <c r="D372" s="7" t="s">
        <v>160</v>
      </c>
      <c r="E372" s="8">
        <v>2019</v>
      </c>
      <c r="F372" s="9" t="s">
        <v>164</v>
      </c>
      <c r="G372" s="9" t="s">
        <v>14</v>
      </c>
      <c r="H372" s="10" t="s">
        <v>87</v>
      </c>
      <c r="I372" s="7">
        <v>56</v>
      </c>
      <c r="J372" s="11">
        <v>73</v>
      </c>
      <c r="K372" s="11">
        <f t="shared" si="10"/>
        <v>4088</v>
      </c>
      <c r="L372" s="11">
        <v>0</v>
      </c>
      <c r="M372" s="11">
        <v>490.56</v>
      </c>
      <c r="N372" s="11">
        <f t="shared" si="11"/>
        <v>4578.5600000000004</v>
      </c>
    </row>
    <row r="373" spans="3:14" x14ac:dyDescent="0.3">
      <c r="C373" s="6">
        <v>43818</v>
      </c>
      <c r="D373" s="7" t="s">
        <v>160</v>
      </c>
      <c r="E373" s="8">
        <v>2019</v>
      </c>
      <c r="F373" s="9" t="s">
        <v>154</v>
      </c>
      <c r="G373" s="9" t="s">
        <v>24</v>
      </c>
      <c r="H373" s="10" t="s">
        <v>165</v>
      </c>
      <c r="I373" s="7">
        <v>87</v>
      </c>
      <c r="J373" s="11">
        <v>43</v>
      </c>
      <c r="K373" s="11">
        <f t="shared" si="10"/>
        <v>3741</v>
      </c>
      <c r="L373" s="11">
        <v>0.20000000298023199</v>
      </c>
      <c r="M373" s="11">
        <v>448.91999999999996</v>
      </c>
      <c r="N373" s="11">
        <f t="shared" si="11"/>
        <v>4189.7199999970198</v>
      </c>
    </row>
    <row r="374" spans="3:14" x14ac:dyDescent="0.3">
      <c r="C374" s="6">
        <v>43818</v>
      </c>
      <c r="D374" s="7" t="s">
        <v>160</v>
      </c>
      <c r="E374" s="8">
        <v>2019</v>
      </c>
      <c r="F374" s="9" t="s">
        <v>154</v>
      </c>
      <c r="G374" s="9" t="s">
        <v>16</v>
      </c>
      <c r="H374" s="10" t="s">
        <v>132</v>
      </c>
      <c r="I374" s="7">
        <v>93</v>
      </c>
      <c r="J374" s="11">
        <v>71</v>
      </c>
      <c r="K374" s="11">
        <f t="shared" si="10"/>
        <v>6603</v>
      </c>
      <c r="L374" s="11">
        <v>0.20000000298023199</v>
      </c>
      <c r="M374" s="11">
        <v>792.36</v>
      </c>
      <c r="N374" s="11">
        <f t="shared" si="11"/>
        <v>7395.1599999970194</v>
      </c>
    </row>
    <row r="375" spans="3:14" x14ac:dyDescent="0.3">
      <c r="C375" s="6">
        <v>43818</v>
      </c>
      <c r="D375" s="7" t="s">
        <v>160</v>
      </c>
      <c r="E375" s="8">
        <v>2019</v>
      </c>
      <c r="F375" s="9" t="s">
        <v>154</v>
      </c>
      <c r="G375" s="9" t="s">
        <v>42</v>
      </c>
      <c r="H375" s="10" t="s">
        <v>51</v>
      </c>
      <c r="I375" s="7">
        <v>91</v>
      </c>
      <c r="J375" s="11">
        <v>46</v>
      </c>
      <c r="K375" s="11">
        <f t="shared" si="10"/>
        <v>4186</v>
      </c>
      <c r="L375" s="11">
        <v>0</v>
      </c>
      <c r="M375" s="11">
        <v>502.32</v>
      </c>
      <c r="N375" s="11">
        <f t="shared" si="11"/>
        <v>4688.32</v>
      </c>
    </row>
    <row r="376" spans="3:14" x14ac:dyDescent="0.3">
      <c r="C376" s="6">
        <v>43819</v>
      </c>
      <c r="D376" s="7" t="s">
        <v>160</v>
      </c>
      <c r="E376" s="8">
        <v>2019</v>
      </c>
      <c r="F376" s="9" t="s">
        <v>166</v>
      </c>
      <c r="G376" s="9" t="s">
        <v>24</v>
      </c>
      <c r="H376" s="10" t="s">
        <v>85</v>
      </c>
      <c r="I376" s="7">
        <v>33</v>
      </c>
      <c r="J376" s="11">
        <v>64</v>
      </c>
      <c r="K376" s="11">
        <f t="shared" si="10"/>
        <v>2112</v>
      </c>
      <c r="L376" s="11">
        <v>0</v>
      </c>
      <c r="M376" s="11">
        <v>253.44</v>
      </c>
      <c r="N376" s="11">
        <f t="shared" si="11"/>
        <v>2365.44</v>
      </c>
    </row>
    <row r="377" spans="3:14" x14ac:dyDescent="0.3">
      <c r="C377" s="6">
        <v>43819</v>
      </c>
      <c r="D377" s="7" t="s">
        <v>160</v>
      </c>
      <c r="E377" s="8">
        <v>2019</v>
      </c>
      <c r="F377" s="9" t="s">
        <v>166</v>
      </c>
      <c r="G377" s="9" t="s">
        <v>42</v>
      </c>
      <c r="H377" s="10" t="s">
        <v>43</v>
      </c>
      <c r="I377" s="7">
        <v>10</v>
      </c>
      <c r="J377" s="11">
        <v>72</v>
      </c>
      <c r="K377" s="11">
        <f t="shared" si="10"/>
        <v>720</v>
      </c>
      <c r="L377" s="11">
        <v>0</v>
      </c>
      <c r="M377" s="11">
        <v>86.399999999999991</v>
      </c>
      <c r="N377" s="11">
        <f t="shared" si="11"/>
        <v>806.4</v>
      </c>
    </row>
    <row r="378" spans="3:14" x14ac:dyDescent="0.3">
      <c r="C378" s="6">
        <v>43819</v>
      </c>
      <c r="D378" s="7" t="s">
        <v>160</v>
      </c>
      <c r="E378" s="8">
        <v>2019</v>
      </c>
      <c r="F378" s="9" t="s">
        <v>166</v>
      </c>
      <c r="G378" s="9" t="s">
        <v>32</v>
      </c>
      <c r="H378" s="10" t="s">
        <v>62</v>
      </c>
      <c r="I378" s="7">
        <v>55</v>
      </c>
      <c r="J378" s="11">
        <v>92</v>
      </c>
      <c r="K378" s="11">
        <f t="shared" si="10"/>
        <v>5060</v>
      </c>
      <c r="L378" s="11">
        <v>0</v>
      </c>
      <c r="M378" s="11">
        <v>607.19999999999993</v>
      </c>
      <c r="N378" s="11">
        <f t="shared" si="11"/>
        <v>5667.2</v>
      </c>
    </row>
    <row r="379" spans="3:14" x14ac:dyDescent="0.3">
      <c r="C379" s="6">
        <v>43819</v>
      </c>
      <c r="D379" s="7" t="s">
        <v>160</v>
      </c>
      <c r="E379" s="8">
        <v>2019</v>
      </c>
      <c r="F379" s="9" t="s">
        <v>166</v>
      </c>
      <c r="G379" s="9" t="s">
        <v>37</v>
      </c>
      <c r="H379" s="10" t="s">
        <v>63</v>
      </c>
      <c r="I379" s="7">
        <v>48</v>
      </c>
      <c r="J379" s="11">
        <v>51</v>
      </c>
      <c r="K379" s="11">
        <f t="shared" si="10"/>
        <v>2448</v>
      </c>
      <c r="L379" s="11">
        <v>0</v>
      </c>
      <c r="M379" s="11">
        <v>293.76</v>
      </c>
      <c r="N379" s="11">
        <f t="shared" si="11"/>
        <v>2741.76</v>
      </c>
    </row>
    <row r="380" spans="3:14" x14ac:dyDescent="0.3">
      <c r="C380" s="6">
        <v>43822</v>
      </c>
      <c r="D380" s="7" t="s">
        <v>160</v>
      </c>
      <c r="E380" s="8">
        <v>2019</v>
      </c>
      <c r="F380" s="9" t="s">
        <v>55</v>
      </c>
      <c r="G380" s="9" t="s">
        <v>14</v>
      </c>
      <c r="H380" s="10" t="s">
        <v>36</v>
      </c>
      <c r="I380" s="7">
        <v>65</v>
      </c>
      <c r="J380" s="11">
        <v>38</v>
      </c>
      <c r="K380" s="11">
        <f t="shared" si="10"/>
        <v>2470</v>
      </c>
      <c r="L380" s="11">
        <v>0.10000000149011599</v>
      </c>
      <c r="M380" s="11">
        <v>296.39999999999998</v>
      </c>
      <c r="N380" s="11">
        <f t="shared" si="11"/>
        <v>2766.29999999851</v>
      </c>
    </row>
    <row r="381" spans="3:14" x14ac:dyDescent="0.3">
      <c r="C381" s="6">
        <v>43822</v>
      </c>
      <c r="D381" s="7" t="s">
        <v>160</v>
      </c>
      <c r="E381" s="8">
        <v>2019</v>
      </c>
      <c r="F381" s="9" t="s">
        <v>55</v>
      </c>
      <c r="G381" s="9" t="s">
        <v>37</v>
      </c>
      <c r="H381" s="10" t="s">
        <v>65</v>
      </c>
      <c r="I381" s="7">
        <v>53</v>
      </c>
      <c r="J381" s="11">
        <v>67</v>
      </c>
      <c r="K381" s="11">
        <f t="shared" si="10"/>
        <v>3551</v>
      </c>
      <c r="L381" s="11">
        <v>0.10000000149011599</v>
      </c>
      <c r="M381" s="11">
        <v>426.12</v>
      </c>
      <c r="N381" s="11">
        <f t="shared" si="11"/>
        <v>3977.0199999985098</v>
      </c>
    </row>
    <row r="382" spans="3:14" x14ac:dyDescent="0.3">
      <c r="C382" s="6">
        <v>43822</v>
      </c>
      <c r="D382" s="7" t="s">
        <v>160</v>
      </c>
      <c r="E382" s="8">
        <v>2019</v>
      </c>
      <c r="F382" s="9" t="s">
        <v>55</v>
      </c>
      <c r="G382" s="9" t="s">
        <v>24</v>
      </c>
      <c r="H382" s="10" t="s">
        <v>107</v>
      </c>
      <c r="I382" s="7">
        <v>95</v>
      </c>
      <c r="J382" s="11">
        <v>94</v>
      </c>
      <c r="K382" s="11">
        <f t="shared" si="10"/>
        <v>8930</v>
      </c>
      <c r="L382" s="11">
        <v>0</v>
      </c>
      <c r="M382" s="11">
        <v>1071.5999999999999</v>
      </c>
      <c r="N382" s="11">
        <f t="shared" si="11"/>
        <v>10001.6</v>
      </c>
    </row>
    <row r="383" spans="3:14" x14ac:dyDescent="0.3">
      <c r="C383" s="6">
        <v>43822</v>
      </c>
      <c r="D383" s="7" t="s">
        <v>160</v>
      </c>
      <c r="E383" s="8">
        <v>2019</v>
      </c>
      <c r="F383" s="9" t="s">
        <v>55</v>
      </c>
      <c r="G383" s="9" t="s">
        <v>14</v>
      </c>
      <c r="H383" s="10" t="s">
        <v>18</v>
      </c>
      <c r="I383" s="7">
        <v>42</v>
      </c>
      <c r="J383" s="11">
        <v>81</v>
      </c>
      <c r="K383" s="11">
        <f t="shared" si="10"/>
        <v>3402</v>
      </c>
      <c r="L383" s="11">
        <v>0.10000000149011599</v>
      </c>
      <c r="M383" s="11">
        <v>408.24</v>
      </c>
      <c r="N383" s="11">
        <f t="shared" si="11"/>
        <v>3810.1399999985097</v>
      </c>
    </row>
    <row r="384" spans="3:14" x14ac:dyDescent="0.3">
      <c r="C384" s="6">
        <v>43822</v>
      </c>
      <c r="D384" s="7" t="s">
        <v>160</v>
      </c>
      <c r="E384" s="8">
        <v>2019</v>
      </c>
      <c r="F384" s="9" t="s">
        <v>155</v>
      </c>
      <c r="G384" s="9" t="s">
        <v>24</v>
      </c>
      <c r="H384" s="10" t="s">
        <v>90</v>
      </c>
      <c r="I384" s="7">
        <v>30</v>
      </c>
      <c r="J384" s="11">
        <v>39</v>
      </c>
      <c r="K384" s="11">
        <f t="shared" si="10"/>
        <v>1170</v>
      </c>
      <c r="L384" s="11">
        <v>0</v>
      </c>
      <c r="M384" s="11">
        <v>140.4</v>
      </c>
      <c r="N384" s="11">
        <f t="shared" si="11"/>
        <v>1310.4000000000001</v>
      </c>
    </row>
    <row r="385" spans="3:14" x14ac:dyDescent="0.3">
      <c r="C385" s="6">
        <v>43823</v>
      </c>
      <c r="D385" s="7" t="s">
        <v>160</v>
      </c>
      <c r="E385" s="8">
        <v>2019</v>
      </c>
      <c r="F385" s="9" t="s">
        <v>152</v>
      </c>
      <c r="G385" s="9" t="s">
        <v>14</v>
      </c>
      <c r="H385" s="10" t="s">
        <v>117</v>
      </c>
      <c r="I385" s="7">
        <v>31</v>
      </c>
      <c r="J385" s="11">
        <v>90</v>
      </c>
      <c r="K385" s="11">
        <f t="shared" si="10"/>
        <v>2790</v>
      </c>
      <c r="L385" s="11">
        <v>0</v>
      </c>
      <c r="M385" s="11">
        <v>334.8</v>
      </c>
      <c r="N385" s="11">
        <f t="shared" si="11"/>
        <v>3124.8</v>
      </c>
    </row>
    <row r="386" spans="3:14" x14ac:dyDescent="0.3">
      <c r="C386" s="6">
        <v>43824</v>
      </c>
      <c r="D386" s="7" t="s">
        <v>160</v>
      </c>
      <c r="E386" s="8">
        <v>2019</v>
      </c>
      <c r="F386" s="9" t="s">
        <v>135</v>
      </c>
      <c r="G386" s="9" t="s">
        <v>37</v>
      </c>
      <c r="H386" s="10" t="s">
        <v>46</v>
      </c>
      <c r="I386" s="7">
        <v>88</v>
      </c>
      <c r="J386" s="11">
        <v>100</v>
      </c>
      <c r="K386" s="11">
        <f t="shared" si="10"/>
        <v>8800</v>
      </c>
      <c r="L386" s="11">
        <v>0.25</v>
      </c>
      <c r="M386" s="11">
        <v>1056</v>
      </c>
      <c r="N386" s="11">
        <f t="shared" si="11"/>
        <v>9855.75</v>
      </c>
    </row>
    <row r="387" spans="3:14" x14ac:dyDescent="0.3">
      <c r="C387" s="6">
        <v>43824</v>
      </c>
      <c r="D387" s="7" t="s">
        <v>160</v>
      </c>
      <c r="E387" s="8">
        <v>2019</v>
      </c>
      <c r="F387" s="9" t="s">
        <v>135</v>
      </c>
      <c r="G387" s="9" t="s">
        <v>20</v>
      </c>
      <c r="H387" s="10" t="s">
        <v>136</v>
      </c>
      <c r="I387" s="7">
        <v>69</v>
      </c>
      <c r="J387" s="11">
        <v>38</v>
      </c>
      <c r="K387" s="11">
        <f t="shared" ref="K387:K450" si="12">J387*I387</f>
        <v>2622</v>
      </c>
      <c r="L387" s="11">
        <v>0.25</v>
      </c>
      <c r="M387" s="11">
        <v>314.64</v>
      </c>
      <c r="N387" s="11">
        <f t="shared" ref="N387:N450" si="13">K387-L387+M387</f>
        <v>2936.39</v>
      </c>
    </row>
    <row r="388" spans="3:14" x14ac:dyDescent="0.3">
      <c r="C388" s="6">
        <v>43824</v>
      </c>
      <c r="D388" s="7" t="s">
        <v>160</v>
      </c>
      <c r="E388" s="8">
        <v>2019</v>
      </c>
      <c r="F388" s="9" t="s">
        <v>135</v>
      </c>
      <c r="G388" s="9" t="s">
        <v>32</v>
      </c>
      <c r="H388" s="10" t="s">
        <v>134</v>
      </c>
      <c r="I388" s="7">
        <v>74</v>
      </c>
      <c r="J388" s="11">
        <v>93</v>
      </c>
      <c r="K388" s="11">
        <f t="shared" si="12"/>
        <v>6882</v>
      </c>
      <c r="L388" s="11">
        <v>0.25</v>
      </c>
      <c r="M388" s="11">
        <v>825.83999999999992</v>
      </c>
      <c r="N388" s="11">
        <f t="shared" si="13"/>
        <v>7707.59</v>
      </c>
    </row>
    <row r="389" spans="3:14" x14ac:dyDescent="0.3">
      <c r="C389" s="6">
        <v>43824</v>
      </c>
      <c r="D389" s="7" t="s">
        <v>160</v>
      </c>
      <c r="E389" s="8">
        <v>2019</v>
      </c>
      <c r="F389" s="9" t="s">
        <v>135</v>
      </c>
      <c r="G389" s="9" t="s">
        <v>32</v>
      </c>
      <c r="H389" s="10" t="s">
        <v>140</v>
      </c>
      <c r="I389" s="7">
        <v>40</v>
      </c>
      <c r="J389" s="11">
        <v>79</v>
      </c>
      <c r="K389" s="11">
        <f t="shared" si="12"/>
        <v>3160</v>
      </c>
      <c r="L389" s="11">
        <v>0.25</v>
      </c>
      <c r="M389" s="11">
        <v>379.2</v>
      </c>
      <c r="N389" s="11">
        <f t="shared" si="13"/>
        <v>3538.95</v>
      </c>
    </row>
    <row r="390" spans="3:14" x14ac:dyDescent="0.3">
      <c r="C390" s="6">
        <v>43824</v>
      </c>
      <c r="D390" s="7" t="s">
        <v>160</v>
      </c>
      <c r="E390" s="8">
        <v>2019</v>
      </c>
      <c r="F390" s="9" t="s">
        <v>135</v>
      </c>
      <c r="G390" s="9" t="s">
        <v>14</v>
      </c>
      <c r="H390" s="10" t="s">
        <v>36</v>
      </c>
      <c r="I390" s="7">
        <v>58</v>
      </c>
      <c r="J390" s="11">
        <v>60</v>
      </c>
      <c r="K390" s="11">
        <f t="shared" si="12"/>
        <v>3480</v>
      </c>
      <c r="L390" s="11">
        <v>0</v>
      </c>
      <c r="M390" s="11">
        <v>417.59999999999997</v>
      </c>
      <c r="N390" s="11">
        <f t="shared" si="13"/>
        <v>3897.6</v>
      </c>
    </row>
    <row r="391" spans="3:14" x14ac:dyDescent="0.3">
      <c r="C391" s="6">
        <v>43824</v>
      </c>
      <c r="D391" s="7" t="s">
        <v>160</v>
      </c>
      <c r="E391" s="8">
        <v>2019</v>
      </c>
      <c r="F391" s="9" t="s">
        <v>163</v>
      </c>
      <c r="G391" s="9" t="s">
        <v>24</v>
      </c>
      <c r="H391" s="10" t="s">
        <v>90</v>
      </c>
      <c r="I391" s="7">
        <v>59</v>
      </c>
      <c r="J391" s="11">
        <v>64</v>
      </c>
      <c r="K391" s="11">
        <f t="shared" si="12"/>
        <v>3776</v>
      </c>
      <c r="L391" s="11">
        <v>0</v>
      </c>
      <c r="M391" s="11">
        <v>453.12</v>
      </c>
      <c r="N391" s="11">
        <f t="shared" si="13"/>
        <v>4229.12</v>
      </c>
    </row>
    <row r="392" spans="3:14" x14ac:dyDescent="0.3">
      <c r="C392" s="6">
        <v>43824</v>
      </c>
      <c r="D392" s="7" t="s">
        <v>160</v>
      </c>
      <c r="E392" s="8">
        <v>2019</v>
      </c>
      <c r="F392" s="9" t="s">
        <v>163</v>
      </c>
      <c r="G392" s="9" t="s">
        <v>32</v>
      </c>
      <c r="H392" s="10" t="s">
        <v>62</v>
      </c>
      <c r="I392" s="7">
        <v>91</v>
      </c>
      <c r="J392" s="11">
        <v>34</v>
      </c>
      <c r="K392" s="11">
        <f t="shared" si="12"/>
        <v>3094</v>
      </c>
      <c r="L392" s="11">
        <v>0</v>
      </c>
      <c r="M392" s="11">
        <v>371.28</v>
      </c>
      <c r="N392" s="11">
        <f t="shared" si="13"/>
        <v>3465.2799999999997</v>
      </c>
    </row>
    <row r="393" spans="3:14" x14ac:dyDescent="0.3">
      <c r="C393" s="6">
        <v>43825</v>
      </c>
      <c r="D393" s="7" t="s">
        <v>160</v>
      </c>
      <c r="E393" s="8">
        <v>2019</v>
      </c>
      <c r="F393" s="9" t="s">
        <v>53</v>
      </c>
      <c r="G393" s="9" t="s">
        <v>24</v>
      </c>
      <c r="H393" s="10" t="s">
        <v>107</v>
      </c>
      <c r="I393" s="7">
        <v>20</v>
      </c>
      <c r="J393" s="11">
        <v>89</v>
      </c>
      <c r="K393" s="11">
        <f t="shared" si="12"/>
        <v>1780</v>
      </c>
      <c r="L393" s="11">
        <v>0.10000000149011599</v>
      </c>
      <c r="M393" s="11">
        <v>213.6</v>
      </c>
      <c r="N393" s="11">
        <f t="shared" si="13"/>
        <v>1993.4999999985098</v>
      </c>
    </row>
    <row r="394" spans="3:14" x14ac:dyDescent="0.3">
      <c r="C394" s="6">
        <v>43825</v>
      </c>
      <c r="D394" s="7" t="s">
        <v>160</v>
      </c>
      <c r="E394" s="8">
        <v>2019</v>
      </c>
      <c r="F394" s="9" t="s">
        <v>53</v>
      </c>
      <c r="G394" s="9" t="s">
        <v>42</v>
      </c>
      <c r="H394" s="10" t="s">
        <v>51</v>
      </c>
      <c r="I394" s="7">
        <v>50</v>
      </c>
      <c r="J394" s="11">
        <v>56</v>
      </c>
      <c r="K394" s="11">
        <f t="shared" si="12"/>
        <v>2800</v>
      </c>
      <c r="L394" s="11">
        <v>0.10000000149011599</v>
      </c>
      <c r="M394" s="11">
        <v>336</v>
      </c>
      <c r="N394" s="11">
        <f t="shared" si="13"/>
        <v>3135.8999999985099</v>
      </c>
    </row>
    <row r="395" spans="3:14" x14ac:dyDescent="0.3">
      <c r="C395" s="6">
        <v>43825</v>
      </c>
      <c r="D395" s="7" t="s">
        <v>160</v>
      </c>
      <c r="E395" s="8">
        <v>2019</v>
      </c>
      <c r="F395" s="9" t="s">
        <v>53</v>
      </c>
      <c r="G395" s="9" t="s">
        <v>14</v>
      </c>
      <c r="H395" s="10" t="s">
        <v>117</v>
      </c>
      <c r="I395" s="7">
        <v>8</v>
      </c>
      <c r="J395" s="11">
        <v>37</v>
      </c>
      <c r="K395" s="11">
        <f t="shared" si="12"/>
        <v>296</v>
      </c>
      <c r="L395" s="11">
        <v>0</v>
      </c>
      <c r="M395" s="11">
        <v>35.519999999999996</v>
      </c>
      <c r="N395" s="11">
        <f t="shared" si="13"/>
        <v>331.52</v>
      </c>
    </row>
    <row r="396" spans="3:14" x14ac:dyDescent="0.3">
      <c r="C396" s="6">
        <v>43826</v>
      </c>
      <c r="D396" s="7" t="s">
        <v>160</v>
      </c>
      <c r="E396" s="8">
        <v>2019</v>
      </c>
      <c r="F396" s="9" t="s">
        <v>75</v>
      </c>
      <c r="G396" s="9" t="s">
        <v>16</v>
      </c>
      <c r="H396" s="10" t="s">
        <v>145</v>
      </c>
      <c r="I396" s="7">
        <v>34</v>
      </c>
      <c r="J396" s="11">
        <v>54</v>
      </c>
      <c r="K396" s="11">
        <f t="shared" si="12"/>
        <v>1836</v>
      </c>
      <c r="L396" s="11">
        <v>0</v>
      </c>
      <c r="M396" s="11">
        <v>220.32</v>
      </c>
      <c r="N396" s="11">
        <f t="shared" si="13"/>
        <v>2056.3200000000002</v>
      </c>
    </row>
    <row r="397" spans="3:14" x14ac:dyDescent="0.3">
      <c r="C397" s="6">
        <v>43826</v>
      </c>
      <c r="D397" s="7" t="s">
        <v>160</v>
      </c>
      <c r="E397" s="8">
        <v>2019</v>
      </c>
      <c r="F397" s="9" t="s">
        <v>75</v>
      </c>
      <c r="G397" s="9" t="s">
        <v>14</v>
      </c>
      <c r="H397" s="10" t="s">
        <v>87</v>
      </c>
      <c r="I397" s="7">
        <v>97</v>
      </c>
      <c r="J397" s="11">
        <v>88</v>
      </c>
      <c r="K397" s="11">
        <f t="shared" si="12"/>
        <v>8536</v>
      </c>
      <c r="L397" s="11">
        <v>0</v>
      </c>
      <c r="M397" s="11">
        <v>1024.32</v>
      </c>
      <c r="N397" s="11">
        <f t="shared" si="13"/>
        <v>9560.32</v>
      </c>
    </row>
    <row r="398" spans="3:14" x14ac:dyDescent="0.3">
      <c r="C398" s="6">
        <v>43826</v>
      </c>
      <c r="D398" s="7" t="s">
        <v>160</v>
      </c>
      <c r="E398" s="8">
        <v>2019</v>
      </c>
      <c r="F398" s="9" t="s">
        <v>75</v>
      </c>
      <c r="G398" s="9" t="s">
        <v>14</v>
      </c>
      <c r="H398" s="10" t="s">
        <v>18</v>
      </c>
      <c r="I398" s="7">
        <v>21</v>
      </c>
      <c r="J398" s="11">
        <v>100</v>
      </c>
      <c r="K398" s="11">
        <f t="shared" si="12"/>
        <v>2100</v>
      </c>
      <c r="L398" s="11">
        <v>0</v>
      </c>
      <c r="M398" s="11">
        <v>252</v>
      </c>
      <c r="N398" s="11">
        <f t="shared" si="13"/>
        <v>2352</v>
      </c>
    </row>
    <row r="399" spans="3:14" x14ac:dyDescent="0.3">
      <c r="C399" s="6">
        <v>43826</v>
      </c>
      <c r="D399" s="7" t="s">
        <v>160</v>
      </c>
      <c r="E399" s="8">
        <v>2019</v>
      </c>
      <c r="F399" s="9" t="s">
        <v>144</v>
      </c>
      <c r="G399" s="9" t="s">
        <v>32</v>
      </c>
      <c r="H399" s="10" t="s">
        <v>59</v>
      </c>
      <c r="I399" s="7">
        <v>87</v>
      </c>
      <c r="J399" s="11">
        <v>90</v>
      </c>
      <c r="K399" s="11">
        <f t="shared" si="12"/>
        <v>7830</v>
      </c>
      <c r="L399" s="11">
        <v>0.15000000596046401</v>
      </c>
      <c r="M399" s="11">
        <v>939.59999999999991</v>
      </c>
      <c r="N399" s="11">
        <f t="shared" si="13"/>
        <v>8769.4499999940399</v>
      </c>
    </row>
    <row r="400" spans="3:14" x14ac:dyDescent="0.3">
      <c r="C400" s="6">
        <v>43826</v>
      </c>
      <c r="D400" s="7" t="s">
        <v>160</v>
      </c>
      <c r="E400" s="8">
        <v>2019</v>
      </c>
      <c r="F400" s="9" t="s">
        <v>144</v>
      </c>
      <c r="G400" s="9" t="s">
        <v>20</v>
      </c>
      <c r="H400" s="10" t="s">
        <v>22</v>
      </c>
      <c r="I400" s="7">
        <v>90</v>
      </c>
      <c r="J400" s="11">
        <v>71</v>
      </c>
      <c r="K400" s="11">
        <f t="shared" si="12"/>
        <v>6390</v>
      </c>
      <c r="L400" s="11">
        <v>0.15000000596046401</v>
      </c>
      <c r="M400" s="11">
        <v>766.8</v>
      </c>
      <c r="N400" s="11">
        <f t="shared" si="13"/>
        <v>7156.6499999940397</v>
      </c>
    </row>
    <row r="401" spans="3:14" x14ac:dyDescent="0.3">
      <c r="C401" s="6">
        <v>43829</v>
      </c>
      <c r="D401" s="7" t="s">
        <v>160</v>
      </c>
      <c r="E401" s="8">
        <v>2019</v>
      </c>
      <c r="F401" s="9" t="s">
        <v>135</v>
      </c>
      <c r="G401" s="9" t="s">
        <v>37</v>
      </c>
      <c r="H401" s="10" t="s">
        <v>65</v>
      </c>
      <c r="I401" s="7">
        <v>69</v>
      </c>
      <c r="J401" s="11">
        <v>64</v>
      </c>
      <c r="K401" s="11">
        <f t="shared" si="12"/>
        <v>4416</v>
      </c>
      <c r="L401" s="11">
        <v>0</v>
      </c>
      <c r="M401" s="11">
        <v>529.91999999999996</v>
      </c>
      <c r="N401" s="11">
        <f t="shared" si="13"/>
        <v>4945.92</v>
      </c>
    </row>
    <row r="402" spans="3:14" x14ac:dyDescent="0.3">
      <c r="C402" s="6">
        <v>43829</v>
      </c>
      <c r="D402" s="7" t="s">
        <v>160</v>
      </c>
      <c r="E402" s="8">
        <v>2019</v>
      </c>
      <c r="F402" s="9" t="s">
        <v>135</v>
      </c>
      <c r="G402" s="9" t="s">
        <v>42</v>
      </c>
      <c r="H402" s="10" t="s">
        <v>43</v>
      </c>
      <c r="I402" s="7">
        <v>65</v>
      </c>
      <c r="J402" s="11">
        <v>38</v>
      </c>
      <c r="K402" s="11">
        <f t="shared" si="12"/>
        <v>2470</v>
      </c>
      <c r="L402" s="11">
        <v>0.10000000149011599</v>
      </c>
      <c r="M402" s="11">
        <v>296.39999999999998</v>
      </c>
      <c r="N402" s="11">
        <f t="shared" si="13"/>
        <v>2766.29999999851</v>
      </c>
    </row>
    <row r="403" spans="3:14" x14ac:dyDescent="0.3">
      <c r="C403" s="6">
        <v>43830</v>
      </c>
      <c r="D403" s="7" t="s">
        <v>160</v>
      </c>
      <c r="E403" s="8">
        <v>2019</v>
      </c>
      <c r="F403" s="9" t="s">
        <v>159</v>
      </c>
      <c r="G403" s="9" t="s">
        <v>32</v>
      </c>
      <c r="H403" s="10" t="s">
        <v>110</v>
      </c>
      <c r="I403" s="7">
        <v>40</v>
      </c>
      <c r="J403" s="11">
        <v>29</v>
      </c>
      <c r="K403" s="11">
        <f t="shared" si="12"/>
        <v>1160</v>
      </c>
      <c r="L403" s="11">
        <v>0</v>
      </c>
      <c r="M403" s="11">
        <v>139.19999999999999</v>
      </c>
      <c r="N403" s="11">
        <f t="shared" si="13"/>
        <v>1299.2</v>
      </c>
    </row>
    <row r="404" spans="3:14" x14ac:dyDescent="0.3">
      <c r="C404" s="6">
        <v>43830</v>
      </c>
      <c r="D404" s="7" t="s">
        <v>160</v>
      </c>
      <c r="E404" s="8">
        <v>2019</v>
      </c>
      <c r="F404" s="9" t="s">
        <v>159</v>
      </c>
      <c r="G404" s="9" t="s">
        <v>14</v>
      </c>
      <c r="H404" s="10" t="s">
        <v>87</v>
      </c>
      <c r="I404" s="7">
        <v>77</v>
      </c>
      <c r="J404" s="11">
        <v>52</v>
      </c>
      <c r="K404" s="11">
        <f t="shared" si="12"/>
        <v>4004</v>
      </c>
      <c r="L404" s="11">
        <v>0</v>
      </c>
      <c r="M404" s="11">
        <v>480.47999999999996</v>
      </c>
      <c r="N404" s="11">
        <f t="shared" si="13"/>
        <v>4484.4799999999996</v>
      </c>
    </row>
    <row r="405" spans="3:14" x14ac:dyDescent="0.3">
      <c r="C405" s="6">
        <v>43830</v>
      </c>
      <c r="D405" s="7" t="s">
        <v>160</v>
      </c>
      <c r="E405" s="8">
        <v>2019</v>
      </c>
      <c r="F405" s="9" t="s">
        <v>159</v>
      </c>
      <c r="G405" s="9" t="s">
        <v>37</v>
      </c>
      <c r="H405" s="10" t="s">
        <v>77</v>
      </c>
      <c r="I405" s="7">
        <v>41</v>
      </c>
      <c r="J405" s="11">
        <v>35</v>
      </c>
      <c r="K405" s="11">
        <f t="shared" si="12"/>
        <v>1435</v>
      </c>
      <c r="L405" s="11">
        <v>0</v>
      </c>
      <c r="M405" s="11">
        <v>172.2</v>
      </c>
      <c r="N405" s="11">
        <f t="shared" si="13"/>
        <v>1607.2</v>
      </c>
    </row>
    <row r="406" spans="3:14" x14ac:dyDescent="0.3">
      <c r="C406" s="6">
        <v>43830</v>
      </c>
      <c r="D406" s="7" t="s">
        <v>160</v>
      </c>
      <c r="E406" s="8">
        <v>2019</v>
      </c>
      <c r="F406" s="9" t="s">
        <v>159</v>
      </c>
      <c r="G406" s="9" t="s">
        <v>26</v>
      </c>
      <c r="H406" s="10" t="s">
        <v>52</v>
      </c>
      <c r="I406" s="7">
        <v>97</v>
      </c>
      <c r="J406" s="11">
        <v>42</v>
      </c>
      <c r="K406" s="11">
        <f t="shared" si="12"/>
        <v>4074</v>
      </c>
      <c r="L406" s="11">
        <v>0</v>
      </c>
      <c r="M406" s="11">
        <v>488.88</v>
      </c>
      <c r="N406" s="11">
        <f t="shared" si="13"/>
        <v>4562.88</v>
      </c>
    </row>
    <row r="407" spans="3:14" x14ac:dyDescent="0.3">
      <c r="C407" s="6">
        <v>43831</v>
      </c>
      <c r="D407" s="7" t="s">
        <v>167</v>
      </c>
      <c r="E407" s="8">
        <v>2020</v>
      </c>
      <c r="F407" s="9" t="s">
        <v>156</v>
      </c>
      <c r="G407" s="9" t="s">
        <v>42</v>
      </c>
      <c r="H407" s="10" t="s">
        <v>79</v>
      </c>
      <c r="I407" s="7">
        <v>67</v>
      </c>
      <c r="J407" s="11">
        <v>50</v>
      </c>
      <c r="K407" s="11">
        <f t="shared" si="12"/>
        <v>3350</v>
      </c>
      <c r="L407" s="11">
        <v>0</v>
      </c>
      <c r="M407" s="11">
        <v>402</v>
      </c>
      <c r="N407" s="11">
        <f t="shared" si="13"/>
        <v>3752</v>
      </c>
    </row>
    <row r="408" spans="3:14" x14ac:dyDescent="0.3">
      <c r="C408" s="6">
        <v>43831</v>
      </c>
      <c r="D408" s="7" t="s">
        <v>167</v>
      </c>
      <c r="E408" s="8">
        <v>2020</v>
      </c>
      <c r="F408" s="9" t="s">
        <v>156</v>
      </c>
      <c r="G408" s="9" t="s">
        <v>37</v>
      </c>
      <c r="H408" s="10" t="s">
        <v>65</v>
      </c>
      <c r="I408" s="7">
        <v>19</v>
      </c>
      <c r="J408" s="11">
        <v>70</v>
      </c>
      <c r="K408" s="11">
        <f t="shared" si="12"/>
        <v>1330</v>
      </c>
      <c r="L408" s="11">
        <v>0</v>
      </c>
      <c r="M408" s="11">
        <v>159.6</v>
      </c>
      <c r="N408" s="11">
        <f t="shared" si="13"/>
        <v>1489.6</v>
      </c>
    </row>
    <row r="409" spans="3:14" x14ac:dyDescent="0.3">
      <c r="C409" s="6">
        <v>43831</v>
      </c>
      <c r="D409" s="7" t="s">
        <v>167</v>
      </c>
      <c r="E409" s="8">
        <v>2020</v>
      </c>
      <c r="F409" s="9" t="s">
        <v>156</v>
      </c>
      <c r="G409" s="9" t="s">
        <v>32</v>
      </c>
      <c r="H409" s="10" t="s">
        <v>39</v>
      </c>
      <c r="I409" s="7">
        <v>1</v>
      </c>
      <c r="J409" s="11">
        <v>71</v>
      </c>
      <c r="K409" s="11">
        <f t="shared" si="12"/>
        <v>71</v>
      </c>
      <c r="L409" s="11">
        <v>0</v>
      </c>
      <c r="M409" s="11">
        <v>8.52</v>
      </c>
      <c r="N409" s="11">
        <f t="shared" si="13"/>
        <v>79.52</v>
      </c>
    </row>
    <row r="410" spans="3:14" x14ac:dyDescent="0.3">
      <c r="C410" s="6">
        <v>43831</v>
      </c>
      <c r="D410" s="7" t="s">
        <v>167</v>
      </c>
      <c r="E410" s="8">
        <v>2020</v>
      </c>
      <c r="F410" s="9" t="s">
        <v>66</v>
      </c>
      <c r="G410" s="9" t="s">
        <v>24</v>
      </c>
      <c r="H410" s="10" t="s">
        <v>69</v>
      </c>
      <c r="I410" s="7">
        <v>5</v>
      </c>
      <c r="J410" s="11">
        <v>30</v>
      </c>
      <c r="K410" s="11">
        <f t="shared" si="12"/>
        <v>150</v>
      </c>
      <c r="L410" s="11">
        <v>0</v>
      </c>
      <c r="M410" s="11">
        <v>18</v>
      </c>
      <c r="N410" s="11">
        <f t="shared" si="13"/>
        <v>168</v>
      </c>
    </row>
    <row r="411" spans="3:14" x14ac:dyDescent="0.3">
      <c r="C411" s="6">
        <v>43831</v>
      </c>
      <c r="D411" s="7" t="s">
        <v>167</v>
      </c>
      <c r="E411" s="8">
        <v>2020</v>
      </c>
      <c r="F411" s="9" t="s">
        <v>66</v>
      </c>
      <c r="G411" s="9" t="s">
        <v>16</v>
      </c>
      <c r="H411" s="10" t="s">
        <v>68</v>
      </c>
      <c r="I411" s="7">
        <v>91</v>
      </c>
      <c r="J411" s="11">
        <v>81</v>
      </c>
      <c r="K411" s="11">
        <f t="shared" si="12"/>
        <v>7371</v>
      </c>
      <c r="L411" s="11">
        <v>0</v>
      </c>
      <c r="M411" s="11">
        <v>884.52</v>
      </c>
      <c r="N411" s="11">
        <f t="shared" si="13"/>
        <v>8255.52</v>
      </c>
    </row>
    <row r="412" spans="3:14" x14ac:dyDescent="0.3">
      <c r="C412" s="6">
        <v>43831</v>
      </c>
      <c r="D412" s="7" t="s">
        <v>167</v>
      </c>
      <c r="E412" s="8">
        <v>2020</v>
      </c>
      <c r="F412" s="9" t="s">
        <v>66</v>
      </c>
      <c r="G412" s="9" t="s">
        <v>26</v>
      </c>
      <c r="H412" s="10" t="s">
        <v>27</v>
      </c>
      <c r="I412" s="7">
        <v>16</v>
      </c>
      <c r="J412" s="11">
        <v>59</v>
      </c>
      <c r="K412" s="11">
        <f t="shared" si="12"/>
        <v>944</v>
      </c>
      <c r="L412" s="11">
        <v>0</v>
      </c>
      <c r="M412" s="11">
        <v>113.28</v>
      </c>
      <c r="N412" s="11">
        <f t="shared" si="13"/>
        <v>1057.28</v>
      </c>
    </row>
    <row r="413" spans="3:14" x14ac:dyDescent="0.3">
      <c r="C413" s="6">
        <v>43831</v>
      </c>
      <c r="D413" s="7" t="s">
        <v>167</v>
      </c>
      <c r="E413" s="8">
        <v>2020</v>
      </c>
      <c r="F413" s="9" t="s">
        <v>66</v>
      </c>
      <c r="G413" s="9" t="s">
        <v>14</v>
      </c>
      <c r="H413" s="10" t="s">
        <v>87</v>
      </c>
      <c r="I413" s="7">
        <v>29</v>
      </c>
      <c r="J413" s="11">
        <v>66</v>
      </c>
      <c r="K413" s="11">
        <f t="shared" si="12"/>
        <v>1914</v>
      </c>
      <c r="L413" s="11">
        <v>0</v>
      </c>
      <c r="M413" s="11">
        <v>229.67999999999998</v>
      </c>
      <c r="N413" s="11">
        <f t="shared" si="13"/>
        <v>2143.6799999999998</v>
      </c>
    </row>
    <row r="414" spans="3:14" x14ac:dyDescent="0.3">
      <c r="C414" s="6">
        <v>43832</v>
      </c>
      <c r="D414" s="7" t="s">
        <v>167</v>
      </c>
      <c r="E414" s="8">
        <v>2020</v>
      </c>
      <c r="F414" s="9" t="s">
        <v>55</v>
      </c>
      <c r="G414" s="9" t="s">
        <v>16</v>
      </c>
      <c r="H414" s="10" t="s">
        <v>145</v>
      </c>
      <c r="I414" s="7">
        <v>46</v>
      </c>
      <c r="J414" s="11">
        <v>66</v>
      </c>
      <c r="K414" s="11">
        <f t="shared" si="12"/>
        <v>3036</v>
      </c>
      <c r="L414" s="11">
        <v>0</v>
      </c>
      <c r="M414" s="11">
        <v>364.32</v>
      </c>
      <c r="N414" s="11">
        <f t="shared" si="13"/>
        <v>3400.32</v>
      </c>
    </row>
    <row r="415" spans="3:14" x14ac:dyDescent="0.3">
      <c r="C415" s="6">
        <v>43832</v>
      </c>
      <c r="D415" s="7" t="s">
        <v>167</v>
      </c>
      <c r="E415" s="8">
        <v>2020</v>
      </c>
      <c r="F415" s="9" t="s">
        <v>55</v>
      </c>
      <c r="G415" s="9" t="s">
        <v>26</v>
      </c>
      <c r="H415" s="10" t="s">
        <v>95</v>
      </c>
      <c r="I415" s="7">
        <v>97</v>
      </c>
      <c r="J415" s="11">
        <v>17</v>
      </c>
      <c r="K415" s="11">
        <f t="shared" si="12"/>
        <v>1649</v>
      </c>
      <c r="L415" s="11">
        <v>0</v>
      </c>
      <c r="M415" s="11">
        <v>197.88</v>
      </c>
      <c r="N415" s="11">
        <f t="shared" si="13"/>
        <v>1846.88</v>
      </c>
    </row>
    <row r="416" spans="3:14" x14ac:dyDescent="0.3">
      <c r="C416" s="6">
        <v>43833</v>
      </c>
      <c r="D416" s="7" t="s">
        <v>167</v>
      </c>
      <c r="E416" s="8">
        <v>2020</v>
      </c>
      <c r="F416" s="9" t="s">
        <v>55</v>
      </c>
      <c r="G416" s="9" t="s">
        <v>32</v>
      </c>
      <c r="H416" s="10" t="s">
        <v>47</v>
      </c>
      <c r="I416" s="7">
        <v>72</v>
      </c>
      <c r="J416" s="11">
        <v>99</v>
      </c>
      <c r="K416" s="11">
        <f t="shared" si="12"/>
        <v>7128</v>
      </c>
      <c r="L416" s="11">
        <v>0.15000000596046401</v>
      </c>
      <c r="M416" s="11">
        <v>855.36</v>
      </c>
      <c r="N416" s="11">
        <f t="shared" si="13"/>
        <v>7983.2099999940392</v>
      </c>
    </row>
    <row r="417" spans="3:14" x14ac:dyDescent="0.3">
      <c r="C417" s="6">
        <v>43833</v>
      </c>
      <c r="D417" s="7" t="s">
        <v>167</v>
      </c>
      <c r="E417" s="8">
        <v>2020</v>
      </c>
      <c r="F417" s="9" t="s">
        <v>55</v>
      </c>
      <c r="G417" s="9" t="s">
        <v>32</v>
      </c>
      <c r="H417" s="10" t="s">
        <v>168</v>
      </c>
      <c r="I417" s="7">
        <v>62</v>
      </c>
      <c r="J417" s="11">
        <v>26</v>
      </c>
      <c r="K417" s="11">
        <f t="shared" si="12"/>
        <v>1612</v>
      </c>
      <c r="L417" s="11">
        <v>0.15000000596046401</v>
      </c>
      <c r="M417" s="11">
        <v>193.44</v>
      </c>
      <c r="N417" s="11">
        <f t="shared" si="13"/>
        <v>1805.2899999940396</v>
      </c>
    </row>
    <row r="418" spans="3:14" x14ac:dyDescent="0.3">
      <c r="C418" s="6">
        <v>43833</v>
      </c>
      <c r="D418" s="7" t="s">
        <v>167</v>
      </c>
      <c r="E418" s="8">
        <v>2020</v>
      </c>
      <c r="F418" s="9" t="s">
        <v>88</v>
      </c>
      <c r="G418" s="9" t="s">
        <v>32</v>
      </c>
      <c r="H418" s="10" t="s">
        <v>140</v>
      </c>
      <c r="I418" s="7">
        <v>13</v>
      </c>
      <c r="J418" s="11">
        <v>64</v>
      </c>
      <c r="K418" s="11">
        <f t="shared" si="12"/>
        <v>832</v>
      </c>
      <c r="L418" s="11">
        <v>5.0000000745058101E-2</v>
      </c>
      <c r="M418" s="11">
        <v>99.84</v>
      </c>
      <c r="N418" s="11">
        <f t="shared" si="13"/>
        <v>931.78999999925497</v>
      </c>
    </row>
    <row r="419" spans="3:14" x14ac:dyDescent="0.3">
      <c r="C419" s="6">
        <v>43833</v>
      </c>
      <c r="D419" s="7" t="s">
        <v>167</v>
      </c>
      <c r="E419" s="8">
        <v>2020</v>
      </c>
      <c r="F419" s="9" t="s">
        <v>88</v>
      </c>
      <c r="G419" s="9" t="s">
        <v>16</v>
      </c>
      <c r="H419" s="10" t="s">
        <v>17</v>
      </c>
      <c r="I419" s="7">
        <v>80</v>
      </c>
      <c r="J419" s="11">
        <v>30</v>
      </c>
      <c r="K419" s="11">
        <f t="shared" si="12"/>
        <v>2400</v>
      </c>
      <c r="L419" s="11">
        <v>5.0000000745058101E-2</v>
      </c>
      <c r="M419" s="11">
        <v>288</v>
      </c>
      <c r="N419" s="11">
        <f t="shared" si="13"/>
        <v>2687.9499999992549</v>
      </c>
    </row>
    <row r="420" spans="3:14" x14ac:dyDescent="0.3">
      <c r="C420" s="6">
        <v>43833</v>
      </c>
      <c r="D420" s="7" t="s">
        <v>167</v>
      </c>
      <c r="E420" s="8">
        <v>2020</v>
      </c>
      <c r="F420" s="9" t="s">
        <v>88</v>
      </c>
      <c r="G420" s="9" t="s">
        <v>32</v>
      </c>
      <c r="H420" s="10" t="s">
        <v>39</v>
      </c>
      <c r="I420" s="7">
        <v>7</v>
      </c>
      <c r="J420" s="11">
        <v>65</v>
      </c>
      <c r="K420" s="11">
        <f t="shared" si="12"/>
        <v>455</v>
      </c>
      <c r="L420" s="11">
        <v>5.0000000745058101E-2</v>
      </c>
      <c r="M420" s="11">
        <v>54.6</v>
      </c>
      <c r="N420" s="11">
        <f t="shared" si="13"/>
        <v>509.54999999925496</v>
      </c>
    </row>
    <row r="421" spans="3:14" x14ac:dyDescent="0.3">
      <c r="C421" s="6">
        <v>43836</v>
      </c>
      <c r="D421" s="7" t="s">
        <v>167</v>
      </c>
      <c r="E421" s="8">
        <v>2020</v>
      </c>
      <c r="F421" s="9" t="s">
        <v>169</v>
      </c>
      <c r="G421" s="9" t="s">
        <v>26</v>
      </c>
      <c r="H421" s="10" t="s">
        <v>112</v>
      </c>
      <c r="I421" s="7">
        <v>44</v>
      </c>
      <c r="J421" s="11">
        <v>56</v>
      </c>
      <c r="K421" s="11">
        <f t="shared" si="12"/>
        <v>2464</v>
      </c>
      <c r="L421" s="11">
        <v>0</v>
      </c>
      <c r="M421" s="11">
        <v>295.68</v>
      </c>
      <c r="N421" s="11">
        <f t="shared" si="13"/>
        <v>2759.68</v>
      </c>
    </row>
    <row r="422" spans="3:14" x14ac:dyDescent="0.3">
      <c r="C422" s="6">
        <v>43837</v>
      </c>
      <c r="D422" s="7" t="s">
        <v>167</v>
      </c>
      <c r="E422" s="8">
        <v>2020</v>
      </c>
      <c r="F422" s="9" t="s">
        <v>161</v>
      </c>
      <c r="G422" s="9" t="s">
        <v>37</v>
      </c>
      <c r="H422" s="10" t="s">
        <v>104</v>
      </c>
      <c r="I422" s="7">
        <v>58</v>
      </c>
      <c r="J422" s="11">
        <v>16</v>
      </c>
      <c r="K422" s="11">
        <f t="shared" si="12"/>
        <v>928</v>
      </c>
      <c r="L422" s="11">
        <v>0</v>
      </c>
      <c r="M422" s="11">
        <v>111.36</v>
      </c>
      <c r="N422" s="11">
        <f t="shared" si="13"/>
        <v>1039.3599999999999</v>
      </c>
    </row>
    <row r="423" spans="3:14" x14ac:dyDescent="0.3">
      <c r="C423" s="6">
        <v>43837</v>
      </c>
      <c r="D423" s="7" t="s">
        <v>167</v>
      </c>
      <c r="E423" s="8">
        <v>2020</v>
      </c>
      <c r="F423" s="9" t="s">
        <v>161</v>
      </c>
      <c r="G423" s="9" t="s">
        <v>32</v>
      </c>
      <c r="H423" s="10" t="s">
        <v>59</v>
      </c>
      <c r="I423" s="7">
        <v>30</v>
      </c>
      <c r="J423" s="11">
        <v>60</v>
      </c>
      <c r="K423" s="11">
        <f t="shared" si="12"/>
        <v>1800</v>
      </c>
      <c r="L423" s="11">
        <v>0.10000000149011599</v>
      </c>
      <c r="M423" s="11">
        <v>216</v>
      </c>
      <c r="N423" s="11">
        <f t="shared" si="13"/>
        <v>2015.8999999985099</v>
      </c>
    </row>
    <row r="424" spans="3:14" x14ac:dyDescent="0.3">
      <c r="C424" s="6">
        <v>43837</v>
      </c>
      <c r="D424" s="7" t="s">
        <v>167</v>
      </c>
      <c r="E424" s="8">
        <v>2020</v>
      </c>
      <c r="F424" s="9" t="s">
        <v>161</v>
      </c>
      <c r="G424" s="9" t="s">
        <v>20</v>
      </c>
      <c r="H424" s="10" t="s">
        <v>92</v>
      </c>
      <c r="I424" s="7">
        <v>27</v>
      </c>
      <c r="J424" s="11">
        <v>38</v>
      </c>
      <c r="K424" s="11">
        <f t="shared" si="12"/>
        <v>1026</v>
      </c>
      <c r="L424" s="11">
        <v>0.10000000149011599</v>
      </c>
      <c r="M424" s="11">
        <v>123.11999999999999</v>
      </c>
      <c r="N424" s="11">
        <f t="shared" si="13"/>
        <v>1149.0199999985098</v>
      </c>
    </row>
    <row r="425" spans="3:14" x14ac:dyDescent="0.3">
      <c r="C425" s="6">
        <v>43837</v>
      </c>
      <c r="D425" s="7" t="s">
        <v>167</v>
      </c>
      <c r="E425" s="8">
        <v>2020</v>
      </c>
      <c r="F425" s="9" t="s">
        <v>161</v>
      </c>
      <c r="G425" s="9" t="s">
        <v>24</v>
      </c>
      <c r="H425" s="10" t="s">
        <v>48</v>
      </c>
      <c r="I425" s="7">
        <v>68</v>
      </c>
      <c r="J425" s="11">
        <v>51</v>
      </c>
      <c r="K425" s="11">
        <f t="shared" si="12"/>
        <v>3468</v>
      </c>
      <c r="L425" s="11">
        <v>0.10000000149011599</v>
      </c>
      <c r="M425" s="11">
        <v>416.15999999999997</v>
      </c>
      <c r="N425" s="11">
        <f t="shared" si="13"/>
        <v>3884.0599999985097</v>
      </c>
    </row>
    <row r="426" spans="3:14" x14ac:dyDescent="0.3">
      <c r="C426" s="6">
        <v>43837</v>
      </c>
      <c r="D426" s="7" t="s">
        <v>167</v>
      </c>
      <c r="E426" s="8">
        <v>2020</v>
      </c>
      <c r="F426" s="9" t="s">
        <v>161</v>
      </c>
      <c r="G426" s="9" t="s">
        <v>24</v>
      </c>
      <c r="H426" s="10" t="s">
        <v>76</v>
      </c>
      <c r="I426" s="7">
        <v>47</v>
      </c>
      <c r="J426" s="11">
        <v>92</v>
      </c>
      <c r="K426" s="11">
        <f t="shared" si="12"/>
        <v>4324</v>
      </c>
      <c r="L426" s="11">
        <v>0.10000000149011599</v>
      </c>
      <c r="M426" s="11">
        <v>518.88</v>
      </c>
      <c r="N426" s="11">
        <f t="shared" si="13"/>
        <v>4842.77999999851</v>
      </c>
    </row>
    <row r="427" spans="3:14" x14ac:dyDescent="0.3">
      <c r="C427" s="6">
        <v>43837</v>
      </c>
      <c r="D427" s="7" t="s">
        <v>167</v>
      </c>
      <c r="E427" s="8">
        <v>2020</v>
      </c>
      <c r="F427" s="9" t="s">
        <v>170</v>
      </c>
      <c r="G427" s="9" t="s">
        <v>14</v>
      </c>
      <c r="H427" s="10" t="s">
        <v>15</v>
      </c>
      <c r="I427" s="7">
        <v>80</v>
      </c>
      <c r="J427" s="11">
        <v>61</v>
      </c>
      <c r="K427" s="11">
        <f t="shared" si="12"/>
        <v>4880</v>
      </c>
      <c r="L427" s="11">
        <v>0</v>
      </c>
      <c r="M427" s="11">
        <v>585.6</v>
      </c>
      <c r="N427" s="11">
        <f t="shared" si="13"/>
        <v>5465.6</v>
      </c>
    </row>
    <row r="428" spans="3:14" x14ac:dyDescent="0.3">
      <c r="C428" s="6">
        <v>43837</v>
      </c>
      <c r="D428" s="7" t="s">
        <v>167</v>
      </c>
      <c r="E428" s="8">
        <v>2020</v>
      </c>
      <c r="F428" s="9" t="s">
        <v>170</v>
      </c>
      <c r="G428" s="9" t="s">
        <v>14</v>
      </c>
      <c r="H428" s="10" t="s">
        <v>117</v>
      </c>
      <c r="I428" s="7">
        <v>85</v>
      </c>
      <c r="J428" s="11">
        <v>34</v>
      </c>
      <c r="K428" s="11">
        <f t="shared" si="12"/>
        <v>2890</v>
      </c>
      <c r="L428" s="11">
        <v>0</v>
      </c>
      <c r="M428" s="11">
        <v>346.8</v>
      </c>
      <c r="N428" s="11">
        <f t="shared" si="13"/>
        <v>3236.8</v>
      </c>
    </row>
    <row r="429" spans="3:14" x14ac:dyDescent="0.3">
      <c r="C429" s="6">
        <v>43837</v>
      </c>
      <c r="D429" s="7" t="s">
        <v>167</v>
      </c>
      <c r="E429" s="8">
        <v>2020</v>
      </c>
      <c r="F429" s="9" t="s">
        <v>170</v>
      </c>
      <c r="G429" s="9" t="s">
        <v>14</v>
      </c>
      <c r="H429" s="10" t="s">
        <v>87</v>
      </c>
      <c r="I429" s="7">
        <v>57</v>
      </c>
      <c r="J429" s="11">
        <v>46</v>
      </c>
      <c r="K429" s="11">
        <f t="shared" si="12"/>
        <v>2622</v>
      </c>
      <c r="L429" s="11">
        <v>0</v>
      </c>
      <c r="M429" s="11">
        <v>314.64</v>
      </c>
      <c r="N429" s="11">
        <f t="shared" si="13"/>
        <v>2936.64</v>
      </c>
    </row>
    <row r="430" spans="3:14" x14ac:dyDescent="0.3">
      <c r="C430" s="6">
        <v>43838</v>
      </c>
      <c r="D430" s="7" t="s">
        <v>167</v>
      </c>
      <c r="E430" s="8">
        <v>2020</v>
      </c>
      <c r="F430" s="9" t="s">
        <v>171</v>
      </c>
      <c r="G430" s="9" t="s">
        <v>24</v>
      </c>
      <c r="H430" s="10" t="s">
        <v>60</v>
      </c>
      <c r="I430" s="7">
        <v>96</v>
      </c>
      <c r="J430" s="11">
        <v>32</v>
      </c>
      <c r="K430" s="11">
        <f t="shared" si="12"/>
        <v>3072</v>
      </c>
      <c r="L430" s="11">
        <v>0</v>
      </c>
      <c r="M430" s="11">
        <v>368.64</v>
      </c>
      <c r="N430" s="11">
        <f t="shared" si="13"/>
        <v>3440.64</v>
      </c>
    </row>
    <row r="431" spans="3:14" x14ac:dyDescent="0.3">
      <c r="C431" s="6">
        <v>43838</v>
      </c>
      <c r="D431" s="7" t="s">
        <v>167</v>
      </c>
      <c r="E431" s="8">
        <v>2020</v>
      </c>
      <c r="F431" s="9" t="s">
        <v>171</v>
      </c>
      <c r="G431" s="9" t="s">
        <v>42</v>
      </c>
      <c r="H431" s="10" t="s">
        <v>109</v>
      </c>
      <c r="I431" s="7">
        <v>78</v>
      </c>
      <c r="J431" s="11">
        <v>92</v>
      </c>
      <c r="K431" s="11">
        <f t="shared" si="12"/>
        <v>7176</v>
      </c>
      <c r="L431" s="11">
        <v>0</v>
      </c>
      <c r="M431" s="11">
        <v>861.12</v>
      </c>
      <c r="N431" s="11">
        <f t="shared" si="13"/>
        <v>8037.12</v>
      </c>
    </row>
    <row r="432" spans="3:14" x14ac:dyDescent="0.3">
      <c r="C432" s="6">
        <v>43838</v>
      </c>
      <c r="D432" s="7" t="s">
        <v>167</v>
      </c>
      <c r="E432" s="8">
        <v>2020</v>
      </c>
      <c r="F432" s="9" t="s">
        <v>171</v>
      </c>
      <c r="G432" s="9" t="s">
        <v>32</v>
      </c>
      <c r="H432" s="10" t="s">
        <v>62</v>
      </c>
      <c r="I432" s="7">
        <v>4</v>
      </c>
      <c r="J432" s="11">
        <v>24</v>
      </c>
      <c r="K432" s="11">
        <f t="shared" si="12"/>
        <v>96</v>
      </c>
      <c r="L432" s="11">
        <v>0</v>
      </c>
      <c r="M432" s="11">
        <v>11.52</v>
      </c>
      <c r="N432" s="11">
        <f t="shared" si="13"/>
        <v>107.52</v>
      </c>
    </row>
    <row r="433" spans="3:14" x14ac:dyDescent="0.3">
      <c r="C433" s="6">
        <v>43839</v>
      </c>
      <c r="D433" s="7" t="s">
        <v>167</v>
      </c>
      <c r="E433" s="8">
        <v>2020</v>
      </c>
      <c r="F433" s="9" t="s">
        <v>172</v>
      </c>
      <c r="G433" s="9" t="s">
        <v>20</v>
      </c>
      <c r="H433" s="10" t="s">
        <v>136</v>
      </c>
      <c r="I433" s="7">
        <v>20</v>
      </c>
      <c r="J433" s="11">
        <v>98</v>
      </c>
      <c r="K433" s="11">
        <f t="shared" si="12"/>
        <v>1960</v>
      </c>
      <c r="L433" s="11">
        <v>0</v>
      </c>
      <c r="M433" s="11">
        <v>235.2</v>
      </c>
      <c r="N433" s="11">
        <f t="shared" si="13"/>
        <v>2195.1999999999998</v>
      </c>
    </row>
    <row r="434" spans="3:14" x14ac:dyDescent="0.3">
      <c r="C434" s="6">
        <v>43839</v>
      </c>
      <c r="D434" s="7" t="s">
        <v>167</v>
      </c>
      <c r="E434" s="8">
        <v>2020</v>
      </c>
      <c r="F434" s="9" t="s">
        <v>172</v>
      </c>
      <c r="G434" s="9" t="s">
        <v>32</v>
      </c>
      <c r="H434" s="10" t="s">
        <v>59</v>
      </c>
      <c r="I434" s="7">
        <v>29</v>
      </c>
      <c r="J434" s="11">
        <v>51</v>
      </c>
      <c r="K434" s="11">
        <f t="shared" si="12"/>
        <v>1479</v>
      </c>
      <c r="L434" s="11">
        <v>0</v>
      </c>
      <c r="M434" s="11">
        <v>177.48</v>
      </c>
      <c r="N434" s="11">
        <f t="shared" si="13"/>
        <v>1656.48</v>
      </c>
    </row>
    <row r="435" spans="3:14" x14ac:dyDescent="0.3">
      <c r="C435" s="6">
        <v>43840</v>
      </c>
      <c r="D435" s="7" t="s">
        <v>167</v>
      </c>
      <c r="E435" s="8">
        <v>2020</v>
      </c>
      <c r="F435" s="9" t="s">
        <v>166</v>
      </c>
      <c r="G435" s="9" t="s">
        <v>14</v>
      </c>
      <c r="H435" s="10" t="s">
        <v>34</v>
      </c>
      <c r="I435" s="7">
        <v>96</v>
      </c>
      <c r="J435" s="11">
        <v>65</v>
      </c>
      <c r="K435" s="11">
        <f t="shared" si="12"/>
        <v>6240</v>
      </c>
      <c r="L435" s="11">
        <v>0</v>
      </c>
      <c r="M435" s="11">
        <v>748.8</v>
      </c>
      <c r="N435" s="11">
        <f t="shared" si="13"/>
        <v>6988.8</v>
      </c>
    </row>
    <row r="436" spans="3:14" x14ac:dyDescent="0.3">
      <c r="C436" s="6">
        <v>43840</v>
      </c>
      <c r="D436" s="7" t="s">
        <v>167</v>
      </c>
      <c r="E436" s="8">
        <v>2020</v>
      </c>
      <c r="F436" s="9" t="s">
        <v>166</v>
      </c>
      <c r="G436" s="9" t="s">
        <v>14</v>
      </c>
      <c r="H436" s="10" t="s">
        <v>49</v>
      </c>
      <c r="I436" s="7">
        <v>36</v>
      </c>
      <c r="J436" s="11">
        <v>47</v>
      </c>
      <c r="K436" s="11">
        <f t="shared" si="12"/>
        <v>1692</v>
      </c>
      <c r="L436" s="11">
        <v>0</v>
      </c>
      <c r="M436" s="11">
        <v>203.04</v>
      </c>
      <c r="N436" s="11">
        <f t="shared" si="13"/>
        <v>1895.04</v>
      </c>
    </row>
    <row r="437" spans="3:14" x14ac:dyDescent="0.3">
      <c r="C437" s="6">
        <v>43840</v>
      </c>
      <c r="D437" s="7" t="s">
        <v>167</v>
      </c>
      <c r="E437" s="8">
        <v>2020</v>
      </c>
      <c r="F437" s="9" t="s">
        <v>166</v>
      </c>
      <c r="G437" s="9" t="s">
        <v>24</v>
      </c>
      <c r="H437" s="10" t="s">
        <v>25</v>
      </c>
      <c r="I437" s="7">
        <v>5</v>
      </c>
      <c r="J437" s="11">
        <v>19</v>
      </c>
      <c r="K437" s="11">
        <f t="shared" si="12"/>
        <v>95</v>
      </c>
      <c r="L437" s="11">
        <v>0.20000000298023199</v>
      </c>
      <c r="M437" s="11">
        <v>11.4</v>
      </c>
      <c r="N437" s="11">
        <f t="shared" si="13"/>
        <v>106.19999999701977</v>
      </c>
    </row>
    <row r="438" spans="3:14" x14ac:dyDescent="0.3">
      <c r="C438" s="6">
        <v>43840</v>
      </c>
      <c r="D438" s="7" t="s">
        <v>167</v>
      </c>
      <c r="E438" s="8">
        <v>2020</v>
      </c>
      <c r="F438" s="9" t="s">
        <v>166</v>
      </c>
      <c r="G438" s="9" t="s">
        <v>26</v>
      </c>
      <c r="H438" s="10" t="s">
        <v>94</v>
      </c>
      <c r="I438" s="7">
        <v>7</v>
      </c>
      <c r="J438" s="11">
        <v>51</v>
      </c>
      <c r="K438" s="11">
        <f t="shared" si="12"/>
        <v>357</v>
      </c>
      <c r="L438" s="11">
        <v>0.20000000298023199</v>
      </c>
      <c r="M438" s="11">
        <v>42.839999999999996</v>
      </c>
      <c r="N438" s="11">
        <f t="shared" si="13"/>
        <v>399.63999999701974</v>
      </c>
    </row>
    <row r="439" spans="3:14" x14ac:dyDescent="0.3">
      <c r="C439" s="6">
        <v>43840</v>
      </c>
      <c r="D439" s="7" t="s">
        <v>167</v>
      </c>
      <c r="E439" s="8">
        <v>2020</v>
      </c>
      <c r="F439" s="9" t="s">
        <v>166</v>
      </c>
      <c r="G439" s="9" t="s">
        <v>14</v>
      </c>
      <c r="H439" s="10" t="s">
        <v>49</v>
      </c>
      <c r="I439" s="7">
        <v>84</v>
      </c>
      <c r="J439" s="11">
        <v>37</v>
      </c>
      <c r="K439" s="11">
        <f t="shared" si="12"/>
        <v>3108</v>
      </c>
      <c r="L439" s="11">
        <v>0.20000000298023199</v>
      </c>
      <c r="M439" s="11">
        <v>372.96</v>
      </c>
      <c r="N439" s="11">
        <f t="shared" si="13"/>
        <v>3480.7599999970198</v>
      </c>
    </row>
    <row r="440" spans="3:14" x14ac:dyDescent="0.3">
      <c r="C440" s="6">
        <v>43843</v>
      </c>
      <c r="D440" s="7" t="s">
        <v>167</v>
      </c>
      <c r="E440" s="8">
        <v>2020</v>
      </c>
      <c r="F440" s="9" t="s">
        <v>73</v>
      </c>
      <c r="G440" s="9" t="s">
        <v>20</v>
      </c>
      <c r="H440" s="10" t="s">
        <v>136</v>
      </c>
      <c r="I440" s="7">
        <v>19</v>
      </c>
      <c r="J440" s="11">
        <v>58</v>
      </c>
      <c r="K440" s="11">
        <f t="shared" si="12"/>
        <v>1102</v>
      </c>
      <c r="L440" s="11">
        <v>0.10000000149011599</v>
      </c>
      <c r="M440" s="11">
        <v>132.24</v>
      </c>
      <c r="N440" s="11">
        <f t="shared" si="13"/>
        <v>1234.1399999985099</v>
      </c>
    </row>
    <row r="441" spans="3:14" x14ac:dyDescent="0.3">
      <c r="C441" s="6">
        <v>43844</v>
      </c>
      <c r="D441" s="7" t="s">
        <v>167</v>
      </c>
      <c r="E441" s="8">
        <v>2020</v>
      </c>
      <c r="F441" s="9" t="s">
        <v>150</v>
      </c>
      <c r="G441" s="9" t="s">
        <v>37</v>
      </c>
      <c r="H441" s="10" t="s">
        <v>104</v>
      </c>
      <c r="I441" s="7">
        <v>18</v>
      </c>
      <c r="J441" s="11">
        <v>47</v>
      </c>
      <c r="K441" s="11">
        <f t="shared" si="12"/>
        <v>846</v>
      </c>
      <c r="L441" s="11">
        <v>0</v>
      </c>
      <c r="M441" s="11">
        <v>101.52</v>
      </c>
      <c r="N441" s="11">
        <f t="shared" si="13"/>
        <v>947.52</v>
      </c>
    </row>
    <row r="442" spans="3:14" x14ac:dyDescent="0.3">
      <c r="C442" s="6">
        <v>43844</v>
      </c>
      <c r="D442" s="7" t="s">
        <v>167</v>
      </c>
      <c r="E442" s="8">
        <v>2020</v>
      </c>
      <c r="F442" s="9" t="s">
        <v>150</v>
      </c>
      <c r="G442" s="9" t="s">
        <v>32</v>
      </c>
      <c r="H442" s="10" t="s">
        <v>62</v>
      </c>
      <c r="I442" s="7">
        <v>33</v>
      </c>
      <c r="J442" s="11">
        <v>60</v>
      </c>
      <c r="K442" s="11">
        <f t="shared" si="12"/>
        <v>1980</v>
      </c>
      <c r="L442" s="11">
        <v>0</v>
      </c>
      <c r="M442" s="11">
        <v>237.6</v>
      </c>
      <c r="N442" s="11">
        <f t="shared" si="13"/>
        <v>2217.6</v>
      </c>
    </row>
    <row r="443" spans="3:14" x14ac:dyDescent="0.3">
      <c r="C443" s="6">
        <v>43844</v>
      </c>
      <c r="D443" s="7" t="s">
        <v>167</v>
      </c>
      <c r="E443" s="8">
        <v>2020</v>
      </c>
      <c r="F443" s="9" t="s">
        <v>150</v>
      </c>
      <c r="G443" s="9" t="s">
        <v>37</v>
      </c>
      <c r="H443" s="10" t="s">
        <v>77</v>
      </c>
      <c r="I443" s="7">
        <v>25</v>
      </c>
      <c r="J443" s="11">
        <v>70</v>
      </c>
      <c r="K443" s="11">
        <f t="shared" si="12"/>
        <v>1750</v>
      </c>
      <c r="L443" s="11">
        <v>0</v>
      </c>
      <c r="M443" s="11">
        <v>210</v>
      </c>
      <c r="N443" s="11">
        <f t="shared" si="13"/>
        <v>1960</v>
      </c>
    </row>
    <row r="444" spans="3:14" x14ac:dyDescent="0.3">
      <c r="C444" s="6">
        <v>43844</v>
      </c>
      <c r="D444" s="7" t="s">
        <v>167</v>
      </c>
      <c r="E444" s="8">
        <v>2020</v>
      </c>
      <c r="F444" s="9" t="s">
        <v>149</v>
      </c>
      <c r="G444" s="9" t="s">
        <v>32</v>
      </c>
      <c r="H444" s="10" t="s">
        <v>100</v>
      </c>
      <c r="I444" s="7">
        <v>61</v>
      </c>
      <c r="J444" s="11">
        <v>89</v>
      </c>
      <c r="K444" s="11">
        <f t="shared" si="12"/>
        <v>5429</v>
      </c>
      <c r="L444" s="11">
        <v>5.0000000745058101E-2</v>
      </c>
      <c r="M444" s="11">
        <v>651.48</v>
      </c>
      <c r="N444" s="11">
        <f t="shared" si="13"/>
        <v>6080.4299999992545</v>
      </c>
    </row>
    <row r="445" spans="3:14" x14ac:dyDescent="0.3">
      <c r="C445" s="6">
        <v>43844</v>
      </c>
      <c r="D445" s="7" t="s">
        <v>167</v>
      </c>
      <c r="E445" s="8">
        <v>2020</v>
      </c>
      <c r="F445" s="9" t="s">
        <v>149</v>
      </c>
      <c r="G445" s="9" t="s">
        <v>14</v>
      </c>
      <c r="H445" s="10" t="s">
        <v>34</v>
      </c>
      <c r="I445" s="7">
        <v>16</v>
      </c>
      <c r="J445" s="11">
        <v>18</v>
      </c>
      <c r="K445" s="11">
        <f t="shared" si="12"/>
        <v>288</v>
      </c>
      <c r="L445" s="11">
        <v>0</v>
      </c>
      <c r="M445" s="11">
        <v>34.56</v>
      </c>
      <c r="N445" s="11">
        <f t="shared" si="13"/>
        <v>322.56</v>
      </c>
    </row>
    <row r="446" spans="3:14" x14ac:dyDescent="0.3">
      <c r="C446" s="6">
        <v>43845</v>
      </c>
      <c r="D446" s="7" t="s">
        <v>167</v>
      </c>
      <c r="E446" s="8">
        <v>2020</v>
      </c>
      <c r="F446" s="9" t="s">
        <v>163</v>
      </c>
      <c r="G446" s="9" t="s">
        <v>42</v>
      </c>
      <c r="H446" s="10" t="s">
        <v>72</v>
      </c>
      <c r="I446" s="7">
        <v>61</v>
      </c>
      <c r="J446" s="11">
        <v>63</v>
      </c>
      <c r="K446" s="11">
        <f t="shared" si="12"/>
        <v>3843</v>
      </c>
      <c r="L446" s="11">
        <v>0</v>
      </c>
      <c r="M446" s="11">
        <v>461.15999999999997</v>
      </c>
      <c r="N446" s="11">
        <f t="shared" si="13"/>
        <v>4304.16</v>
      </c>
    </row>
    <row r="447" spans="3:14" x14ac:dyDescent="0.3">
      <c r="C447" s="6">
        <v>43845</v>
      </c>
      <c r="D447" s="7" t="s">
        <v>167</v>
      </c>
      <c r="E447" s="8">
        <v>2020</v>
      </c>
      <c r="F447" s="9" t="s">
        <v>163</v>
      </c>
      <c r="G447" s="9" t="s">
        <v>14</v>
      </c>
      <c r="H447" s="10" t="s">
        <v>34</v>
      </c>
      <c r="I447" s="7">
        <v>76</v>
      </c>
      <c r="J447" s="11">
        <v>93</v>
      </c>
      <c r="K447" s="11">
        <f t="shared" si="12"/>
        <v>7068</v>
      </c>
      <c r="L447" s="11">
        <v>0</v>
      </c>
      <c r="M447" s="11">
        <v>848.16</v>
      </c>
      <c r="N447" s="11">
        <f t="shared" si="13"/>
        <v>7916.16</v>
      </c>
    </row>
    <row r="448" spans="3:14" x14ac:dyDescent="0.3">
      <c r="C448" s="6">
        <v>43846</v>
      </c>
      <c r="D448" s="7" t="s">
        <v>167</v>
      </c>
      <c r="E448" s="8">
        <v>2020</v>
      </c>
      <c r="F448" s="9" t="s">
        <v>73</v>
      </c>
      <c r="G448" s="9" t="s">
        <v>32</v>
      </c>
      <c r="H448" s="10" t="s">
        <v>100</v>
      </c>
      <c r="I448" s="7">
        <v>65</v>
      </c>
      <c r="J448" s="11">
        <v>30</v>
      </c>
      <c r="K448" s="11">
        <f t="shared" si="12"/>
        <v>1950</v>
      </c>
      <c r="L448" s="11">
        <v>0</v>
      </c>
      <c r="M448" s="11">
        <v>234</v>
      </c>
      <c r="N448" s="11">
        <f t="shared" si="13"/>
        <v>2184</v>
      </c>
    </row>
    <row r="449" spans="3:14" x14ac:dyDescent="0.3">
      <c r="C449" s="6">
        <v>43846</v>
      </c>
      <c r="D449" s="7" t="s">
        <v>167</v>
      </c>
      <c r="E449" s="8">
        <v>2020</v>
      </c>
      <c r="F449" s="9" t="s">
        <v>73</v>
      </c>
      <c r="G449" s="9" t="s">
        <v>42</v>
      </c>
      <c r="H449" s="10" t="s">
        <v>51</v>
      </c>
      <c r="I449" s="7">
        <v>84</v>
      </c>
      <c r="J449" s="11">
        <v>74</v>
      </c>
      <c r="K449" s="11">
        <f t="shared" si="12"/>
        <v>6216</v>
      </c>
      <c r="L449" s="11">
        <v>0</v>
      </c>
      <c r="M449" s="11">
        <v>745.92</v>
      </c>
      <c r="N449" s="11">
        <f t="shared" si="13"/>
        <v>6961.92</v>
      </c>
    </row>
    <row r="450" spans="3:14" x14ac:dyDescent="0.3">
      <c r="C450" s="6">
        <v>43846</v>
      </c>
      <c r="D450" s="7" t="s">
        <v>167</v>
      </c>
      <c r="E450" s="8">
        <v>2020</v>
      </c>
      <c r="F450" s="9" t="s">
        <v>73</v>
      </c>
      <c r="G450" s="9" t="s">
        <v>16</v>
      </c>
      <c r="H450" s="10" t="s">
        <v>30</v>
      </c>
      <c r="I450" s="7">
        <v>57</v>
      </c>
      <c r="J450" s="11">
        <v>36</v>
      </c>
      <c r="K450" s="11">
        <f t="shared" si="12"/>
        <v>2052</v>
      </c>
      <c r="L450" s="11">
        <v>0</v>
      </c>
      <c r="M450" s="11">
        <v>246.23999999999998</v>
      </c>
      <c r="N450" s="11">
        <f t="shared" si="13"/>
        <v>2298.2399999999998</v>
      </c>
    </row>
    <row r="451" spans="3:14" x14ac:dyDescent="0.3">
      <c r="C451" s="6">
        <v>43846</v>
      </c>
      <c r="D451" s="7" t="s">
        <v>167</v>
      </c>
      <c r="E451" s="8">
        <v>2020</v>
      </c>
      <c r="F451" s="9" t="s">
        <v>146</v>
      </c>
      <c r="G451" s="9" t="s">
        <v>37</v>
      </c>
      <c r="H451" s="10" t="s">
        <v>139</v>
      </c>
      <c r="I451" s="7">
        <v>55</v>
      </c>
      <c r="J451" s="11">
        <v>40</v>
      </c>
      <c r="K451" s="11">
        <f t="shared" ref="K451:K514" si="14">J451*I451</f>
        <v>2200</v>
      </c>
      <c r="L451" s="11">
        <v>0</v>
      </c>
      <c r="M451" s="11">
        <v>264</v>
      </c>
      <c r="N451" s="11">
        <f t="shared" ref="N451:N514" si="15">K451-L451+M451</f>
        <v>2464</v>
      </c>
    </row>
    <row r="452" spans="3:14" x14ac:dyDescent="0.3">
      <c r="C452" s="6">
        <v>43846</v>
      </c>
      <c r="D452" s="7" t="s">
        <v>167</v>
      </c>
      <c r="E452" s="8">
        <v>2020</v>
      </c>
      <c r="F452" s="9" t="s">
        <v>146</v>
      </c>
      <c r="G452" s="9" t="s">
        <v>24</v>
      </c>
      <c r="H452" s="10" t="s">
        <v>107</v>
      </c>
      <c r="I452" s="7">
        <v>64</v>
      </c>
      <c r="J452" s="11">
        <v>27</v>
      </c>
      <c r="K452" s="11">
        <f t="shared" si="14"/>
        <v>1728</v>
      </c>
      <c r="L452" s="11">
        <v>0.25</v>
      </c>
      <c r="M452" s="11">
        <v>207.35999999999999</v>
      </c>
      <c r="N452" s="11">
        <f t="shared" si="15"/>
        <v>1935.11</v>
      </c>
    </row>
    <row r="453" spans="3:14" x14ac:dyDescent="0.3">
      <c r="C453" s="6">
        <v>43846</v>
      </c>
      <c r="D453" s="7" t="s">
        <v>167</v>
      </c>
      <c r="E453" s="8">
        <v>2020</v>
      </c>
      <c r="F453" s="9" t="s">
        <v>146</v>
      </c>
      <c r="G453" s="9" t="s">
        <v>32</v>
      </c>
      <c r="H453" s="10" t="s">
        <v>110</v>
      </c>
      <c r="I453" s="7">
        <v>84</v>
      </c>
      <c r="J453" s="11">
        <v>67</v>
      </c>
      <c r="K453" s="11">
        <f t="shared" si="14"/>
        <v>5628</v>
      </c>
      <c r="L453" s="11">
        <v>0.25</v>
      </c>
      <c r="M453" s="11">
        <v>675.36</v>
      </c>
      <c r="N453" s="11">
        <f t="shared" si="15"/>
        <v>6303.11</v>
      </c>
    </row>
    <row r="454" spans="3:14" x14ac:dyDescent="0.3">
      <c r="C454" s="6">
        <v>43846</v>
      </c>
      <c r="D454" s="7" t="s">
        <v>167</v>
      </c>
      <c r="E454" s="8">
        <v>2020</v>
      </c>
      <c r="F454" s="9" t="s">
        <v>146</v>
      </c>
      <c r="G454" s="9" t="s">
        <v>26</v>
      </c>
      <c r="H454" s="10" t="s">
        <v>52</v>
      </c>
      <c r="I454" s="7">
        <v>63</v>
      </c>
      <c r="J454" s="11">
        <v>29</v>
      </c>
      <c r="K454" s="11">
        <f t="shared" si="14"/>
        <v>1827</v>
      </c>
      <c r="L454" s="11">
        <v>0</v>
      </c>
      <c r="M454" s="11">
        <v>219.23999999999998</v>
      </c>
      <c r="N454" s="11">
        <f t="shared" si="15"/>
        <v>2046.24</v>
      </c>
    </row>
    <row r="455" spans="3:14" x14ac:dyDescent="0.3">
      <c r="C455" s="6">
        <v>43847</v>
      </c>
      <c r="D455" s="7" t="s">
        <v>167</v>
      </c>
      <c r="E455" s="8">
        <v>2020</v>
      </c>
      <c r="F455" s="9" t="s">
        <v>84</v>
      </c>
      <c r="G455" s="9" t="s">
        <v>37</v>
      </c>
      <c r="H455" s="10" t="s">
        <v>46</v>
      </c>
      <c r="I455" s="7">
        <v>22</v>
      </c>
      <c r="J455" s="11">
        <v>35</v>
      </c>
      <c r="K455" s="11">
        <f t="shared" si="14"/>
        <v>770</v>
      </c>
      <c r="L455" s="11">
        <v>0</v>
      </c>
      <c r="M455" s="11">
        <v>92.399999999999991</v>
      </c>
      <c r="N455" s="11">
        <f t="shared" si="15"/>
        <v>862.4</v>
      </c>
    </row>
    <row r="456" spans="3:14" x14ac:dyDescent="0.3">
      <c r="C456" s="6">
        <v>43847</v>
      </c>
      <c r="D456" s="7" t="s">
        <v>167</v>
      </c>
      <c r="E456" s="8">
        <v>2020</v>
      </c>
      <c r="F456" s="9" t="s">
        <v>84</v>
      </c>
      <c r="G456" s="9" t="s">
        <v>32</v>
      </c>
      <c r="H456" s="10" t="s">
        <v>143</v>
      </c>
      <c r="I456" s="7">
        <v>75</v>
      </c>
      <c r="J456" s="11">
        <v>22</v>
      </c>
      <c r="K456" s="11">
        <f t="shared" si="14"/>
        <v>1650</v>
      </c>
      <c r="L456" s="11">
        <v>0</v>
      </c>
      <c r="M456" s="11">
        <v>198</v>
      </c>
      <c r="N456" s="11">
        <f t="shared" si="15"/>
        <v>1848</v>
      </c>
    </row>
    <row r="457" spans="3:14" x14ac:dyDescent="0.3">
      <c r="C457" s="6">
        <v>43847</v>
      </c>
      <c r="D457" s="7" t="s">
        <v>167</v>
      </c>
      <c r="E457" s="8">
        <v>2020</v>
      </c>
      <c r="F457" s="9" t="s">
        <v>84</v>
      </c>
      <c r="G457" s="9" t="s">
        <v>26</v>
      </c>
      <c r="H457" s="10" t="s">
        <v>173</v>
      </c>
      <c r="I457" s="7">
        <v>5</v>
      </c>
      <c r="J457" s="11">
        <v>100</v>
      </c>
      <c r="K457" s="11">
        <f t="shared" si="14"/>
        <v>500</v>
      </c>
      <c r="L457" s="11">
        <v>0</v>
      </c>
      <c r="M457" s="11">
        <v>60</v>
      </c>
      <c r="N457" s="11">
        <f t="shared" si="15"/>
        <v>560</v>
      </c>
    </row>
    <row r="458" spans="3:14" x14ac:dyDescent="0.3">
      <c r="C458" s="6">
        <v>43847</v>
      </c>
      <c r="D458" s="7" t="s">
        <v>167</v>
      </c>
      <c r="E458" s="8">
        <v>2020</v>
      </c>
      <c r="F458" s="9" t="s">
        <v>84</v>
      </c>
      <c r="G458" s="9" t="s">
        <v>20</v>
      </c>
      <c r="H458" s="10" t="s">
        <v>44</v>
      </c>
      <c r="I458" s="7">
        <v>65</v>
      </c>
      <c r="J458" s="11">
        <v>92</v>
      </c>
      <c r="K458" s="11">
        <f t="shared" si="14"/>
        <v>5980</v>
      </c>
      <c r="L458" s="11">
        <v>0</v>
      </c>
      <c r="M458" s="11">
        <v>717.6</v>
      </c>
      <c r="N458" s="11">
        <f t="shared" si="15"/>
        <v>6697.6</v>
      </c>
    </row>
    <row r="459" spans="3:14" x14ac:dyDescent="0.3">
      <c r="C459" s="6">
        <v>43850</v>
      </c>
      <c r="D459" s="7" t="s">
        <v>167</v>
      </c>
      <c r="E459" s="8">
        <v>2020</v>
      </c>
      <c r="F459" s="9" t="s">
        <v>45</v>
      </c>
      <c r="G459" s="9" t="s">
        <v>14</v>
      </c>
      <c r="H459" s="10" t="s">
        <v>35</v>
      </c>
      <c r="I459" s="7">
        <v>87</v>
      </c>
      <c r="J459" s="11">
        <v>12</v>
      </c>
      <c r="K459" s="11">
        <f t="shared" si="14"/>
        <v>1044</v>
      </c>
      <c r="L459" s="11">
        <v>5.0000000745058101E-2</v>
      </c>
      <c r="M459" s="11">
        <v>125.28</v>
      </c>
      <c r="N459" s="11">
        <f t="shared" si="15"/>
        <v>1169.2299999992549</v>
      </c>
    </row>
    <row r="460" spans="3:14" x14ac:dyDescent="0.3">
      <c r="C460" s="6">
        <v>43850</v>
      </c>
      <c r="D460" s="7" t="s">
        <v>167</v>
      </c>
      <c r="E460" s="8">
        <v>2020</v>
      </c>
      <c r="F460" s="9" t="s">
        <v>45</v>
      </c>
      <c r="G460" s="9" t="s">
        <v>14</v>
      </c>
      <c r="H460" s="10" t="s">
        <v>117</v>
      </c>
      <c r="I460" s="7">
        <v>70</v>
      </c>
      <c r="J460" s="11">
        <v>12</v>
      </c>
      <c r="K460" s="11">
        <f t="shared" si="14"/>
        <v>840</v>
      </c>
      <c r="L460" s="11">
        <v>5.0000000745058101E-2</v>
      </c>
      <c r="M460" s="11">
        <v>100.8</v>
      </c>
      <c r="N460" s="11">
        <f t="shared" si="15"/>
        <v>940.7499999992549</v>
      </c>
    </row>
    <row r="461" spans="3:14" x14ac:dyDescent="0.3">
      <c r="C461" s="6">
        <v>43851</v>
      </c>
      <c r="D461" s="7" t="s">
        <v>167</v>
      </c>
      <c r="E461" s="8">
        <v>2020</v>
      </c>
      <c r="F461" s="9" t="s">
        <v>50</v>
      </c>
      <c r="G461" s="9" t="s">
        <v>42</v>
      </c>
      <c r="H461" s="10" t="s">
        <v>174</v>
      </c>
      <c r="I461" s="7">
        <v>90</v>
      </c>
      <c r="J461" s="11">
        <v>52</v>
      </c>
      <c r="K461" s="11">
        <f t="shared" si="14"/>
        <v>4680</v>
      </c>
      <c r="L461" s="11">
        <v>0.10000000149011599</v>
      </c>
      <c r="M461" s="11">
        <v>561.6</v>
      </c>
      <c r="N461" s="11">
        <f t="shared" si="15"/>
        <v>5241.4999999985102</v>
      </c>
    </row>
    <row r="462" spans="3:14" x14ac:dyDescent="0.3">
      <c r="C462" s="6">
        <v>43851</v>
      </c>
      <c r="D462" s="7" t="s">
        <v>167</v>
      </c>
      <c r="E462" s="8">
        <v>2020</v>
      </c>
      <c r="F462" s="9" t="s">
        <v>50</v>
      </c>
      <c r="G462" s="9" t="s">
        <v>24</v>
      </c>
      <c r="H462" s="10" t="s">
        <v>90</v>
      </c>
      <c r="I462" s="7">
        <v>46</v>
      </c>
      <c r="J462" s="11">
        <v>84</v>
      </c>
      <c r="K462" s="11">
        <f t="shared" si="14"/>
        <v>3864</v>
      </c>
      <c r="L462" s="11">
        <v>0.10000000149011599</v>
      </c>
      <c r="M462" s="11">
        <v>463.68</v>
      </c>
      <c r="N462" s="11">
        <f t="shared" si="15"/>
        <v>4327.5799999985102</v>
      </c>
    </row>
    <row r="463" spans="3:14" x14ac:dyDescent="0.3">
      <c r="C463" s="6">
        <v>43851</v>
      </c>
      <c r="D463" s="7" t="s">
        <v>167</v>
      </c>
      <c r="E463" s="8">
        <v>2020</v>
      </c>
      <c r="F463" s="9" t="s">
        <v>50</v>
      </c>
      <c r="G463" s="9" t="s">
        <v>37</v>
      </c>
      <c r="H463" s="10" t="s">
        <v>63</v>
      </c>
      <c r="I463" s="7">
        <v>9</v>
      </c>
      <c r="J463" s="11">
        <v>56</v>
      </c>
      <c r="K463" s="11">
        <f t="shared" si="14"/>
        <v>504</v>
      </c>
      <c r="L463" s="11">
        <v>0.10000000149011599</v>
      </c>
      <c r="M463" s="11">
        <v>60.48</v>
      </c>
      <c r="N463" s="11">
        <f t="shared" si="15"/>
        <v>564.3799999985099</v>
      </c>
    </row>
    <row r="464" spans="3:14" x14ac:dyDescent="0.3">
      <c r="C464" s="6">
        <v>43851</v>
      </c>
      <c r="D464" s="7" t="s">
        <v>167</v>
      </c>
      <c r="E464" s="8">
        <v>2020</v>
      </c>
      <c r="F464" s="9" t="s">
        <v>50</v>
      </c>
      <c r="G464" s="9" t="s">
        <v>24</v>
      </c>
      <c r="H464" s="10" t="s">
        <v>96</v>
      </c>
      <c r="I464" s="7">
        <v>8</v>
      </c>
      <c r="J464" s="11">
        <v>16</v>
      </c>
      <c r="K464" s="11">
        <f t="shared" si="14"/>
        <v>128</v>
      </c>
      <c r="L464" s="11">
        <v>0.10000000149011599</v>
      </c>
      <c r="M464" s="11">
        <v>15.36</v>
      </c>
      <c r="N464" s="11">
        <f t="shared" si="15"/>
        <v>143.2599999985099</v>
      </c>
    </row>
    <row r="465" spans="3:14" x14ac:dyDescent="0.3">
      <c r="C465" s="6">
        <v>43851</v>
      </c>
      <c r="D465" s="7" t="s">
        <v>167</v>
      </c>
      <c r="E465" s="8">
        <v>2020</v>
      </c>
      <c r="F465" s="9" t="s">
        <v>64</v>
      </c>
      <c r="G465" s="9" t="s">
        <v>32</v>
      </c>
      <c r="H465" s="10" t="s">
        <v>100</v>
      </c>
      <c r="I465" s="7">
        <v>10</v>
      </c>
      <c r="J465" s="11">
        <v>45</v>
      </c>
      <c r="K465" s="11">
        <f t="shared" si="14"/>
        <v>450</v>
      </c>
      <c r="L465" s="11">
        <v>0.15000000596046401</v>
      </c>
      <c r="M465" s="11">
        <v>54</v>
      </c>
      <c r="N465" s="11">
        <f t="shared" si="15"/>
        <v>503.84999999403954</v>
      </c>
    </row>
    <row r="466" spans="3:14" x14ac:dyDescent="0.3">
      <c r="C466" s="6">
        <v>43851</v>
      </c>
      <c r="D466" s="7" t="s">
        <v>167</v>
      </c>
      <c r="E466" s="8">
        <v>2020</v>
      </c>
      <c r="F466" s="9" t="s">
        <v>64</v>
      </c>
      <c r="G466" s="9" t="s">
        <v>32</v>
      </c>
      <c r="H466" s="10" t="s">
        <v>140</v>
      </c>
      <c r="I466" s="7">
        <v>36</v>
      </c>
      <c r="J466" s="11">
        <v>60</v>
      </c>
      <c r="K466" s="11">
        <f t="shared" si="14"/>
        <v>2160</v>
      </c>
      <c r="L466" s="11">
        <v>0</v>
      </c>
      <c r="M466" s="11">
        <v>259.2</v>
      </c>
      <c r="N466" s="11">
        <f t="shared" si="15"/>
        <v>2419.1999999999998</v>
      </c>
    </row>
    <row r="467" spans="3:14" x14ac:dyDescent="0.3">
      <c r="C467" s="6">
        <v>43851</v>
      </c>
      <c r="D467" s="7" t="s">
        <v>167</v>
      </c>
      <c r="E467" s="8">
        <v>2020</v>
      </c>
      <c r="F467" s="9" t="s">
        <v>64</v>
      </c>
      <c r="G467" s="9" t="s">
        <v>42</v>
      </c>
      <c r="H467" s="10" t="s">
        <v>51</v>
      </c>
      <c r="I467" s="7">
        <v>48</v>
      </c>
      <c r="J467" s="11">
        <v>19</v>
      </c>
      <c r="K467" s="11">
        <f t="shared" si="14"/>
        <v>912</v>
      </c>
      <c r="L467" s="11">
        <v>0.15000000596046401</v>
      </c>
      <c r="M467" s="11">
        <v>109.44</v>
      </c>
      <c r="N467" s="11">
        <f t="shared" si="15"/>
        <v>1021.2899999940396</v>
      </c>
    </row>
    <row r="468" spans="3:14" x14ac:dyDescent="0.3">
      <c r="C468" s="6">
        <v>43851</v>
      </c>
      <c r="D468" s="7" t="s">
        <v>167</v>
      </c>
      <c r="E468" s="8">
        <v>2020</v>
      </c>
      <c r="F468" s="9" t="s">
        <v>64</v>
      </c>
      <c r="G468" s="9" t="s">
        <v>26</v>
      </c>
      <c r="H468" s="10" t="s">
        <v>52</v>
      </c>
      <c r="I468" s="7">
        <v>74</v>
      </c>
      <c r="J468" s="11">
        <v>32</v>
      </c>
      <c r="K468" s="11">
        <f t="shared" si="14"/>
        <v>2368</v>
      </c>
      <c r="L468" s="11">
        <v>0.15000000596046401</v>
      </c>
      <c r="M468" s="11">
        <v>284.15999999999997</v>
      </c>
      <c r="N468" s="11">
        <f t="shared" si="15"/>
        <v>2652.0099999940394</v>
      </c>
    </row>
    <row r="469" spans="3:14" x14ac:dyDescent="0.3">
      <c r="C469" s="6">
        <v>43852</v>
      </c>
      <c r="D469" s="7" t="s">
        <v>167</v>
      </c>
      <c r="E469" s="8">
        <v>2020</v>
      </c>
      <c r="F469" s="9" t="s">
        <v>175</v>
      </c>
      <c r="G469" s="9" t="s">
        <v>32</v>
      </c>
      <c r="H469" s="10" t="s">
        <v>140</v>
      </c>
      <c r="I469" s="7">
        <v>59</v>
      </c>
      <c r="J469" s="11">
        <v>27</v>
      </c>
      <c r="K469" s="11">
        <f t="shared" si="14"/>
        <v>1593</v>
      </c>
      <c r="L469" s="11">
        <v>0</v>
      </c>
      <c r="M469" s="11">
        <v>191.16</v>
      </c>
      <c r="N469" s="11">
        <f t="shared" si="15"/>
        <v>1784.16</v>
      </c>
    </row>
    <row r="470" spans="3:14" x14ac:dyDescent="0.3">
      <c r="C470" s="6">
        <v>43853</v>
      </c>
      <c r="D470" s="7" t="s">
        <v>167</v>
      </c>
      <c r="E470" s="8">
        <v>2020</v>
      </c>
      <c r="F470" s="9" t="s">
        <v>176</v>
      </c>
      <c r="G470" s="9" t="s">
        <v>14</v>
      </c>
      <c r="H470" s="10" t="s">
        <v>36</v>
      </c>
      <c r="I470" s="7">
        <v>80</v>
      </c>
      <c r="J470" s="11">
        <v>59</v>
      </c>
      <c r="K470" s="11">
        <f t="shared" si="14"/>
        <v>4720</v>
      </c>
      <c r="L470" s="11">
        <v>0</v>
      </c>
      <c r="M470" s="11">
        <v>566.4</v>
      </c>
      <c r="N470" s="11">
        <f t="shared" si="15"/>
        <v>5286.4</v>
      </c>
    </row>
    <row r="471" spans="3:14" x14ac:dyDescent="0.3">
      <c r="C471" s="6">
        <v>43853</v>
      </c>
      <c r="D471" s="7" t="s">
        <v>167</v>
      </c>
      <c r="E471" s="8">
        <v>2020</v>
      </c>
      <c r="F471" s="9" t="s">
        <v>176</v>
      </c>
      <c r="G471" s="9" t="s">
        <v>14</v>
      </c>
      <c r="H471" s="10" t="s">
        <v>49</v>
      </c>
      <c r="I471" s="7">
        <v>96</v>
      </c>
      <c r="J471" s="11">
        <v>84</v>
      </c>
      <c r="K471" s="11">
        <f t="shared" si="14"/>
        <v>8064</v>
      </c>
      <c r="L471" s="11">
        <v>0</v>
      </c>
      <c r="M471" s="11">
        <v>967.68</v>
      </c>
      <c r="N471" s="11">
        <f t="shared" si="15"/>
        <v>9031.68</v>
      </c>
    </row>
    <row r="472" spans="3:14" x14ac:dyDescent="0.3">
      <c r="C472" s="6">
        <v>43853</v>
      </c>
      <c r="D472" s="7" t="s">
        <v>167</v>
      </c>
      <c r="E472" s="8">
        <v>2020</v>
      </c>
      <c r="F472" s="9" t="s">
        <v>142</v>
      </c>
      <c r="G472" s="9" t="s">
        <v>37</v>
      </c>
      <c r="H472" s="10" t="s">
        <v>65</v>
      </c>
      <c r="I472" s="7">
        <v>74</v>
      </c>
      <c r="J472" s="11">
        <v>38</v>
      </c>
      <c r="K472" s="11">
        <f t="shared" si="14"/>
        <v>2812</v>
      </c>
      <c r="L472" s="11">
        <v>0.20000000298023199</v>
      </c>
      <c r="M472" s="11">
        <v>337.44</v>
      </c>
      <c r="N472" s="11">
        <f t="shared" si="15"/>
        <v>3149.2399999970198</v>
      </c>
    </row>
    <row r="473" spans="3:14" x14ac:dyDescent="0.3">
      <c r="C473" s="6">
        <v>43853</v>
      </c>
      <c r="D473" s="7" t="s">
        <v>167</v>
      </c>
      <c r="E473" s="8">
        <v>2020</v>
      </c>
      <c r="F473" s="9" t="s">
        <v>142</v>
      </c>
      <c r="G473" s="9" t="s">
        <v>37</v>
      </c>
      <c r="H473" s="10" t="s">
        <v>139</v>
      </c>
      <c r="I473" s="7">
        <v>20</v>
      </c>
      <c r="J473" s="11">
        <v>12</v>
      </c>
      <c r="K473" s="11">
        <f t="shared" si="14"/>
        <v>240</v>
      </c>
      <c r="L473" s="11">
        <v>0.20000000298023199</v>
      </c>
      <c r="M473" s="11">
        <v>28.799999999999997</v>
      </c>
      <c r="N473" s="11">
        <f t="shared" si="15"/>
        <v>268.59999999701978</v>
      </c>
    </row>
    <row r="474" spans="3:14" x14ac:dyDescent="0.3">
      <c r="C474" s="6">
        <v>43853</v>
      </c>
      <c r="D474" s="7" t="s">
        <v>167</v>
      </c>
      <c r="E474" s="8">
        <v>2020</v>
      </c>
      <c r="F474" s="9" t="s">
        <v>142</v>
      </c>
      <c r="G474" s="9" t="s">
        <v>32</v>
      </c>
      <c r="H474" s="10" t="s">
        <v>110</v>
      </c>
      <c r="I474" s="7">
        <v>80</v>
      </c>
      <c r="J474" s="11">
        <v>36</v>
      </c>
      <c r="K474" s="11">
        <f t="shared" si="14"/>
        <v>2880</v>
      </c>
      <c r="L474" s="11">
        <v>0.20000000298023199</v>
      </c>
      <c r="M474" s="11">
        <v>345.59999999999997</v>
      </c>
      <c r="N474" s="11">
        <f t="shared" si="15"/>
        <v>3225.3999999970197</v>
      </c>
    </row>
    <row r="475" spans="3:14" x14ac:dyDescent="0.3">
      <c r="C475" s="6">
        <v>43854</v>
      </c>
      <c r="D475" s="7" t="s">
        <v>167</v>
      </c>
      <c r="E475" s="8">
        <v>2020</v>
      </c>
      <c r="F475" s="9" t="s">
        <v>150</v>
      </c>
      <c r="G475" s="9" t="s">
        <v>42</v>
      </c>
      <c r="H475" s="10" t="s">
        <v>43</v>
      </c>
      <c r="I475" s="7">
        <v>62</v>
      </c>
      <c r="J475" s="11">
        <v>44</v>
      </c>
      <c r="K475" s="11">
        <f t="shared" si="14"/>
        <v>2728</v>
      </c>
      <c r="L475" s="11">
        <v>0.25</v>
      </c>
      <c r="M475" s="11">
        <v>327.36</v>
      </c>
      <c r="N475" s="11">
        <f t="shared" si="15"/>
        <v>3055.11</v>
      </c>
    </row>
    <row r="476" spans="3:14" x14ac:dyDescent="0.3">
      <c r="C476" s="6">
        <v>43854</v>
      </c>
      <c r="D476" s="7" t="s">
        <v>167</v>
      </c>
      <c r="E476" s="8">
        <v>2020</v>
      </c>
      <c r="F476" s="9" t="s">
        <v>150</v>
      </c>
      <c r="G476" s="9" t="s">
        <v>37</v>
      </c>
      <c r="H476" s="10" t="s">
        <v>77</v>
      </c>
      <c r="I476" s="7">
        <v>3</v>
      </c>
      <c r="J476" s="11">
        <v>19</v>
      </c>
      <c r="K476" s="11">
        <f t="shared" si="14"/>
        <v>57</v>
      </c>
      <c r="L476" s="11">
        <v>0.25</v>
      </c>
      <c r="M476" s="11">
        <v>6.84</v>
      </c>
      <c r="N476" s="11">
        <f t="shared" si="15"/>
        <v>63.59</v>
      </c>
    </row>
    <row r="477" spans="3:14" x14ac:dyDescent="0.3">
      <c r="C477" s="6">
        <v>43857</v>
      </c>
      <c r="D477" s="7" t="s">
        <v>167</v>
      </c>
      <c r="E477" s="8">
        <v>2020</v>
      </c>
      <c r="F477" s="9" t="s">
        <v>158</v>
      </c>
      <c r="G477" s="9" t="s">
        <v>16</v>
      </c>
      <c r="H477" s="10" t="s">
        <v>68</v>
      </c>
      <c r="I477" s="7">
        <v>62</v>
      </c>
      <c r="J477" s="11">
        <v>97</v>
      </c>
      <c r="K477" s="11">
        <f t="shared" si="14"/>
        <v>6014</v>
      </c>
      <c r="L477" s="11">
        <v>0</v>
      </c>
      <c r="M477" s="11">
        <v>721.68</v>
      </c>
      <c r="N477" s="11">
        <f t="shared" si="15"/>
        <v>6735.68</v>
      </c>
    </row>
    <row r="478" spans="3:14" x14ac:dyDescent="0.3">
      <c r="C478" s="6">
        <v>43857</v>
      </c>
      <c r="D478" s="7" t="s">
        <v>167</v>
      </c>
      <c r="E478" s="8">
        <v>2020</v>
      </c>
      <c r="F478" s="9" t="s">
        <v>158</v>
      </c>
      <c r="G478" s="9" t="s">
        <v>16</v>
      </c>
      <c r="H478" s="10" t="s">
        <v>113</v>
      </c>
      <c r="I478" s="7">
        <v>83</v>
      </c>
      <c r="J478" s="11">
        <v>12</v>
      </c>
      <c r="K478" s="11">
        <f t="shared" si="14"/>
        <v>996</v>
      </c>
      <c r="L478" s="11">
        <v>0</v>
      </c>
      <c r="M478" s="11">
        <v>119.52</v>
      </c>
      <c r="N478" s="11">
        <f t="shared" si="15"/>
        <v>1115.52</v>
      </c>
    </row>
    <row r="479" spans="3:14" x14ac:dyDescent="0.3">
      <c r="C479" s="6">
        <v>43857</v>
      </c>
      <c r="D479" s="7" t="s">
        <v>167</v>
      </c>
      <c r="E479" s="8">
        <v>2020</v>
      </c>
      <c r="F479" s="9" t="s">
        <v>152</v>
      </c>
      <c r="G479" s="9" t="s">
        <v>20</v>
      </c>
      <c r="H479" s="10" t="s">
        <v>136</v>
      </c>
      <c r="I479" s="7">
        <v>18</v>
      </c>
      <c r="J479" s="11">
        <v>80</v>
      </c>
      <c r="K479" s="11">
        <f t="shared" si="14"/>
        <v>1440</v>
      </c>
      <c r="L479" s="11">
        <v>0</v>
      </c>
      <c r="M479" s="11">
        <v>172.79999999999998</v>
      </c>
      <c r="N479" s="11">
        <f t="shared" si="15"/>
        <v>1612.8</v>
      </c>
    </row>
    <row r="480" spans="3:14" x14ac:dyDescent="0.3">
      <c r="C480" s="6">
        <v>43858</v>
      </c>
      <c r="D480" s="7" t="s">
        <v>167</v>
      </c>
      <c r="E480" s="8">
        <v>2020</v>
      </c>
      <c r="F480" s="9" t="s">
        <v>108</v>
      </c>
      <c r="G480" s="9" t="s">
        <v>24</v>
      </c>
      <c r="H480" s="10" t="s">
        <v>107</v>
      </c>
      <c r="I480" s="7">
        <v>65</v>
      </c>
      <c r="J480" s="11">
        <v>41</v>
      </c>
      <c r="K480" s="11">
        <f t="shared" si="14"/>
        <v>2665</v>
      </c>
      <c r="L480" s="11">
        <v>0</v>
      </c>
      <c r="M480" s="11">
        <v>319.8</v>
      </c>
      <c r="N480" s="11">
        <f t="shared" si="15"/>
        <v>2984.8</v>
      </c>
    </row>
    <row r="481" spans="3:14" x14ac:dyDescent="0.3">
      <c r="C481" s="6">
        <v>43859</v>
      </c>
      <c r="D481" s="7" t="s">
        <v>167</v>
      </c>
      <c r="E481" s="8">
        <v>2020</v>
      </c>
      <c r="F481" s="9" t="s">
        <v>118</v>
      </c>
      <c r="G481" s="9" t="s">
        <v>32</v>
      </c>
      <c r="H481" s="10" t="s">
        <v>151</v>
      </c>
      <c r="I481" s="7">
        <v>64</v>
      </c>
      <c r="J481" s="11">
        <v>94</v>
      </c>
      <c r="K481" s="11">
        <f t="shared" si="14"/>
        <v>6016</v>
      </c>
      <c r="L481" s="11">
        <v>0</v>
      </c>
      <c r="M481" s="11">
        <v>721.92</v>
      </c>
      <c r="N481" s="11">
        <f t="shared" si="15"/>
        <v>6737.92</v>
      </c>
    </row>
    <row r="482" spans="3:14" x14ac:dyDescent="0.3">
      <c r="C482" s="6">
        <v>43859</v>
      </c>
      <c r="D482" s="7" t="s">
        <v>167</v>
      </c>
      <c r="E482" s="8">
        <v>2020</v>
      </c>
      <c r="F482" s="9" t="s">
        <v>118</v>
      </c>
      <c r="G482" s="9" t="s">
        <v>26</v>
      </c>
      <c r="H482" s="10" t="s">
        <v>95</v>
      </c>
      <c r="I482" s="7">
        <v>28</v>
      </c>
      <c r="J482" s="11">
        <v>83</v>
      </c>
      <c r="K482" s="11">
        <f t="shared" si="14"/>
        <v>2324</v>
      </c>
      <c r="L482" s="11">
        <v>0.25</v>
      </c>
      <c r="M482" s="11">
        <v>278.88</v>
      </c>
      <c r="N482" s="11">
        <f t="shared" si="15"/>
        <v>2602.63</v>
      </c>
    </row>
    <row r="483" spans="3:14" x14ac:dyDescent="0.3">
      <c r="C483" s="6">
        <v>43860</v>
      </c>
      <c r="D483" s="7" t="s">
        <v>167</v>
      </c>
      <c r="E483" s="8">
        <v>2020</v>
      </c>
      <c r="F483" s="9" t="s">
        <v>55</v>
      </c>
      <c r="G483" s="9" t="s">
        <v>42</v>
      </c>
      <c r="H483" s="10" t="s">
        <v>72</v>
      </c>
      <c r="I483" s="7">
        <v>65</v>
      </c>
      <c r="J483" s="11">
        <v>82</v>
      </c>
      <c r="K483" s="11">
        <f t="shared" si="14"/>
        <v>5330</v>
      </c>
      <c r="L483" s="11">
        <v>0.20000000298023199</v>
      </c>
      <c r="M483" s="11">
        <v>639.6</v>
      </c>
      <c r="N483" s="11">
        <f t="shared" si="15"/>
        <v>5969.3999999970201</v>
      </c>
    </row>
    <row r="484" spans="3:14" x14ac:dyDescent="0.3">
      <c r="C484" s="6">
        <v>43860</v>
      </c>
      <c r="D484" s="7" t="s">
        <v>167</v>
      </c>
      <c r="E484" s="8">
        <v>2020</v>
      </c>
      <c r="F484" s="9" t="s">
        <v>55</v>
      </c>
      <c r="G484" s="9" t="s">
        <v>32</v>
      </c>
      <c r="H484" s="10" t="s">
        <v>59</v>
      </c>
      <c r="I484" s="7">
        <v>69</v>
      </c>
      <c r="J484" s="11">
        <v>50</v>
      </c>
      <c r="K484" s="11">
        <f t="shared" si="14"/>
        <v>3450</v>
      </c>
      <c r="L484" s="11">
        <v>0</v>
      </c>
      <c r="M484" s="11">
        <v>414</v>
      </c>
      <c r="N484" s="11">
        <f t="shared" si="15"/>
        <v>3864</v>
      </c>
    </row>
    <row r="485" spans="3:14" x14ac:dyDescent="0.3">
      <c r="C485" s="6">
        <v>43860</v>
      </c>
      <c r="D485" s="7" t="s">
        <v>167</v>
      </c>
      <c r="E485" s="8">
        <v>2020</v>
      </c>
      <c r="F485" s="9" t="s">
        <v>55</v>
      </c>
      <c r="G485" s="9" t="s">
        <v>16</v>
      </c>
      <c r="H485" s="10" t="s">
        <v>68</v>
      </c>
      <c r="I485" s="7">
        <v>65</v>
      </c>
      <c r="J485" s="11">
        <v>68</v>
      </c>
      <c r="K485" s="11">
        <f t="shared" si="14"/>
        <v>4420</v>
      </c>
      <c r="L485" s="11">
        <v>0</v>
      </c>
      <c r="M485" s="11">
        <v>530.4</v>
      </c>
      <c r="N485" s="11">
        <f t="shared" si="15"/>
        <v>4950.3999999999996</v>
      </c>
    </row>
    <row r="486" spans="3:14" x14ac:dyDescent="0.3">
      <c r="C486" s="6">
        <v>43860</v>
      </c>
      <c r="D486" s="7" t="s">
        <v>167</v>
      </c>
      <c r="E486" s="8">
        <v>2020</v>
      </c>
      <c r="F486" s="9" t="s">
        <v>55</v>
      </c>
      <c r="G486" s="9" t="s">
        <v>14</v>
      </c>
      <c r="H486" s="10" t="s">
        <v>49</v>
      </c>
      <c r="I486" s="7">
        <v>74</v>
      </c>
      <c r="J486" s="11">
        <v>97</v>
      </c>
      <c r="K486" s="11">
        <f t="shared" si="14"/>
        <v>7178</v>
      </c>
      <c r="L486" s="11">
        <v>0.20000000298023199</v>
      </c>
      <c r="M486" s="11">
        <v>861.36</v>
      </c>
      <c r="N486" s="11">
        <f t="shared" si="15"/>
        <v>8039.1599999970194</v>
      </c>
    </row>
    <row r="487" spans="3:14" x14ac:dyDescent="0.3">
      <c r="C487" s="6">
        <v>43860</v>
      </c>
      <c r="D487" s="7" t="s">
        <v>167</v>
      </c>
      <c r="E487" s="8">
        <v>2020</v>
      </c>
      <c r="F487" s="9" t="s">
        <v>166</v>
      </c>
      <c r="G487" s="9" t="s">
        <v>42</v>
      </c>
      <c r="H487" s="10" t="s">
        <v>72</v>
      </c>
      <c r="I487" s="7">
        <v>36</v>
      </c>
      <c r="J487" s="11">
        <v>78</v>
      </c>
      <c r="K487" s="11">
        <f t="shared" si="14"/>
        <v>2808</v>
      </c>
      <c r="L487" s="11">
        <v>0.25</v>
      </c>
      <c r="M487" s="11">
        <v>336.96</v>
      </c>
      <c r="N487" s="11">
        <f t="shared" si="15"/>
        <v>3144.71</v>
      </c>
    </row>
    <row r="488" spans="3:14" x14ac:dyDescent="0.3">
      <c r="C488" s="6">
        <v>43860</v>
      </c>
      <c r="D488" s="7" t="s">
        <v>167</v>
      </c>
      <c r="E488" s="8">
        <v>2020</v>
      </c>
      <c r="F488" s="9" t="s">
        <v>166</v>
      </c>
      <c r="G488" s="9" t="s">
        <v>24</v>
      </c>
      <c r="H488" s="10" t="s">
        <v>76</v>
      </c>
      <c r="I488" s="7">
        <v>36</v>
      </c>
      <c r="J488" s="11">
        <v>78</v>
      </c>
      <c r="K488" s="11">
        <f t="shared" si="14"/>
        <v>2808</v>
      </c>
      <c r="L488" s="11">
        <v>0.25</v>
      </c>
      <c r="M488" s="11">
        <v>336.96</v>
      </c>
      <c r="N488" s="11">
        <f t="shared" si="15"/>
        <v>3144.71</v>
      </c>
    </row>
    <row r="489" spans="3:14" x14ac:dyDescent="0.3">
      <c r="C489" s="6">
        <v>43860</v>
      </c>
      <c r="D489" s="7" t="s">
        <v>167</v>
      </c>
      <c r="E489" s="8">
        <v>2020</v>
      </c>
      <c r="F489" s="9" t="s">
        <v>166</v>
      </c>
      <c r="G489" s="9" t="s">
        <v>32</v>
      </c>
      <c r="H489" s="10" t="s">
        <v>143</v>
      </c>
      <c r="I489" s="7">
        <v>68</v>
      </c>
      <c r="J489" s="11">
        <v>71</v>
      </c>
      <c r="K489" s="11">
        <f t="shared" si="14"/>
        <v>4828</v>
      </c>
      <c r="L489" s="11">
        <v>0.25</v>
      </c>
      <c r="M489" s="11">
        <v>579.36</v>
      </c>
      <c r="N489" s="11">
        <f t="shared" si="15"/>
        <v>5407.11</v>
      </c>
    </row>
    <row r="490" spans="3:14" x14ac:dyDescent="0.3">
      <c r="C490" s="6">
        <v>43861</v>
      </c>
      <c r="D490" s="7" t="s">
        <v>167</v>
      </c>
      <c r="E490" s="8">
        <v>2020</v>
      </c>
      <c r="F490" s="9" t="s">
        <v>83</v>
      </c>
      <c r="G490" s="9" t="s">
        <v>32</v>
      </c>
      <c r="H490" s="10" t="s">
        <v>140</v>
      </c>
      <c r="I490" s="7">
        <v>7</v>
      </c>
      <c r="J490" s="11">
        <v>35</v>
      </c>
      <c r="K490" s="11">
        <f t="shared" si="14"/>
        <v>245</v>
      </c>
      <c r="L490" s="11">
        <v>0</v>
      </c>
      <c r="M490" s="11">
        <v>29.4</v>
      </c>
      <c r="N490" s="11">
        <f t="shared" si="15"/>
        <v>274.39999999999998</v>
      </c>
    </row>
    <row r="491" spans="3:14" x14ac:dyDescent="0.3">
      <c r="C491" s="6">
        <v>43861</v>
      </c>
      <c r="D491" s="7" t="s">
        <v>167</v>
      </c>
      <c r="E491" s="8">
        <v>2020</v>
      </c>
      <c r="F491" s="9" t="s">
        <v>83</v>
      </c>
      <c r="G491" s="9" t="s">
        <v>42</v>
      </c>
      <c r="H491" s="10" t="s">
        <v>109</v>
      </c>
      <c r="I491" s="7">
        <v>48</v>
      </c>
      <c r="J491" s="11">
        <v>64</v>
      </c>
      <c r="K491" s="11">
        <f t="shared" si="14"/>
        <v>3072</v>
      </c>
      <c r="L491" s="11">
        <v>0</v>
      </c>
      <c r="M491" s="11">
        <v>368.64</v>
      </c>
      <c r="N491" s="11">
        <f t="shared" si="15"/>
        <v>3440.64</v>
      </c>
    </row>
    <row r="492" spans="3:14" x14ac:dyDescent="0.3">
      <c r="C492" s="6">
        <v>43864</v>
      </c>
      <c r="D492" s="7" t="s">
        <v>177</v>
      </c>
      <c r="E492" s="8">
        <v>2020</v>
      </c>
      <c r="F492" s="9" t="s">
        <v>144</v>
      </c>
      <c r="G492" s="9" t="s">
        <v>16</v>
      </c>
      <c r="H492" s="10" t="s">
        <v>68</v>
      </c>
      <c r="I492" s="7">
        <v>92</v>
      </c>
      <c r="J492" s="11">
        <v>79</v>
      </c>
      <c r="K492" s="11">
        <f t="shared" si="14"/>
        <v>7268</v>
      </c>
      <c r="L492" s="11">
        <v>0</v>
      </c>
      <c r="M492" s="11">
        <v>872.16</v>
      </c>
      <c r="N492" s="11">
        <f t="shared" si="15"/>
        <v>8140.16</v>
      </c>
    </row>
    <row r="493" spans="3:14" x14ac:dyDescent="0.3">
      <c r="C493" s="6">
        <v>43864</v>
      </c>
      <c r="D493" s="7" t="s">
        <v>177</v>
      </c>
      <c r="E493" s="8">
        <v>2020</v>
      </c>
      <c r="F493" s="9" t="s">
        <v>70</v>
      </c>
      <c r="G493" s="9" t="s">
        <v>14</v>
      </c>
      <c r="H493" s="10" t="s">
        <v>15</v>
      </c>
      <c r="I493" s="7">
        <v>65</v>
      </c>
      <c r="J493" s="11">
        <v>11</v>
      </c>
      <c r="K493" s="11">
        <f t="shared" si="14"/>
        <v>715</v>
      </c>
      <c r="L493" s="11">
        <v>0</v>
      </c>
      <c r="M493" s="11">
        <v>85.8</v>
      </c>
      <c r="N493" s="11">
        <f t="shared" si="15"/>
        <v>800.8</v>
      </c>
    </row>
    <row r="494" spans="3:14" x14ac:dyDescent="0.3">
      <c r="C494" s="6">
        <v>43864</v>
      </c>
      <c r="D494" s="7" t="s">
        <v>177</v>
      </c>
      <c r="E494" s="8">
        <v>2020</v>
      </c>
      <c r="F494" s="9" t="s">
        <v>70</v>
      </c>
      <c r="G494" s="9" t="s">
        <v>37</v>
      </c>
      <c r="H494" s="10" t="s">
        <v>77</v>
      </c>
      <c r="I494" s="7">
        <v>31</v>
      </c>
      <c r="J494" s="11">
        <v>80</v>
      </c>
      <c r="K494" s="11">
        <f t="shared" si="14"/>
        <v>2480</v>
      </c>
      <c r="L494" s="11">
        <v>0.15000000596046401</v>
      </c>
      <c r="M494" s="11">
        <v>297.59999999999997</v>
      </c>
      <c r="N494" s="11">
        <f t="shared" si="15"/>
        <v>2777.4499999940394</v>
      </c>
    </row>
    <row r="495" spans="3:14" x14ac:dyDescent="0.3">
      <c r="C495" s="6">
        <v>43865</v>
      </c>
      <c r="D495" s="7" t="s">
        <v>177</v>
      </c>
      <c r="E495" s="8">
        <v>2020</v>
      </c>
      <c r="F495" s="9" t="s">
        <v>178</v>
      </c>
      <c r="G495" s="9" t="s">
        <v>37</v>
      </c>
      <c r="H495" s="10" t="s">
        <v>46</v>
      </c>
      <c r="I495" s="7">
        <v>28</v>
      </c>
      <c r="J495" s="11">
        <v>65</v>
      </c>
      <c r="K495" s="11">
        <f t="shared" si="14"/>
        <v>1820</v>
      </c>
      <c r="L495" s="11">
        <v>0</v>
      </c>
      <c r="M495" s="11">
        <v>218.4</v>
      </c>
      <c r="N495" s="11">
        <f t="shared" si="15"/>
        <v>2038.4</v>
      </c>
    </row>
    <row r="496" spans="3:14" x14ac:dyDescent="0.3">
      <c r="C496" s="6">
        <v>43865</v>
      </c>
      <c r="D496" s="7" t="s">
        <v>177</v>
      </c>
      <c r="E496" s="8">
        <v>2020</v>
      </c>
      <c r="F496" s="9" t="s">
        <v>178</v>
      </c>
      <c r="G496" s="9" t="s">
        <v>16</v>
      </c>
      <c r="H496" s="10" t="s">
        <v>29</v>
      </c>
      <c r="I496" s="7">
        <v>55</v>
      </c>
      <c r="J496" s="11">
        <v>30</v>
      </c>
      <c r="K496" s="11">
        <f t="shared" si="14"/>
        <v>1650</v>
      </c>
      <c r="L496" s="11">
        <v>0</v>
      </c>
      <c r="M496" s="11">
        <v>198</v>
      </c>
      <c r="N496" s="11">
        <f t="shared" si="15"/>
        <v>1848</v>
      </c>
    </row>
    <row r="497" spans="3:14" x14ac:dyDescent="0.3">
      <c r="C497" s="6">
        <v>43865</v>
      </c>
      <c r="D497" s="7" t="s">
        <v>177</v>
      </c>
      <c r="E497" s="8">
        <v>2020</v>
      </c>
      <c r="F497" s="9" t="s">
        <v>178</v>
      </c>
      <c r="G497" s="9" t="s">
        <v>14</v>
      </c>
      <c r="H497" s="10" t="s">
        <v>18</v>
      </c>
      <c r="I497" s="7">
        <v>27</v>
      </c>
      <c r="J497" s="11">
        <v>51</v>
      </c>
      <c r="K497" s="11">
        <f t="shared" si="14"/>
        <v>1377</v>
      </c>
      <c r="L497" s="11">
        <v>0</v>
      </c>
      <c r="M497" s="11">
        <v>165.23999999999998</v>
      </c>
      <c r="N497" s="11">
        <f t="shared" si="15"/>
        <v>1542.24</v>
      </c>
    </row>
    <row r="498" spans="3:14" x14ac:dyDescent="0.3">
      <c r="C498" s="6">
        <v>43866</v>
      </c>
      <c r="D498" s="7" t="s">
        <v>177</v>
      </c>
      <c r="E498" s="8">
        <v>2020</v>
      </c>
      <c r="F498" s="9" t="s">
        <v>71</v>
      </c>
      <c r="G498" s="9" t="s">
        <v>24</v>
      </c>
      <c r="H498" s="10" t="s">
        <v>107</v>
      </c>
      <c r="I498" s="7">
        <v>48</v>
      </c>
      <c r="J498" s="11">
        <v>86</v>
      </c>
      <c r="K498" s="11">
        <f t="shared" si="14"/>
        <v>4128</v>
      </c>
      <c r="L498" s="11">
        <v>0</v>
      </c>
      <c r="M498" s="11">
        <v>495.35999999999996</v>
      </c>
      <c r="N498" s="11">
        <f t="shared" si="15"/>
        <v>4623.3599999999997</v>
      </c>
    </row>
    <row r="499" spans="3:14" x14ac:dyDescent="0.3">
      <c r="C499" s="6">
        <v>43866</v>
      </c>
      <c r="D499" s="7" t="s">
        <v>177</v>
      </c>
      <c r="E499" s="8">
        <v>2020</v>
      </c>
      <c r="F499" s="9" t="s">
        <v>71</v>
      </c>
      <c r="G499" s="9" t="s">
        <v>16</v>
      </c>
      <c r="H499" s="10" t="s">
        <v>68</v>
      </c>
      <c r="I499" s="7">
        <v>28</v>
      </c>
      <c r="J499" s="11">
        <v>53</v>
      </c>
      <c r="K499" s="11">
        <f t="shared" si="14"/>
        <v>1484</v>
      </c>
      <c r="L499" s="11">
        <v>0.10000000149011599</v>
      </c>
      <c r="M499" s="11">
        <v>178.07999999999998</v>
      </c>
      <c r="N499" s="11">
        <f t="shared" si="15"/>
        <v>1661.9799999985098</v>
      </c>
    </row>
    <row r="500" spans="3:14" x14ac:dyDescent="0.3">
      <c r="C500" s="6">
        <v>43866</v>
      </c>
      <c r="D500" s="7" t="s">
        <v>177</v>
      </c>
      <c r="E500" s="8">
        <v>2020</v>
      </c>
      <c r="F500" s="9" t="s">
        <v>71</v>
      </c>
      <c r="G500" s="9" t="s">
        <v>16</v>
      </c>
      <c r="H500" s="10" t="s">
        <v>113</v>
      </c>
      <c r="I500" s="7">
        <v>29</v>
      </c>
      <c r="J500" s="11">
        <v>51</v>
      </c>
      <c r="K500" s="11">
        <f t="shared" si="14"/>
        <v>1479</v>
      </c>
      <c r="L500" s="11">
        <v>0.10000000149011599</v>
      </c>
      <c r="M500" s="11">
        <v>177.48</v>
      </c>
      <c r="N500" s="11">
        <f t="shared" si="15"/>
        <v>1656.3799999985099</v>
      </c>
    </row>
    <row r="501" spans="3:14" x14ac:dyDescent="0.3">
      <c r="C501" s="6">
        <v>43866</v>
      </c>
      <c r="D501" s="7" t="s">
        <v>177</v>
      </c>
      <c r="E501" s="8">
        <v>2020</v>
      </c>
      <c r="F501" s="9" t="s">
        <v>71</v>
      </c>
      <c r="G501" s="9" t="s">
        <v>37</v>
      </c>
      <c r="H501" s="10" t="s">
        <v>98</v>
      </c>
      <c r="I501" s="7">
        <v>60</v>
      </c>
      <c r="J501" s="11">
        <v>91</v>
      </c>
      <c r="K501" s="11">
        <f t="shared" si="14"/>
        <v>5460</v>
      </c>
      <c r="L501" s="11">
        <v>0.10000000149011599</v>
      </c>
      <c r="M501" s="11">
        <v>655.19999999999993</v>
      </c>
      <c r="N501" s="11">
        <f t="shared" si="15"/>
        <v>6115.0999999985097</v>
      </c>
    </row>
    <row r="502" spans="3:14" x14ac:dyDescent="0.3">
      <c r="C502" s="6">
        <v>43866</v>
      </c>
      <c r="D502" s="7" t="s">
        <v>177</v>
      </c>
      <c r="E502" s="8">
        <v>2020</v>
      </c>
      <c r="F502" s="9" t="s">
        <v>73</v>
      </c>
      <c r="G502" s="9" t="s">
        <v>42</v>
      </c>
      <c r="H502" s="10" t="s">
        <v>51</v>
      </c>
      <c r="I502" s="7">
        <v>48</v>
      </c>
      <c r="J502" s="11">
        <v>91</v>
      </c>
      <c r="K502" s="11">
        <f t="shared" si="14"/>
        <v>4368</v>
      </c>
      <c r="L502" s="11">
        <v>0</v>
      </c>
      <c r="M502" s="11">
        <v>524.16</v>
      </c>
      <c r="N502" s="11">
        <f t="shared" si="15"/>
        <v>4892.16</v>
      </c>
    </row>
    <row r="503" spans="3:14" x14ac:dyDescent="0.3">
      <c r="C503" s="6">
        <v>43867</v>
      </c>
      <c r="D503" s="7" t="s">
        <v>177</v>
      </c>
      <c r="E503" s="8">
        <v>2020</v>
      </c>
      <c r="F503" s="9" t="s">
        <v>179</v>
      </c>
      <c r="G503" s="9" t="s">
        <v>32</v>
      </c>
      <c r="H503" s="10" t="s">
        <v>100</v>
      </c>
      <c r="I503" s="7">
        <v>83</v>
      </c>
      <c r="J503" s="11">
        <v>21</v>
      </c>
      <c r="K503" s="11">
        <f t="shared" si="14"/>
        <v>1743</v>
      </c>
      <c r="L503" s="11">
        <v>0.20000000298023199</v>
      </c>
      <c r="M503" s="11">
        <v>209.16</v>
      </c>
      <c r="N503" s="11">
        <f t="shared" si="15"/>
        <v>1951.9599999970198</v>
      </c>
    </row>
    <row r="504" spans="3:14" x14ac:dyDescent="0.3">
      <c r="C504" s="6">
        <v>43867</v>
      </c>
      <c r="D504" s="7" t="s">
        <v>177</v>
      </c>
      <c r="E504" s="8">
        <v>2020</v>
      </c>
      <c r="F504" s="9" t="s">
        <v>179</v>
      </c>
      <c r="G504" s="9" t="s">
        <v>37</v>
      </c>
      <c r="H504" s="10" t="s">
        <v>106</v>
      </c>
      <c r="I504" s="7">
        <v>63</v>
      </c>
      <c r="J504" s="11">
        <v>43</v>
      </c>
      <c r="K504" s="11">
        <f t="shared" si="14"/>
        <v>2709</v>
      </c>
      <c r="L504" s="11">
        <v>0.20000000298023199</v>
      </c>
      <c r="M504" s="11">
        <v>325.08</v>
      </c>
      <c r="N504" s="11">
        <f t="shared" si="15"/>
        <v>3033.8799999970197</v>
      </c>
    </row>
    <row r="505" spans="3:14" x14ac:dyDescent="0.3">
      <c r="C505" s="6">
        <v>43867</v>
      </c>
      <c r="D505" s="7" t="s">
        <v>177</v>
      </c>
      <c r="E505" s="8">
        <v>2020</v>
      </c>
      <c r="F505" s="9" t="s">
        <v>179</v>
      </c>
      <c r="G505" s="9" t="s">
        <v>16</v>
      </c>
      <c r="H505" s="10" t="s">
        <v>30</v>
      </c>
      <c r="I505" s="7">
        <v>22</v>
      </c>
      <c r="J505" s="11">
        <v>19</v>
      </c>
      <c r="K505" s="11">
        <f t="shared" si="14"/>
        <v>418</v>
      </c>
      <c r="L505" s="11">
        <v>0.20000000298023199</v>
      </c>
      <c r="M505" s="11">
        <v>50.16</v>
      </c>
      <c r="N505" s="11">
        <f t="shared" si="15"/>
        <v>467.95999999701974</v>
      </c>
    </row>
    <row r="506" spans="3:14" x14ac:dyDescent="0.3">
      <c r="C506" s="6">
        <v>43868</v>
      </c>
      <c r="D506" s="7" t="s">
        <v>177</v>
      </c>
      <c r="E506" s="8">
        <v>2020</v>
      </c>
      <c r="F506" s="9" t="s">
        <v>142</v>
      </c>
      <c r="G506" s="9" t="s">
        <v>14</v>
      </c>
      <c r="H506" s="10" t="s">
        <v>74</v>
      </c>
      <c r="I506" s="7">
        <v>50</v>
      </c>
      <c r="J506" s="11">
        <v>73</v>
      </c>
      <c r="K506" s="11">
        <f t="shared" si="14"/>
        <v>3650</v>
      </c>
      <c r="L506" s="11">
        <v>0</v>
      </c>
      <c r="M506" s="11">
        <v>438</v>
      </c>
      <c r="N506" s="11">
        <f t="shared" si="15"/>
        <v>4088</v>
      </c>
    </row>
    <row r="507" spans="3:14" x14ac:dyDescent="0.3">
      <c r="C507" s="6">
        <v>43868</v>
      </c>
      <c r="D507" s="7" t="s">
        <v>177</v>
      </c>
      <c r="E507" s="8">
        <v>2020</v>
      </c>
      <c r="F507" s="9" t="s">
        <v>142</v>
      </c>
      <c r="G507" s="9" t="s">
        <v>32</v>
      </c>
      <c r="H507" s="10" t="s">
        <v>47</v>
      </c>
      <c r="I507" s="7">
        <v>91</v>
      </c>
      <c r="J507" s="11">
        <v>38</v>
      </c>
      <c r="K507" s="11">
        <f t="shared" si="14"/>
        <v>3458</v>
      </c>
      <c r="L507" s="11">
        <v>0</v>
      </c>
      <c r="M507" s="11">
        <v>414.96</v>
      </c>
      <c r="N507" s="11">
        <f t="shared" si="15"/>
        <v>3872.96</v>
      </c>
    </row>
    <row r="508" spans="3:14" x14ac:dyDescent="0.3">
      <c r="C508" s="6">
        <v>43868</v>
      </c>
      <c r="D508" s="7" t="s">
        <v>177</v>
      </c>
      <c r="E508" s="8">
        <v>2020</v>
      </c>
      <c r="F508" s="9" t="s">
        <v>142</v>
      </c>
      <c r="G508" s="9" t="s">
        <v>16</v>
      </c>
      <c r="H508" s="10" t="s">
        <v>113</v>
      </c>
      <c r="I508" s="7">
        <v>47</v>
      </c>
      <c r="J508" s="11">
        <v>69</v>
      </c>
      <c r="K508" s="11">
        <f t="shared" si="14"/>
        <v>3243</v>
      </c>
      <c r="L508" s="11">
        <v>0</v>
      </c>
      <c r="M508" s="11">
        <v>389.15999999999997</v>
      </c>
      <c r="N508" s="11">
        <f t="shared" si="15"/>
        <v>3632.16</v>
      </c>
    </row>
    <row r="509" spans="3:14" x14ac:dyDescent="0.3">
      <c r="C509" s="6">
        <v>43868</v>
      </c>
      <c r="D509" s="7" t="s">
        <v>177</v>
      </c>
      <c r="E509" s="8">
        <v>2020</v>
      </c>
      <c r="F509" s="9" t="s">
        <v>142</v>
      </c>
      <c r="G509" s="9" t="s">
        <v>20</v>
      </c>
      <c r="H509" s="10" t="s">
        <v>44</v>
      </c>
      <c r="I509" s="7">
        <v>82</v>
      </c>
      <c r="J509" s="11">
        <v>32</v>
      </c>
      <c r="K509" s="11">
        <f t="shared" si="14"/>
        <v>2624</v>
      </c>
      <c r="L509" s="11">
        <v>0</v>
      </c>
      <c r="M509" s="11">
        <v>314.88</v>
      </c>
      <c r="N509" s="11">
        <f t="shared" si="15"/>
        <v>2938.88</v>
      </c>
    </row>
    <row r="510" spans="3:14" x14ac:dyDescent="0.3">
      <c r="C510" s="6">
        <v>43871</v>
      </c>
      <c r="D510" s="7" t="s">
        <v>177</v>
      </c>
      <c r="E510" s="8">
        <v>2020</v>
      </c>
      <c r="F510" s="9" t="s">
        <v>135</v>
      </c>
      <c r="G510" s="9" t="s">
        <v>37</v>
      </c>
      <c r="H510" s="10" t="s">
        <v>46</v>
      </c>
      <c r="I510" s="7">
        <v>81</v>
      </c>
      <c r="J510" s="11">
        <v>20</v>
      </c>
      <c r="K510" s="11">
        <f t="shared" si="14"/>
        <v>1620</v>
      </c>
      <c r="L510" s="11">
        <v>0.15000000596046401</v>
      </c>
      <c r="M510" s="11">
        <v>194.4</v>
      </c>
      <c r="N510" s="11">
        <f t="shared" si="15"/>
        <v>1814.2499999940396</v>
      </c>
    </row>
    <row r="511" spans="3:14" x14ac:dyDescent="0.3">
      <c r="C511" s="6">
        <v>43871</v>
      </c>
      <c r="D511" s="7" t="s">
        <v>177</v>
      </c>
      <c r="E511" s="8">
        <v>2020</v>
      </c>
      <c r="F511" s="9" t="s">
        <v>135</v>
      </c>
      <c r="G511" s="9" t="s">
        <v>32</v>
      </c>
      <c r="H511" s="10" t="s">
        <v>47</v>
      </c>
      <c r="I511" s="7">
        <v>22</v>
      </c>
      <c r="J511" s="11">
        <v>12</v>
      </c>
      <c r="K511" s="11">
        <f t="shared" si="14"/>
        <v>264</v>
      </c>
      <c r="L511" s="11">
        <v>0.15000000596046401</v>
      </c>
      <c r="M511" s="11">
        <v>31.68</v>
      </c>
      <c r="N511" s="11">
        <f t="shared" si="15"/>
        <v>295.52999999403954</v>
      </c>
    </row>
    <row r="512" spans="3:14" x14ac:dyDescent="0.3">
      <c r="C512" s="6">
        <v>43871</v>
      </c>
      <c r="D512" s="7" t="s">
        <v>177</v>
      </c>
      <c r="E512" s="8">
        <v>2020</v>
      </c>
      <c r="F512" s="9" t="s">
        <v>135</v>
      </c>
      <c r="G512" s="9" t="s">
        <v>42</v>
      </c>
      <c r="H512" s="10" t="s">
        <v>79</v>
      </c>
      <c r="I512" s="7">
        <v>84</v>
      </c>
      <c r="J512" s="11">
        <v>22</v>
      </c>
      <c r="K512" s="11">
        <f t="shared" si="14"/>
        <v>1848</v>
      </c>
      <c r="L512" s="11">
        <v>0.15000000596046401</v>
      </c>
      <c r="M512" s="11">
        <v>221.76</v>
      </c>
      <c r="N512" s="11">
        <f t="shared" si="15"/>
        <v>2069.6099999940398</v>
      </c>
    </row>
    <row r="513" spans="3:14" x14ac:dyDescent="0.3">
      <c r="C513" s="6">
        <v>43871</v>
      </c>
      <c r="D513" s="7" t="s">
        <v>177</v>
      </c>
      <c r="E513" s="8">
        <v>2020</v>
      </c>
      <c r="F513" s="9" t="s">
        <v>135</v>
      </c>
      <c r="G513" s="9" t="s">
        <v>26</v>
      </c>
      <c r="H513" s="10" t="s">
        <v>173</v>
      </c>
      <c r="I513" s="7">
        <v>78</v>
      </c>
      <c r="J513" s="11">
        <v>78</v>
      </c>
      <c r="K513" s="11">
        <f t="shared" si="14"/>
        <v>6084</v>
      </c>
      <c r="L513" s="11">
        <v>0.15000000596046401</v>
      </c>
      <c r="M513" s="11">
        <v>730.07999999999993</v>
      </c>
      <c r="N513" s="11">
        <f t="shared" si="15"/>
        <v>6813.9299999940395</v>
      </c>
    </row>
    <row r="514" spans="3:14" x14ac:dyDescent="0.3">
      <c r="C514" s="6">
        <v>43871</v>
      </c>
      <c r="D514" s="7" t="s">
        <v>177</v>
      </c>
      <c r="E514" s="8">
        <v>2020</v>
      </c>
      <c r="F514" s="9" t="s">
        <v>61</v>
      </c>
      <c r="G514" s="9" t="s">
        <v>32</v>
      </c>
      <c r="H514" s="10" t="s">
        <v>54</v>
      </c>
      <c r="I514" s="7">
        <v>68</v>
      </c>
      <c r="J514" s="11">
        <v>99</v>
      </c>
      <c r="K514" s="11">
        <f t="shared" si="14"/>
        <v>6732</v>
      </c>
      <c r="L514" s="11">
        <v>0</v>
      </c>
      <c r="M514" s="11">
        <v>807.83999999999992</v>
      </c>
      <c r="N514" s="11">
        <f t="shared" si="15"/>
        <v>7539.84</v>
      </c>
    </row>
    <row r="515" spans="3:14" x14ac:dyDescent="0.3">
      <c r="C515" s="6">
        <v>43872</v>
      </c>
      <c r="D515" s="7" t="s">
        <v>177</v>
      </c>
      <c r="E515" s="8">
        <v>2020</v>
      </c>
      <c r="F515" s="9" t="s">
        <v>55</v>
      </c>
      <c r="G515" s="9" t="s">
        <v>14</v>
      </c>
      <c r="H515" s="10" t="s">
        <v>15</v>
      </c>
      <c r="I515" s="7">
        <v>80</v>
      </c>
      <c r="J515" s="11">
        <v>13</v>
      </c>
      <c r="K515" s="11">
        <f t="shared" ref="K515:K578" si="16">J515*I515</f>
        <v>1040</v>
      </c>
      <c r="L515" s="11">
        <v>0</v>
      </c>
      <c r="M515" s="11">
        <v>124.8</v>
      </c>
      <c r="N515" s="11">
        <f t="shared" ref="N515:N578" si="17">K515-L515+M515</f>
        <v>1164.8</v>
      </c>
    </row>
    <row r="516" spans="3:14" x14ac:dyDescent="0.3">
      <c r="C516" s="6">
        <v>43872</v>
      </c>
      <c r="D516" s="7" t="s">
        <v>177</v>
      </c>
      <c r="E516" s="8">
        <v>2020</v>
      </c>
      <c r="F516" s="9" t="s">
        <v>55</v>
      </c>
      <c r="G516" s="9" t="s">
        <v>42</v>
      </c>
      <c r="H516" s="10" t="s">
        <v>109</v>
      </c>
      <c r="I516" s="7">
        <v>70</v>
      </c>
      <c r="J516" s="11">
        <v>79</v>
      </c>
      <c r="K516" s="11">
        <f t="shared" si="16"/>
        <v>5530</v>
      </c>
      <c r="L516" s="11">
        <v>0</v>
      </c>
      <c r="M516" s="11">
        <v>663.6</v>
      </c>
      <c r="N516" s="11">
        <f t="shared" si="17"/>
        <v>6193.6</v>
      </c>
    </row>
    <row r="517" spans="3:14" x14ac:dyDescent="0.3">
      <c r="C517" s="6">
        <v>43872</v>
      </c>
      <c r="D517" s="7" t="s">
        <v>177</v>
      </c>
      <c r="E517" s="8">
        <v>2020</v>
      </c>
      <c r="F517" s="9" t="s">
        <v>55</v>
      </c>
      <c r="G517" s="9" t="s">
        <v>26</v>
      </c>
      <c r="H517" s="10" t="s">
        <v>119</v>
      </c>
      <c r="I517" s="7">
        <v>77</v>
      </c>
      <c r="J517" s="11">
        <v>72</v>
      </c>
      <c r="K517" s="11">
        <f t="shared" si="16"/>
        <v>5544</v>
      </c>
      <c r="L517" s="11">
        <v>0</v>
      </c>
      <c r="M517" s="11">
        <v>665.28</v>
      </c>
      <c r="N517" s="11">
        <f t="shared" si="17"/>
        <v>6209.28</v>
      </c>
    </row>
    <row r="518" spans="3:14" x14ac:dyDescent="0.3">
      <c r="C518" s="6">
        <v>43873</v>
      </c>
      <c r="D518" s="7" t="s">
        <v>177</v>
      </c>
      <c r="E518" s="8">
        <v>2020</v>
      </c>
      <c r="F518" s="9" t="s">
        <v>108</v>
      </c>
      <c r="G518" s="9" t="s">
        <v>14</v>
      </c>
      <c r="H518" s="10" t="s">
        <v>15</v>
      </c>
      <c r="I518" s="7">
        <v>68</v>
      </c>
      <c r="J518" s="11">
        <v>28</v>
      </c>
      <c r="K518" s="11">
        <f t="shared" si="16"/>
        <v>1904</v>
      </c>
      <c r="L518" s="11">
        <v>0.20000000298023199</v>
      </c>
      <c r="M518" s="11">
        <v>228.48</v>
      </c>
      <c r="N518" s="11">
        <f t="shared" si="17"/>
        <v>2132.2799999970198</v>
      </c>
    </row>
    <row r="519" spans="3:14" x14ac:dyDescent="0.3">
      <c r="C519" s="6">
        <v>43873</v>
      </c>
      <c r="D519" s="7" t="s">
        <v>177</v>
      </c>
      <c r="E519" s="8">
        <v>2020</v>
      </c>
      <c r="F519" s="9" t="s">
        <v>108</v>
      </c>
      <c r="G519" s="9" t="s">
        <v>20</v>
      </c>
      <c r="H519" s="10" t="s">
        <v>92</v>
      </c>
      <c r="I519" s="7">
        <v>54</v>
      </c>
      <c r="J519" s="11">
        <v>50</v>
      </c>
      <c r="K519" s="11">
        <f t="shared" si="16"/>
        <v>2700</v>
      </c>
      <c r="L519" s="11">
        <v>0</v>
      </c>
      <c r="M519" s="11">
        <v>324</v>
      </c>
      <c r="N519" s="11">
        <f t="shared" si="17"/>
        <v>3024</v>
      </c>
    </row>
    <row r="520" spans="3:14" x14ac:dyDescent="0.3">
      <c r="C520" s="6">
        <v>43873</v>
      </c>
      <c r="D520" s="7" t="s">
        <v>177</v>
      </c>
      <c r="E520" s="8">
        <v>2020</v>
      </c>
      <c r="F520" s="9" t="s">
        <v>93</v>
      </c>
      <c r="G520" s="9" t="s">
        <v>42</v>
      </c>
      <c r="H520" s="10" t="s">
        <v>72</v>
      </c>
      <c r="I520" s="7">
        <v>89</v>
      </c>
      <c r="J520" s="11">
        <v>67</v>
      </c>
      <c r="K520" s="11">
        <f t="shared" si="16"/>
        <v>5963</v>
      </c>
      <c r="L520" s="11">
        <v>0</v>
      </c>
      <c r="M520" s="11">
        <v>715.56</v>
      </c>
      <c r="N520" s="11">
        <f t="shared" si="17"/>
        <v>6678.5599999999995</v>
      </c>
    </row>
    <row r="521" spans="3:14" x14ac:dyDescent="0.3">
      <c r="C521" s="6">
        <v>43873</v>
      </c>
      <c r="D521" s="7" t="s">
        <v>177</v>
      </c>
      <c r="E521" s="8">
        <v>2020</v>
      </c>
      <c r="F521" s="9" t="s">
        <v>93</v>
      </c>
      <c r="G521" s="9" t="s">
        <v>32</v>
      </c>
      <c r="H521" s="10" t="s">
        <v>140</v>
      </c>
      <c r="I521" s="7">
        <v>98</v>
      </c>
      <c r="J521" s="11">
        <v>56</v>
      </c>
      <c r="K521" s="11">
        <f t="shared" si="16"/>
        <v>5488</v>
      </c>
      <c r="L521" s="11">
        <v>0</v>
      </c>
      <c r="M521" s="11">
        <v>658.56</v>
      </c>
      <c r="N521" s="11">
        <f t="shared" si="17"/>
        <v>6146.5599999999995</v>
      </c>
    </row>
    <row r="522" spans="3:14" x14ac:dyDescent="0.3">
      <c r="C522" s="6">
        <v>43873</v>
      </c>
      <c r="D522" s="7" t="s">
        <v>177</v>
      </c>
      <c r="E522" s="8">
        <v>2020</v>
      </c>
      <c r="F522" s="9" t="s">
        <v>93</v>
      </c>
      <c r="G522" s="9" t="s">
        <v>37</v>
      </c>
      <c r="H522" s="10" t="s">
        <v>65</v>
      </c>
      <c r="I522" s="7">
        <v>84</v>
      </c>
      <c r="J522" s="11">
        <v>59</v>
      </c>
      <c r="K522" s="11">
        <f t="shared" si="16"/>
        <v>4956</v>
      </c>
      <c r="L522" s="11">
        <v>0</v>
      </c>
      <c r="M522" s="11">
        <v>594.72</v>
      </c>
      <c r="N522" s="11">
        <f t="shared" si="17"/>
        <v>5550.72</v>
      </c>
    </row>
    <row r="523" spans="3:14" x14ac:dyDescent="0.3">
      <c r="C523" s="6">
        <v>43873</v>
      </c>
      <c r="D523" s="7" t="s">
        <v>177</v>
      </c>
      <c r="E523" s="8">
        <v>2020</v>
      </c>
      <c r="F523" s="9" t="s">
        <v>93</v>
      </c>
      <c r="G523" s="9" t="s">
        <v>24</v>
      </c>
      <c r="H523" s="10" t="s">
        <v>25</v>
      </c>
      <c r="I523" s="7">
        <v>10</v>
      </c>
      <c r="J523" s="11">
        <v>60</v>
      </c>
      <c r="K523" s="11">
        <f t="shared" si="16"/>
        <v>600</v>
      </c>
      <c r="L523" s="11">
        <v>0</v>
      </c>
      <c r="M523" s="11">
        <v>72</v>
      </c>
      <c r="N523" s="11">
        <f t="shared" si="17"/>
        <v>672</v>
      </c>
    </row>
    <row r="524" spans="3:14" x14ac:dyDescent="0.3">
      <c r="C524" s="6">
        <v>43874</v>
      </c>
      <c r="D524" s="7" t="s">
        <v>177</v>
      </c>
      <c r="E524" s="8">
        <v>2020</v>
      </c>
      <c r="F524" s="9" t="s">
        <v>93</v>
      </c>
      <c r="G524" s="9" t="s">
        <v>37</v>
      </c>
      <c r="H524" s="10" t="s">
        <v>38</v>
      </c>
      <c r="I524" s="7">
        <v>98</v>
      </c>
      <c r="J524" s="11">
        <v>76</v>
      </c>
      <c r="K524" s="11">
        <f t="shared" si="16"/>
        <v>7448</v>
      </c>
      <c r="L524" s="11">
        <v>0</v>
      </c>
      <c r="M524" s="11">
        <v>893.76</v>
      </c>
      <c r="N524" s="11">
        <f t="shared" si="17"/>
        <v>8341.76</v>
      </c>
    </row>
    <row r="525" spans="3:14" x14ac:dyDescent="0.3">
      <c r="C525" s="6">
        <v>43874</v>
      </c>
      <c r="D525" s="7" t="s">
        <v>177</v>
      </c>
      <c r="E525" s="8">
        <v>2020</v>
      </c>
      <c r="F525" s="9" t="s">
        <v>93</v>
      </c>
      <c r="G525" s="9" t="s">
        <v>42</v>
      </c>
      <c r="H525" s="10" t="s">
        <v>109</v>
      </c>
      <c r="I525" s="7">
        <v>57</v>
      </c>
      <c r="J525" s="11">
        <v>19</v>
      </c>
      <c r="K525" s="11">
        <f t="shared" si="16"/>
        <v>1083</v>
      </c>
      <c r="L525" s="11">
        <v>0</v>
      </c>
      <c r="M525" s="11">
        <v>129.96</v>
      </c>
      <c r="N525" s="11">
        <f t="shared" si="17"/>
        <v>1212.96</v>
      </c>
    </row>
    <row r="526" spans="3:14" x14ac:dyDescent="0.3">
      <c r="C526" s="6">
        <v>43875</v>
      </c>
      <c r="D526" s="7" t="s">
        <v>177</v>
      </c>
      <c r="E526" s="8">
        <v>2020</v>
      </c>
      <c r="F526" s="9" t="s">
        <v>179</v>
      </c>
      <c r="G526" s="9" t="s">
        <v>32</v>
      </c>
      <c r="H526" s="10" t="s">
        <v>100</v>
      </c>
      <c r="I526" s="7">
        <v>56</v>
      </c>
      <c r="J526" s="11">
        <v>15</v>
      </c>
      <c r="K526" s="11">
        <f t="shared" si="16"/>
        <v>840</v>
      </c>
      <c r="L526" s="11">
        <v>0.10000000149011599</v>
      </c>
      <c r="M526" s="11">
        <v>100.8</v>
      </c>
      <c r="N526" s="11">
        <f t="shared" si="17"/>
        <v>940.69999999850984</v>
      </c>
    </row>
    <row r="527" spans="3:14" x14ac:dyDescent="0.3">
      <c r="C527" s="6">
        <v>43875</v>
      </c>
      <c r="D527" s="7" t="s">
        <v>177</v>
      </c>
      <c r="E527" s="8">
        <v>2020</v>
      </c>
      <c r="F527" s="9" t="s">
        <v>179</v>
      </c>
      <c r="G527" s="9" t="s">
        <v>37</v>
      </c>
      <c r="H527" s="10" t="s">
        <v>41</v>
      </c>
      <c r="I527" s="7">
        <v>76</v>
      </c>
      <c r="J527" s="11">
        <v>55</v>
      </c>
      <c r="K527" s="11">
        <f t="shared" si="16"/>
        <v>4180</v>
      </c>
      <c r="L527" s="11">
        <v>0.10000000149011599</v>
      </c>
      <c r="M527" s="11">
        <v>501.59999999999997</v>
      </c>
      <c r="N527" s="11">
        <f t="shared" si="17"/>
        <v>4681.4999999985102</v>
      </c>
    </row>
    <row r="528" spans="3:14" x14ac:dyDescent="0.3">
      <c r="C528" s="6">
        <v>43875</v>
      </c>
      <c r="D528" s="7" t="s">
        <v>177</v>
      </c>
      <c r="E528" s="8">
        <v>2020</v>
      </c>
      <c r="F528" s="9" t="s">
        <v>179</v>
      </c>
      <c r="G528" s="9" t="s">
        <v>14</v>
      </c>
      <c r="H528" s="10" t="s">
        <v>36</v>
      </c>
      <c r="I528" s="7">
        <v>3</v>
      </c>
      <c r="J528" s="11">
        <v>36</v>
      </c>
      <c r="K528" s="11">
        <f t="shared" si="16"/>
        <v>108</v>
      </c>
      <c r="L528" s="11">
        <v>0.10000000149011599</v>
      </c>
      <c r="M528" s="11">
        <v>12.959999999999999</v>
      </c>
      <c r="N528" s="11">
        <f t="shared" si="17"/>
        <v>120.85999999850988</v>
      </c>
    </row>
    <row r="529" spans="3:14" x14ac:dyDescent="0.3">
      <c r="C529" s="6">
        <v>43875</v>
      </c>
      <c r="D529" s="7" t="s">
        <v>177</v>
      </c>
      <c r="E529" s="8">
        <v>2020</v>
      </c>
      <c r="F529" s="9" t="s">
        <v>179</v>
      </c>
      <c r="G529" s="9" t="s">
        <v>16</v>
      </c>
      <c r="H529" s="10" t="s">
        <v>132</v>
      </c>
      <c r="I529" s="7">
        <v>100</v>
      </c>
      <c r="J529" s="11">
        <v>33</v>
      </c>
      <c r="K529" s="11">
        <f t="shared" si="16"/>
        <v>3300</v>
      </c>
      <c r="L529" s="11">
        <v>0.10000000149011599</v>
      </c>
      <c r="M529" s="11">
        <v>396</v>
      </c>
      <c r="N529" s="11">
        <f t="shared" si="17"/>
        <v>3695.8999999985099</v>
      </c>
    </row>
    <row r="530" spans="3:14" x14ac:dyDescent="0.3">
      <c r="C530" s="6">
        <v>43875</v>
      </c>
      <c r="D530" s="7" t="s">
        <v>177</v>
      </c>
      <c r="E530" s="8">
        <v>2020</v>
      </c>
      <c r="F530" s="9" t="s">
        <v>105</v>
      </c>
      <c r="G530" s="9" t="s">
        <v>32</v>
      </c>
      <c r="H530" s="10" t="s">
        <v>100</v>
      </c>
      <c r="I530" s="7">
        <v>100</v>
      </c>
      <c r="J530" s="11">
        <v>95</v>
      </c>
      <c r="K530" s="11">
        <f t="shared" si="16"/>
        <v>9500</v>
      </c>
      <c r="L530" s="11">
        <v>0</v>
      </c>
      <c r="M530" s="11">
        <v>1140</v>
      </c>
      <c r="N530" s="11">
        <f t="shared" si="17"/>
        <v>10640</v>
      </c>
    </row>
    <row r="531" spans="3:14" x14ac:dyDescent="0.3">
      <c r="C531" s="6">
        <v>43875</v>
      </c>
      <c r="D531" s="7" t="s">
        <v>177</v>
      </c>
      <c r="E531" s="8">
        <v>2020</v>
      </c>
      <c r="F531" s="9" t="s">
        <v>105</v>
      </c>
      <c r="G531" s="9" t="s">
        <v>26</v>
      </c>
      <c r="H531" s="10" t="s">
        <v>27</v>
      </c>
      <c r="I531" s="7">
        <v>79</v>
      </c>
      <c r="J531" s="11">
        <v>25</v>
      </c>
      <c r="K531" s="11">
        <f t="shared" si="16"/>
        <v>1975</v>
      </c>
      <c r="L531" s="11">
        <v>0</v>
      </c>
      <c r="M531" s="11">
        <v>237</v>
      </c>
      <c r="N531" s="11">
        <f t="shared" si="17"/>
        <v>2212</v>
      </c>
    </row>
    <row r="532" spans="3:14" x14ac:dyDescent="0.3">
      <c r="C532" s="6">
        <v>43875</v>
      </c>
      <c r="D532" s="7" t="s">
        <v>177</v>
      </c>
      <c r="E532" s="8">
        <v>2020</v>
      </c>
      <c r="F532" s="9" t="s">
        <v>105</v>
      </c>
      <c r="G532" s="9" t="s">
        <v>14</v>
      </c>
      <c r="H532" s="10" t="s">
        <v>87</v>
      </c>
      <c r="I532" s="7">
        <v>70</v>
      </c>
      <c r="J532" s="11">
        <v>15</v>
      </c>
      <c r="K532" s="11">
        <f t="shared" si="16"/>
        <v>1050</v>
      </c>
      <c r="L532" s="11">
        <v>0</v>
      </c>
      <c r="M532" s="11">
        <v>126</v>
      </c>
      <c r="N532" s="11">
        <f t="shared" si="17"/>
        <v>1176</v>
      </c>
    </row>
    <row r="533" spans="3:14" x14ac:dyDescent="0.3">
      <c r="C533" s="6">
        <v>43878</v>
      </c>
      <c r="D533" s="7" t="s">
        <v>177</v>
      </c>
      <c r="E533" s="8">
        <v>2020</v>
      </c>
      <c r="F533" s="9" t="s">
        <v>180</v>
      </c>
      <c r="G533" s="9" t="s">
        <v>32</v>
      </c>
      <c r="H533" s="10" t="s">
        <v>140</v>
      </c>
      <c r="I533" s="7">
        <v>22</v>
      </c>
      <c r="J533" s="11">
        <v>42</v>
      </c>
      <c r="K533" s="11">
        <f t="shared" si="16"/>
        <v>924</v>
      </c>
      <c r="L533" s="11">
        <v>0</v>
      </c>
      <c r="M533" s="11">
        <v>110.88</v>
      </c>
      <c r="N533" s="11">
        <f t="shared" si="17"/>
        <v>1034.8800000000001</v>
      </c>
    </row>
    <row r="534" spans="3:14" x14ac:dyDescent="0.3">
      <c r="C534" s="6">
        <v>43878</v>
      </c>
      <c r="D534" s="7" t="s">
        <v>177</v>
      </c>
      <c r="E534" s="8">
        <v>2020</v>
      </c>
      <c r="F534" s="9" t="s">
        <v>180</v>
      </c>
      <c r="G534" s="9" t="s">
        <v>24</v>
      </c>
      <c r="H534" s="10" t="s">
        <v>76</v>
      </c>
      <c r="I534" s="7">
        <v>36</v>
      </c>
      <c r="J534" s="11">
        <v>54</v>
      </c>
      <c r="K534" s="11">
        <f t="shared" si="16"/>
        <v>1944</v>
      </c>
      <c r="L534" s="11">
        <v>0</v>
      </c>
      <c r="M534" s="11">
        <v>233.28</v>
      </c>
      <c r="N534" s="11">
        <f t="shared" si="17"/>
        <v>2177.2800000000002</v>
      </c>
    </row>
    <row r="535" spans="3:14" x14ac:dyDescent="0.3">
      <c r="C535" s="6">
        <v>43879</v>
      </c>
      <c r="D535" s="7" t="s">
        <v>177</v>
      </c>
      <c r="E535" s="8">
        <v>2020</v>
      </c>
      <c r="F535" s="9" t="s">
        <v>71</v>
      </c>
      <c r="G535" s="9" t="s">
        <v>24</v>
      </c>
      <c r="H535" s="10" t="s">
        <v>85</v>
      </c>
      <c r="I535" s="7">
        <v>42</v>
      </c>
      <c r="J535" s="11">
        <v>50</v>
      </c>
      <c r="K535" s="11">
        <f t="shared" si="16"/>
        <v>2100</v>
      </c>
      <c r="L535" s="11">
        <v>0</v>
      </c>
      <c r="M535" s="11">
        <v>252</v>
      </c>
      <c r="N535" s="11">
        <f t="shared" si="17"/>
        <v>2352</v>
      </c>
    </row>
    <row r="536" spans="3:14" x14ac:dyDescent="0.3">
      <c r="C536" s="6">
        <v>43879</v>
      </c>
      <c r="D536" s="7" t="s">
        <v>177</v>
      </c>
      <c r="E536" s="8">
        <v>2020</v>
      </c>
      <c r="F536" s="9" t="s">
        <v>71</v>
      </c>
      <c r="G536" s="9" t="s">
        <v>16</v>
      </c>
      <c r="H536" s="10" t="s">
        <v>132</v>
      </c>
      <c r="I536" s="7">
        <v>62</v>
      </c>
      <c r="J536" s="11">
        <v>26</v>
      </c>
      <c r="K536" s="11">
        <f t="shared" si="16"/>
        <v>1612</v>
      </c>
      <c r="L536" s="11">
        <v>0</v>
      </c>
      <c r="M536" s="11">
        <v>193.44</v>
      </c>
      <c r="N536" s="11">
        <f t="shared" si="17"/>
        <v>1805.44</v>
      </c>
    </row>
    <row r="537" spans="3:14" x14ac:dyDescent="0.3">
      <c r="C537" s="6">
        <v>43879</v>
      </c>
      <c r="D537" s="7" t="s">
        <v>177</v>
      </c>
      <c r="E537" s="8">
        <v>2020</v>
      </c>
      <c r="F537" s="9" t="s">
        <v>71</v>
      </c>
      <c r="G537" s="9" t="s">
        <v>32</v>
      </c>
      <c r="H537" s="10" t="s">
        <v>62</v>
      </c>
      <c r="I537" s="7">
        <v>80</v>
      </c>
      <c r="J537" s="11">
        <v>48</v>
      </c>
      <c r="K537" s="11">
        <f t="shared" si="16"/>
        <v>3840</v>
      </c>
      <c r="L537" s="11">
        <v>0</v>
      </c>
      <c r="M537" s="11">
        <v>460.79999999999995</v>
      </c>
      <c r="N537" s="11">
        <f t="shared" si="17"/>
        <v>4300.8</v>
      </c>
    </row>
    <row r="538" spans="3:14" x14ac:dyDescent="0.3">
      <c r="C538" s="6">
        <v>43880</v>
      </c>
      <c r="D538" s="7" t="s">
        <v>177</v>
      </c>
      <c r="E538" s="8">
        <v>2020</v>
      </c>
      <c r="F538" s="9" t="s">
        <v>28</v>
      </c>
      <c r="G538" s="9" t="s">
        <v>24</v>
      </c>
      <c r="H538" s="10" t="s">
        <v>85</v>
      </c>
      <c r="I538" s="7">
        <v>65</v>
      </c>
      <c r="J538" s="11">
        <v>60</v>
      </c>
      <c r="K538" s="11">
        <f t="shared" si="16"/>
        <v>3900</v>
      </c>
      <c r="L538" s="11">
        <v>0.20000000298023199</v>
      </c>
      <c r="M538" s="11">
        <v>468</v>
      </c>
      <c r="N538" s="11">
        <f t="shared" si="17"/>
        <v>4367.7999999970198</v>
      </c>
    </row>
    <row r="539" spans="3:14" x14ac:dyDescent="0.3">
      <c r="C539" s="6">
        <v>43880</v>
      </c>
      <c r="D539" s="7" t="s">
        <v>177</v>
      </c>
      <c r="E539" s="8">
        <v>2020</v>
      </c>
      <c r="F539" s="9" t="s">
        <v>28</v>
      </c>
      <c r="G539" s="9" t="s">
        <v>42</v>
      </c>
      <c r="H539" s="10" t="s">
        <v>109</v>
      </c>
      <c r="I539" s="7">
        <v>55</v>
      </c>
      <c r="J539" s="11">
        <v>55</v>
      </c>
      <c r="K539" s="11">
        <f t="shared" si="16"/>
        <v>3025</v>
      </c>
      <c r="L539" s="11">
        <v>0.20000000298023199</v>
      </c>
      <c r="M539" s="11">
        <v>363</v>
      </c>
      <c r="N539" s="11">
        <f t="shared" si="17"/>
        <v>3387.7999999970198</v>
      </c>
    </row>
    <row r="540" spans="3:14" x14ac:dyDescent="0.3">
      <c r="C540" s="6">
        <v>43880</v>
      </c>
      <c r="D540" s="7" t="s">
        <v>177</v>
      </c>
      <c r="E540" s="8">
        <v>2020</v>
      </c>
      <c r="F540" s="9" t="s">
        <v>84</v>
      </c>
      <c r="G540" s="9" t="s">
        <v>42</v>
      </c>
      <c r="H540" s="10" t="s">
        <v>43</v>
      </c>
      <c r="I540" s="7">
        <v>84</v>
      </c>
      <c r="J540" s="11">
        <v>62</v>
      </c>
      <c r="K540" s="11">
        <f t="shared" si="16"/>
        <v>5208</v>
      </c>
      <c r="L540" s="11">
        <v>0.10000000149011599</v>
      </c>
      <c r="M540" s="11">
        <v>624.95999999999992</v>
      </c>
      <c r="N540" s="11">
        <f t="shared" si="17"/>
        <v>5832.8599999985099</v>
      </c>
    </row>
    <row r="541" spans="3:14" x14ac:dyDescent="0.3">
      <c r="C541" s="6">
        <v>43880</v>
      </c>
      <c r="D541" s="7" t="s">
        <v>177</v>
      </c>
      <c r="E541" s="8">
        <v>2020</v>
      </c>
      <c r="F541" s="9" t="s">
        <v>84</v>
      </c>
      <c r="G541" s="9" t="s">
        <v>16</v>
      </c>
      <c r="H541" s="10" t="s">
        <v>113</v>
      </c>
      <c r="I541" s="7">
        <v>93</v>
      </c>
      <c r="J541" s="11">
        <v>90</v>
      </c>
      <c r="K541" s="11">
        <f t="shared" si="16"/>
        <v>8370</v>
      </c>
      <c r="L541" s="11">
        <v>0.10000000149011599</v>
      </c>
      <c r="M541" s="11">
        <v>1004.4</v>
      </c>
      <c r="N541" s="11">
        <f t="shared" si="17"/>
        <v>9374.2999999985095</v>
      </c>
    </row>
    <row r="542" spans="3:14" x14ac:dyDescent="0.3">
      <c r="C542" s="6">
        <v>43880</v>
      </c>
      <c r="D542" s="7" t="s">
        <v>177</v>
      </c>
      <c r="E542" s="8">
        <v>2020</v>
      </c>
      <c r="F542" s="9" t="s">
        <v>84</v>
      </c>
      <c r="G542" s="9" t="s">
        <v>26</v>
      </c>
      <c r="H542" s="10" t="s">
        <v>27</v>
      </c>
      <c r="I542" s="7">
        <v>38</v>
      </c>
      <c r="J542" s="11">
        <v>35</v>
      </c>
      <c r="K542" s="11">
        <f t="shared" si="16"/>
        <v>1330</v>
      </c>
      <c r="L542" s="11">
        <v>0.10000000149011599</v>
      </c>
      <c r="M542" s="11">
        <v>159.6</v>
      </c>
      <c r="N542" s="11">
        <f t="shared" si="17"/>
        <v>1489.4999999985098</v>
      </c>
    </row>
    <row r="543" spans="3:14" x14ac:dyDescent="0.3">
      <c r="C543" s="6">
        <v>43880</v>
      </c>
      <c r="D543" s="7" t="s">
        <v>177</v>
      </c>
      <c r="E543" s="8">
        <v>2020</v>
      </c>
      <c r="F543" s="9" t="s">
        <v>84</v>
      </c>
      <c r="G543" s="9" t="s">
        <v>26</v>
      </c>
      <c r="H543" s="10" t="s">
        <v>52</v>
      </c>
      <c r="I543" s="7">
        <v>51</v>
      </c>
      <c r="J543" s="11">
        <v>95</v>
      </c>
      <c r="K543" s="11">
        <f t="shared" si="16"/>
        <v>4845</v>
      </c>
      <c r="L543" s="11">
        <v>0.10000000149011599</v>
      </c>
      <c r="M543" s="11">
        <v>581.4</v>
      </c>
      <c r="N543" s="11">
        <f t="shared" si="17"/>
        <v>5426.2999999985095</v>
      </c>
    </row>
    <row r="544" spans="3:14" x14ac:dyDescent="0.3">
      <c r="C544" s="6">
        <v>43881</v>
      </c>
      <c r="D544" s="7" t="s">
        <v>177</v>
      </c>
      <c r="E544" s="8">
        <v>2020</v>
      </c>
      <c r="F544" s="9" t="s">
        <v>135</v>
      </c>
      <c r="G544" s="9" t="s">
        <v>20</v>
      </c>
      <c r="H544" s="10" t="s">
        <v>92</v>
      </c>
      <c r="I544" s="7">
        <v>39</v>
      </c>
      <c r="J544" s="11">
        <v>82</v>
      </c>
      <c r="K544" s="11">
        <f t="shared" si="16"/>
        <v>3198</v>
      </c>
      <c r="L544" s="11">
        <v>0</v>
      </c>
      <c r="M544" s="11">
        <v>383.76</v>
      </c>
      <c r="N544" s="11">
        <f t="shared" si="17"/>
        <v>3581.76</v>
      </c>
    </row>
    <row r="545" spans="3:14" x14ac:dyDescent="0.3">
      <c r="C545" s="6">
        <v>43881</v>
      </c>
      <c r="D545" s="7" t="s">
        <v>177</v>
      </c>
      <c r="E545" s="8">
        <v>2020</v>
      </c>
      <c r="F545" s="9" t="s">
        <v>135</v>
      </c>
      <c r="G545" s="9" t="s">
        <v>26</v>
      </c>
      <c r="H545" s="10" t="s">
        <v>94</v>
      </c>
      <c r="I545" s="7">
        <v>37</v>
      </c>
      <c r="J545" s="11">
        <v>83</v>
      </c>
      <c r="K545" s="11">
        <f t="shared" si="16"/>
        <v>3071</v>
      </c>
      <c r="L545" s="11">
        <v>5.0000000745058101E-2</v>
      </c>
      <c r="M545" s="11">
        <v>368.52</v>
      </c>
      <c r="N545" s="11">
        <f t="shared" si="17"/>
        <v>3439.4699999992549</v>
      </c>
    </row>
    <row r="546" spans="3:14" x14ac:dyDescent="0.3">
      <c r="C546" s="6">
        <v>43882</v>
      </c>
      <c r="D546" s="7" t="s">
        <v>177</v>
      </c>
      <c r="E546" s="8">
        <v>2020</v>
      </c>
      <c r="F546" s="9" t="s">
        <v>153</v>
      </c>
      <c r="G546" s="9" t="s">
        <v>32</v>
      </c>
      <c r="H546" s="10" t="s">
        <v>168</v>
      </c>
      <c r="I546" s="7">
        <v>45</v>
      </c>
      <c r="J546" s="11">
        <v>45</v>
      </c>
      <c r="K546" s="11">
        <f t="shared" si="16"/>
        <v>2025</v>
      </c>
      <c r="L546" s="11">
        <v>0.10000000149011599</v>
      </c>
      <c r="M546" s="11">
        <v>243</v>
      </c>
      <c r="N546" s="11">
        <f t="shared" si="17"/>
        <v>2267.8999999985099</v>
      </c>
    </row>
    <row r="547" spans="3:14" x14ac:dyDescent="0.3">
      <c r="C547" s="6">
        <v>43882</v>
      </c>
      <c r="D547" s="7" t="s">
        <v>177</v>
      </c>
      <c r="E547" s="8">
        <v>2020</v>
      </c>
      <c r="F547" s="9" t="s">
        <v>153</v>
      </c>
      <c r="G547" s="9" t="s">
        <v>37</v>
      </c>
      <c r="H547" s="10" t="s">
        <v>63</v>
      </c>
      <c r="I547" s="7">
        <v>96</v>
      </c>
      <c r="J547" s="11">
        <v>48</v>
      </c>
      <c r="K547" s="11">
        <f t="shared" si="16"/>
        <v>4608</v>
      </c>
      <c r="L547" s="11">
        <v>0.10000000149011599</v>
      </c>
      <c r="M547" s="11">
        <v>552.96</v>
      </c>
      <c r="N547" s="11">
        <f t="shared" si="17"/>
        <v>5160.8599999985099</v>
      </c>
    </row>
    <row r="548" spans="3:14" x14ac:dyDescent="0.3">
      <c r="C548" s="6">
        <v>43882</v>
      </c>
      <c r="D548" s="7" t="s">
        <v>177</v>
      </c>
      <c r="E548" s="8">
        <v>2020</v>
      </c>
      <c r="F548" s="9" t="s">
        <v>150</v>
      </c>
      <c r="G548" s="9" t="s">
        <v>32</v>
      </c>
      <c r="H548" s="10" t="s">
        <v>47</v>
      </c>
      <c r="I548" s="7">
        <v>91</v>
      </c>
      <c r="J548" s="11">
        <v>41</v>
      </c>
      <c r="K548" s="11">
        <f t="shared" si="16"/>
        <v>3731</v>
      </c>
      <c r="L548" s="11">
        <v>0.20000000298023199</v>
      </c>
      <c r="M548" s="11">
        <v>447.71999999999997</v>
      </c>
      <c r="N548" s="11">
        <f t="shared" si="17"/>
        <v>4178.51999999702</v>
      </c>
    </row>
    <row r="549" spans="3:14" x14ac:dyDescent="0.3">
      <c r="C549" s="6">
        <v>43882</v>
      </c>
      <c r="D549" s="7" t="s">
        <v>177</v>
      </c>
      <c r="E549" s="8">
        <v>2020</v>
      </c>
      <c r="F549" s="9" t="s">
        <v>150</v>
      </c>
      <c r="G549" s="9" t="s">
        <v>14</v>
      </c>
      <c r="H549" s="10" t="s">
        <v>34</v>
      </c>
      <c r="I549" s="7">
        <v>86</v>
      </c>
      <c r="J549" s="11">
        <v>28</v>
      </c>
      <c r="K549" s="11">
        <f t="shared" si="16"/>
        <v>2408</v>
      </c>
      <c r="L549" s="11">
        <v>0.20000000298023199</v>
      </c>
      <c r="M549" s="11">
        <v>288.95999999999998</v>
      </c>
      <c r="N549" s="11">
        <f t="shared" si="17"/>
        <v>2696.7599999970198</v>
      </c>
    </row>
    <row r="550" spans="3:14" x14ac:dyDescent="0.3">
      <c r="C550" s="6">
        <v>43882</v>
      </c>
      <c r="D550" s="7" t="s">
        <v>177</v>
      </c>
      <c r="E550" s="8">
        <v>2020</v>
      </c>
      <c r="F550" s="9" t="s">
        <v>150</v>
      </c>
      <c r="G550" s="9" t="s">
        <v>24</v>
      </c>
      <c r="H550" s="10" t="s">
        <v>107</v>
      </c>
      <c r="I550" s="7">
        <v>32</v>
      </c>
      <c r="J550" s="11">
        <v>45</v>
      </c>
      <c r="K550" s="11">
        <f t="shared" si="16"/>
        <v>1440</v>
      </c>
      <c r="L550" s="11">
        <v>0.20000000298023199</v>
      </c>
      <c r="M550" s="11">
        <v>172.79999999999998</v>
      </c>
      <c r="N550" s="11">
        <f t="shared" si="17"/>
        <v>1612.5999999970197</v>
      </c>
    </row>
    <row r="551" spans="3:14" x14ac:dyDescent="0.3">
      <c r="C551" s="6">
        <v>43885</v>
      </c>
      <c r="D551" s="7" t="s">
        <v>177</v>
      </c>
      <c r="E551" s="8">
        <v>2020</v>
      </c>
      <c r="F551" s="9" t="s">
        <v>73</v>
      </c>
      <c r="G551" s="9" t="s">
        <v>37</v>
      </c>
      <c r="H551" s="10" t="s">
        <v>38</v>
      </c>
      <c r="I551" s="7">
        <v>35</v>
      </c>
      <c r="J551" s="11">
        <v>83</v>
      </c>
      <c r="K551" s="11">
        <f t="shared" si="16"/>
        <v>2905</v>
      </c>
      <c r="L551" s="11">
        <v>0</v>
      </c>
      <c r="M551" s="11">
        <v>348.59999999999997</v>
      </c>
      <c r="N551" s="11">
        <f t="shared" si="17"/>
        <v>3253.6</v>
      </c>
    </row>
    <row r="552" spans="3:14" x14ac:dyDescent="0.3">
      <c r="C552" s="6">
        <v>43885</v>
      </c>
      <c r="D552" s="7" t="s">
        <v>177</v>
      </c>
      <c r="E552" s="8">
        <v>2020</v>
      </c>
      <c r="F552" s="9" t="s">
        <v>73</v>
      </c>
      <c r="G552" s="9" t="s">
        <v>42</v>
      </c>
      <c r="H552" s="10" t="s">
        <v>51</v>
      </c>
      <c r="I552" s="7">
        <v>95</v>
      </c>
      <c r="J552" s="11">
        <v>37</v>
      </c>
      <c r="K552" s="11">
        <f t="shared" si="16"/>
        <v>3515</v>
      </c>
      <c r="L552" s="11">
        <v>0</v>
      </c>
      <c r="M552" s="11">
        <v>421.8</v>
      </c>
      <c r="N552" s="11">
        <f t="shared" si="17"/>
        <v>3936.8</v>
      </c>
    </row>
    <row r="553" spans="3:14" x14ac:dyDescent="0.3">
      <c r="C553" s="6">
        <v>43885</v>
      </c>
      <c r="D553" s="7" t="s">
        <v>177</v>
      </c>
      <c r="E553" s="8">
        <v>2020</v>
      </c>
      <c r="F553" s="9" t="s">
        <v>73</v>
      </c>
      <c r="G553" s="9" t="s">
        <v>26</v>
      </c>
      <c r="H553" s="10" t="s">
        <v>173</v>
      </c>
      <c r="I553" s="7">
        <v>100</v>
      </c>
      <c r="J553" s="11">
        <v>61</v>
      </c>
      <c r="K553" s="11">
        <f t="shared" si="16"/>
        <v>6100</v>
      </c>
      <c r="L553" s="11">
        <v>0</v>
      </c>
      <c r="M553" s="11">
        <v>732</v>
      </c>
      <c r="N553" s="11">
        <f t="shared" si="17"/>
        <v>6832</v>
      </c>
    </row>
    <row r="554" spans="3:14" x14ac:dyDescent="0.3">
      <c r="C554" s="6">
        <v>43885</v>
      </c>
      <c r="D554" s="7" t="s">
        <v>177</v>
      </c>
      <c r="E554" s="8">
        <v>2020</v>
      </c>
      <c r="F554" s="9" t="s">
        <v>73</v>
      </c>
      <c r="G554" s="9" t="s">
        <v>14</v>
      </c>
      <c r="H554" s="10" t="s">
        <v>87</v>
      </c>
      <c r="I554" s="7">
        <v>94</v>
      </c>
      <c r="J554" s="11">
        <v>38</v>
      </c>
      <c r="K554" s="11">
        <f t="shared" si="16"/>
        <v>3572</v>
      </c>
      <c r="L554" s="11">
        <v>0</v>
      </c>
      <c r="M554" s="11">
        <v>428.64</v>
      </c>
      <c r="N554" s="11">
        <f t="shared" si="17"/>
        <v>4000.64</v>
      </c>
    </row>
    <row r="555" spans="3:14" x14ac:dyDescent="0.3">
      <c r="C555" s="6">
        <v>43886</v>
      </c>
      <c r="D555" s="7" t="s">
        <v>177</v>
      </c>
      <c r="E555" s="8">
        <v>2020</v>
      </c>
      <c r="F555" s="9" t="s">
        <v>133</v>
      </c>
      <c r="G555" s="9" t="s">
        <v>32</v>
      </c>
      <c r="H555" s="10" t="s">
        <v>59</v>
      </c>
      <c r="I555" s="7">
        <v>61</v>
      </c>
      <c r="J555" s="11">
        <v>44</v>
      </c>
      <c r="K555" s="11">
        <f t="shared" si="16"/>
        <v>2684</v>
      </c>
      <c r="L555" s="11">
        <v>0.15000000596046401</v>
      </c>
      <c r="M555" s="11">
        <v>322.08</v>
      </c>
      <c r="N555" s="11">
        <f t="shared" si="17"/>
        <v>3005.9299999940395</v>
      </c>
    </row>
    <row r="556" spans="3:14" x14ac:dyDescent="0.3">
      <c r="C556" s="6">
        <v>43886</v>
      </c>
      <c r="D556" s="7" t="s">
        <v>177</v>
      </c>
      <c r="E556" s="8">
        <v>2020</v>
      </c>
      <c r="F556" s="9" t="s">
        <v>133</v>
      </c>
      <c r="G556" s="9" t="s">
        <v>32</v>
      </c>
      <c r="H556" s="10" t="s">
        <v>39</v>
      </c>
      <c r="I556" s="7">
        <v>11</v>
      </c>
      <c r="J556" s="11">
        <v>10</v>
      </c>
      <c r="K556" s="11">
        <f t="shared" si="16"/>
        <v>110</v>
      </c>
      <c r="L556" s="11">
        <v>0.15000000596046401</v>
      </c>
      <c r="M556" s="11">
        <v>13.2</v>
      </c>
      <c r="N556" s="11">
        <f t="shared" si="17"/>
        <v>123.04999999403954</v>
      </c>
    </row>
    <row r="557" spans="3:14" x14ac:dyDescent="0.3">
      <c r="C557" s="6">
        <v>43886</v>
      </c>
      <c r="D557" s="7" t="s">
        <v>177</v>
      </c>
      <c r="E557" s="8">
        <v>2020</v>
      </c>
      <c r="F557" s="9" t="s">
        <v>133</v>
      </c>
      <c r="G557" s="9" t="s">
        <v>14</v>
      </c>
      <c r="H557" s="10" t="s">
        <v>49</v>
      </c>
      <c r="I557" s="7">
        <v>7</v>
      </c>
      <c r="J557" s="11">
        <v>28</v>
      </c>
      <c r="K557" s="11">
        <f t="shared" si="16"/>
        <v>196</v>
      </c>
      <c r="L557" s="11">
        <v>0</v>
      </c>
      <c r="M557" s="11">
        <v>23.52</v>
      </c>
      <c r="N557" s="11">
        <f t="shared" si="17"/>
        <v>219.52</v>
      </c>
    </row>
    <row r="558" spans="3:14" x14ac:dyDescent="0.3">
      <c r="C558" s="6">
        <v>43887</v>
      </c>
      <c r="D558" s="7" t="s">
        <v>177</v>
      </c>
      <c r="E558" s="8">
        <v>2020</v>
      </c>
      <c r="F558" s="9" t="s">
        <v>31</v>
      </c>
      <c r="G558" s="9" t="s">
        <v>32</v>
      </c>
      <c r="H558" s="10" t="s">
        <v>140</v>
      </c>
      <c r="I558" s="7">
        <v>74</v>
      </c>
      <c r="J558" s="11">
        <v>99</v>
      </c>
      <c r="K558" s="11">
        <f t="shared" si="16"/>
        <v>7326</v>
      </c>
      <c r="L558" s="11">
        <v>0</v>
      </c>
      <c r="M558" s="11">
        <v>879.12</v>
      </c>
      <c r="N558" s="11">
        <f t="shared" si="17"/>
        <v>8205.1200000000008</v>
      </c>
    </row>
    <row r="559" spans="3:14" x14ac:dyDescent="0.3">
      <c r="C559" s="6">
        <v>43887</v>
      </c>
      <c r="D559" s="7" t="s">
        <v>177</v>
      </c>
      <c r="E559" s="8">
        <v>2020</v>
      </c>
      <c r="F559" s="9" t="s">
        <v>31</v>
      </c>
      <c r="G559" s="9" t="s">
        <v>20</v>
      </c>
      <c r="H559" s="10" t="s">
        <v>92</v>
      </c>
      <c r="I559" s="7">
        <v>80</v>
      </c>
      <c r="J559" s="11">
        <v>40</v>
      </c>
      <c r="K559" s="11">
        <f t="shared" si="16"/>
        <v>3200</v>
      </c>
      <c r="L559" s="11">
        <v>0</v>
      </c>
      <c r="M559" s="11">
        <v>384</v>
      </c>
      <c r="N559" s="11">
        <f t="shared" si="17"/>
        <v>3584</v>
      </c>
    </row>
    <row r="560" spans="3:14" x14ac:dyDescent="0.3">
      <c r="C560" s="6">
        <v>43887</v>
      </c>
      <c r="D560" s="7" t="s">
        <v>177</v>
      </c>
      <c r="E560" s="8">
        <v>2020</v>
      </c>
      <c r="F560" s="9" t="s">
        <v>31</v>
      </c>
      <c r="G560" s="9" t="s">
        <v>37</v>
      </c>
      <c r="H560" s="10" t="s">
        <v>82</v>
      </c>
      <c r="I560" s="7">
        <v>21</v>
      </c>
      <c r="J560" s="11">
        <v>39</v>
      </c>
      <c r="K560" s="11">
        <f t="shared" si="16"/>
        <v>819</v>
      </c>
      <c r="L560" s="11">
        <v>0</v>
      </c>
      <c r="M560" s="11">
        <v>98.28</v>
      </c>
      <c r="N560" s="11">
        <f t="shared" si="17"/>
        <v>917.28</v>
      </c>
    </row>
    <row r="561" spans="3:14" x14ac:dyDescent="0.3">
      <c r="C561" s="6">
        <v>43887</v>
      </c>
      <c r="D561" s="7" t="s">
        <v>177</v>
      </c>
      <c r="E561" s="8">
        <v>2020</v>
      </c>
      <c r="F561" s="9" t="s">
        <v>31</v>
      </c>
      <c r="G561" s="9" t="s">
        <v>16</v>
      </c>
      <c r="H561" s="10" t="s">
        <v>68</v>
      </c>
      <c r="I561" s="7">
        <v>26</v>
      </c>
      <c r="J561" s="11">
        <v>67</v>
      </c>
      <c r="K561" s="11">
        <f t="shared" si="16"/>
        <v>1742</v>
      </c>
      <c r="L561" s="11">
        <v>0</v>
      </c>
      <c r="M561" s="11">
        <v>209.04</v>
      </c>
      <c r="N561" s="11">
        <f t="shared" si="17"/>
        <v>1951.04</v>
      </c>
    </row>
    <row r="562" spans="3:14" x14ac:dyDescent="0.3">
      <c r="C562" s="6">
        <v>43887</v>
      </c>
      <c r="D562" s="7" t="s">
        <v>177</v>
      </c>
      <c r="E562" s="8">
        <v>2020</v>
      </c>
      <c r="F562" s="9" t="s">
        <v>31</v>
      </c>
      <c r="G562" s="9" t="s">
        <v>14</v>
      </c>
      <c r="H562" s="10" t="s">
        <v>87</v>
      </c>
      <c r="I562" s="7">
        <v>75</v>
      </c>
      <c r="J562" s="11">
        <v>62</v>
      </c>
      <c r="K562" s="11">
        <f t="shared" si="16"/>
        <v>4650</v>
      </c>
      <c r="L562" s="11">
        <v>0</v>
      </c>
      <c r="M562" s="11">
        <v>558</v>
      </c>
      <c r="N562" s="11">
        <f t="shared" si="17"/>
        <v>5208</v>
      </c>
    </row>
    <row r="563" spans="3:14" x14ac:dyDescent="0.3">
      <c r="C563" s="6">
        <v>43888</v>
      </c>
      <c r="D563" s="7" t="s">
        <v>177</v>
      </c>
      <c r="E563" s="8">
        <v>2020</v>
      </c>
      <c r="F563" s="9" t="s">
        <v>28</v>
      </c>
      <c r="G563" s="9" t="s">
        <v>20</v>
      </c>
      <c r="H563" s="10" t="s">
        <v>67</v>
      </c>
      <c r="I563" s="7">
        <v>54</v>
      </c>
      <c r="J563" s="11">
        <v>71</v>
      </c>
      <c r="K563" s="11">
        <f t="shared" si="16"/>
        <v>3834</v>
      </c>
      <c r="L563" s="11">
        <v>5.0000000745058101E-2</v>
      </c>
      <c r="M563" s="11">
        <v>460.08</v>
      </c>
      <c r="N563" s="11">
        <f t="shared" si="17"/>
        <v>4294.0299999992549</v>
      </c>
    </row>
    <row r="564" spans="3:14" x14ac:dyDescent="0.3">
      <c r="C564" s="6">
        <v>43888</v>
      </c>
      <c r="D564" s="7" t="s">
        <v>177</v>
      </c>
      <c r="E564" s="8">
        <v>2020</v>
      </c>
      <c r="F564" s="9" t="s">
        <v>28</v>
      </c>
      <c r="G564" s="9" t="s">
        <v>24</v>
      </c>
      <c r="H564" s="10" t="s">
        <v>107</v>
      </c>
      <c r="I564" s="7">
        <v>89</v>
      </c>
      <c r="J564" s="11">
        <v>19</v>
      </c>
      <c r="K564" s="11">
        <f t="shared" si="16"/>
        <v>1691</v>
      </c>
      <c r="L564" s="11">
        <v>5.0000000745058101E-2</v>
      </c>
      <c r="M564" s="11">
        <v>202.92</v>
      </c>
      <c r="N564" s="11">
        <f t="shared" si="17"/>
        <v>1893.869999999255</v>
      </c>
    </row>
    <row r="565" spans="3:14" x14ac:dyDescent="0.3">
      <c r="C565" s="6">
        <v>43888</v>
      </c>
      <c r="D565" s="7" t="s">
        <v>177</v>
      </c>
      <c r="E565" s="8">
        <v>2020</v>
      </c>
      <c r="F565" s="9" t="s">
        <v>28</v>
      </c>
      <c r="G565" s="9" t="s">
        <v>14</v>
      </c>
      <c r="H565" s="10" t="s">
        <v>18</v>
      </c>
      <c r="I565" s="7">
        <v>5</v>
      </c>
      <c r="J565" s="11">
        <v>96</v>
      </c>
      <c r="K565" s="11">
        <f t="shared" si="16"/>
        <v>480</v>
      </c>
      <c r="L565" s="11">
        <v>0</v>
      </c>
      <c r="M565" s="11">
        <v>57.599999999999994</v>
      </c>
      <c r="N565" s="11">
        <f t="shared" si="17"/>
        <v>537.6</v>
      </c>
    </row>
    <row r="566" spans="3:14" x14ac:dyDescent="0.3">
      <c r="C566" s="6">
        <v>43889</v>
      </c>
      <c r="D566" s="7" t="s">
        <v>177</v>
      </c>
      <c r="E566" s="8">
        <v>2020</v>
      </c>
      <c r="F566" s="9" t="s">
        <v>70</v>
      </c>
      <c r="G566" s="9" t="s">
        <v>32</v>
      </c>
      <c r="H566" s="10" t="s">
        <v>110</v>
      </c>
      <c r="I566" s="7">
        <v>63</v>
      </c>
      <c r="J566" s="11">
        <v>48</v>
      </c>
      <c r="K566" s="11">
        <f t="shared" si="16"/>
        <v>3024</v>
      </c>
      <c r="L566" s="11">
        <v>0.25</v>
      </c>
      <c r="M566" s="11">
        <v>362.88</v>
      </c>
      <c r="N566" s="11">
        <f t="shared" si="17"/>
        <v>3386.63</v>
      </c>
    </row>
    <row r="567" spans="3:14" x14ac:dyDescent="0.3">
      <c r="C567" s="6">
        <v>43889</v>
      </c>
      <c r="D567" s="7" t="s">
        <v>177</v>
      </c>
      <c r="E567" s="8">
        <v>2020</v>
      </c>
      <c r="F567" s="9" t="s">
        <v>70</v>
      </c>
      <c r="G567" s="9" t="s">
        <v>37</v>
      </c>
      <c r="H567" s="10" t="s">
        <v>98</v>
      </c>
      <c r="I567" s="7">
        <v>88</v>
      </c>
      <c r="J567" s="11">
        <v>36</v>
      </c>
      <c r="K567" s="11">
        <f t="shared" si="16"/>
        <v>3168</v>
      </c>
      <c r="L567" s="11">
        <v>0.25</v>
      </c>
      <c r="M567" s="11">
        <v>380.15999999999997</v>
      </c>
      <c r="N567" s="11">
        <f t="shared" si="17"/>
        <v>3547.91</v>
      </c>
    </row>
    <row r="568" spans="3:14" x14ac:dyDescent="0.3">
      <c r="C568" s="6">
        <v>43889</v>
      </c>
      <c r="D568" s="7" t="s">
        <v>177</v>
      </c>
      <c r="E568" s="8">
        <v>2020</v>
      </c>
      <c r="F568" s="9" t="s">
        <v>101</v>
      </c>
      <c r="G568" s="9" t="s">
        <v>32</v>
      </c>
      <c r="H568" s="10" t="s">
        <v>59</v>
      </c>
      <c r="I568" s="7">
        <v>30</v>
      </c>
      <c r="J568" s="11">
        <v>76</v>
      </c>
      <c r="K568" s="11">
        <f t="shared" si="16"/>
        <v>2280</v>
      </c>
      <c r="L568" s="11">
        <v>0.25</v>
      </c>
      <c r="M568" s="11">
        <v>273.59999999999997</v>
      </c>
      <c r="N568" s="11">
        <f t="shared" si="17"/>
        <v>2553.35</v>
      </c>
    </row>
    <row r="569" spans="3:14" x14ac:dyDescent="0.3">
      <c r="C569" s="6">
        <v>43889</v>
      </c>
      <c r="D569" s="7" t="s">
        <v>177</v>
      </c>
      <c r="E569" s="8">
        <v>2020</v>
      </c>
      <c r="F569" s="9" t="s">
        <v>101</v>
      </c>
      <c r="G569" s="9" t="s">
        <v>24</v>
      </c>
      <c r="H569" s="10" t="s">
        <v>69</v>
      </c>
      <c r="I569" s="7">
        <v>84</v>
      </c>
      <c r="J569" s="11">
        <v>40</v>
      </c>
      <c r="K569" s="11">
        <f t="shared" si="16"/>
        <v>3360</v>
      </c>
      <c r="L569" s="11">
        <v>0.25</v>
      </c>
      <c r="M569" s="11">
        <v>403.2</v>
      </c>
      <c r="N569" s="11">
        <f t="shared" si="17"/>
        <v>3762.95</v>
      </c>
    </row>
    <row r="570" spans="3:14" x14ac:dyDescent="0.3">
      <c r="C570" s="6">
        <v>43889</v>
      </c>
      <c r="D570" s="7" t="s">
        <v>177</v>
      </c>
      <c r="E570" s="8">
        <v>2020</v>
      </c>
      <c r="F570" s="9" t="s">
        <v>101</v>
      </c>
      <c r="G570" s="9" t="s">
        <v>42</v>
      </c>
      <c r="H570" s="10" t="s">
        <v>43</v>
      </c>
      <c r="I570" s="7">
        <v>80</v>
      </c>
      <c r="J570" s="11">
        <v>73</v>
      </c>
      <c r="K570" s="11">
        <f t="shared" si="16"/>
        <v>5840</v>
      </c>
      <c r="L570" s="11">
        <v>0.25</v>
      </c>
      <c r="M570" s="11">
        <v>700.8</v>
      </c>
      <c r="N570" s="11">
        <f t="shared" si="17"/>
        <v>6540.55</v>
      </c>
    </row>
    <row r="571" spans="3:14" x14ac:dyDescent="0.3">
      <c r="C571" s="6">
        <v>43893</v>
      </c>
      <c r="D571" s="7" t="s">
        <v>181</v>
      </c>
      <c r="E571" s="8">
        <v>2020</v>
      </c>
      <c r="F571" s="9" t="s">
        <v>178</v>
      </c>
      <c r="G571" s="9" t="s">
        <v>24</v>
      </c>
      <c r="H571" s="10" t="s">
        <v>90</v>
      </c>
      <c r="I571" s="7">
        <v>68</v>
      </c>
      <c r="J571" s="11">
        <v>23</v>
      </c>
      <c r="K571" s="11">
        <f t="shared" si="16"/>
        <v>1564</v>
      </c>
      <c r="L571" s="11">
        <v>0</v>
      </c>
      <c r="M571" s="11">
        <v>187.68</v>
      </c>
      <c r="N571" s="11">
        <f t="shared" si="17"/>
        <v>1751.68</v>
      </c>
    </row>
    <row r="572" spans="3:14" x14ac:dyDescent="0.3">
      <c r="C572" s="6">
        <v>43893</v>
      </c>
      <c r="D572" s="7" t="s">
        <v>181</v>
      </c>
      <c r="E572" s="8">
        <v>2020</v>
      </c>
      <c r="F572" s="9" t="s">
        <v>178</v>
      </c>
      <c r="G572" s="9" t="s">
        <v>16</v>
      </c>
      <c r="H572" s="10" t="s">
        <v>145</v>
      </c>
      <c r="I572" s="7">
        <v>3</v>
      </c>
      <c r="J572" s="11">
        <v>41</v>
      </c>
      <c r="K572" s="11">
        <f t="shared" si="16"/>
        <v>123</v>
      </c>
      <c r="L572" s="11">
        <v>0</v>
      </c>
      <c r="M572" s="11">
        <v>14.76</v>
      </c>
      <c r="N572" s="11">
        <f t="shared" si="17"/>
        <v>137.76</v>
      </c>
    </row>
    <row r="573" spans="3:14" x14ac:dyDescent="0.3">
      <c r="C573" s="6">
        <v>43894</v>
      </c>
      <c r="D573" s="7" t="s">
        <v>181</v>
      </c>
      <c r="E573" s="8">
        <v>2020</v>
      </c>
      <c r="F573" s="9" t="s">
        <v>31</v>
      </c>
      <c r="G573" s="9" t="s">
        <v>32</v>
      </c>
      <c r="H573" s="10" t="s">
        <v>100</v>
      </c>
      <c r="I573" s="7">
        <v>19</v>
      </c>
      <c r="J573" s="11">
        <v>20</v>
      </c>
      <c r="K573" s="11">
        <f t="shared" si="16"/>
        <v>380</v>
      </c>
      <c r="L573" s="11">
        <v>0</v>
      </c>
      <c r="M573" s="11">
        <v>45.6</v>
      </c>
      <c r="N573" s="11">
        <f t="shared" si="17"/>
        <v>425.6</v>
      </c>
    </row>
    <row r="574" spans="3:14" x14ac:dyDescent="0.3">
      <c r="C574" s="6">
        <v>43894</v>
      </c>
      <c r="D574" s="7" t="s">
        <v>181</v>
      </c>
      <c r="E574" s="8">
        <v>2020</v>
      </c>
      <c r="F574" s="9" t="s">
        <v>31</v>
      </c>
      <c r="G574" s="9" t="s">
        <v>16</v>
      </c>
      <c r="H574" s="10" t="s">
        <v>17</v>
      </c>
      <c r="I574" s="7">
        <v>87</v>
      </c>
      <c r="J574" s="11">
        <v>55</v>
      </c>
      <c r="K574" s="11">
        <f t="shared" si="16"/>
        <v>4785</v>
      </c>
      <c r="L574" s="11">
        <v>0</v>
      </c>
      <c r="M574" s="11">
        <v>574.19999999999993</v>
      </c>
      <c r="N574" s="11">
        <f t="shared" si="17"/>
        <v>5359.2</v>
      </c>
    </row>
    <row r="575" spans="3:14" x14ac:dyDescent="0.3">
      <c r="C575" s="6">
        <v>43894</v>
      </c>
      <c r="D575" s="7" t="s">
        <v>181</v>
      </c>
      <c r="E575" s="8">
        <v>2020</v>
      </c>
      <c r="F575" s="9" t="s">
        <v>138</v>
      </c>
      <c r="G575" s="9" t="s">
        <v>26</v>
      </c>
      <c r="H575" s="10" t="s">
        <v>124</v>
      </c>
      <c r="I575" s="7">
        <v>5</v>
      </c>
      <c r="J575" s="11">
        <v>50</v>
      </c>
      <c r="K575" s="11">
        <f t="shared" si="16"/>
        <v>250</v>
      </c>
      <c r="L575" s="11">
        <v>0.20000000298023199</v>
      </c>
      <c r="M575" s="11">
        <v>30</v>
      </c>
      <c r="N575" s="11">
        <f t="shared" si="17"/>
        <v>279.79999999701977</v>
      </c>
    </row>
    <row r="576" spans="3:14" x14ac:dyDescent="0.3">
      <c r="C576" s="6">
        <v>43894</v>
      </c>
      <c r="D576" s="7" t="s">
        <v>181</v>
      </c>
      <c r="E576" s="8">
        <v>2020</v>
      </c>
      <c r="F576" s="9" t="s">
        <v>138</v>
      </c>
      <c r="G576" s="9" t="s">
        <v>37</v>
      </c>
      <c r="H576" s="10" t="s">
        <v>82</v>
      </c>
      <c r="I576" s="7">
        <v>87</v>
      </c>
      <c r="J576" s="11">
        <v>47</v>
      </c>
      <c r="K576" s="11">
        <f t="shared" si="16"/>
        <v>4089</v>
      </c>
      <c r="L576" s="11">
        <v>0</v>
      </c>
      <c r="M576" s="11">
        <v>490.68</v>
      </c>
      <c r="N576" s="11">
        <f t="shared" si="17"/>
        <v>4579.68</v>
      </c>
    </row>
    <row r="577" spans="3:14" x14ac:dyDescent="0.3">
      <c r="C577" s="6">
        <v>43894</v>
      </c>
      <c r="D577" s="7" t="s">
        <v>181</v>
      </c>
      <c r="E577" s="8">
        <v>2020</v>
      </c>
      <c r="F577" s="9" t="s">
        <v>138</v>
      </c>
      <c r="G577" s="9" t="s">
        <v>16</v>
      </c>
      <c r="H577" s="10" t="s">
        <v>68</v>
      </c>
      <c r="I577" s="7">
        <v>61</v>
      </c>
      <c r="J577" s="11">
        <v>78</v>
      </c>
      <c r="K577" s="11">
        <f t="shared" si="16"/>
        <v>4758</v>
      </c>
      <c r="L577" s="11">
        <v>0.20000000298023199</v>
      </c>
      <c r="M577" s="11">
        <v>570.95999999999992</v>
      </c>
      <c r="N577" s="11">
        <f t="shared" si="17"/>
        <v>5328.7599999970198</v>
      </c>
    </row>
    <row r="578" spans="3:14" x14ac:dyDescent="0.3">
      <c r="C578" s="6">
        <v>43894</v>
      </c>
      <c r="D578" s="7" t="s">
        <v>181</v>
      </c>
      <c r="E578" s="8">
        <v>2020</v>
      </c>
      <c r="F578" s="9" t="s">
        <v>138</v>
      </c>
      <c r="G578" s="9" t="s">
        <v>14</v>
      </c>
      <c r="H578" s="10" t="s">
        <v>35</v>
      </c>
      <c r="I578" s="7">
        <v>38</v>
      </c>
      <c r="J578" s="11">
        <v>39</v>
      </c>
      <c r="K578" s="11">
        <f t="shared" si="16"/>
        <v>1482</v>
      </c>
      <c r="L578" s="11">
        <v>0</v>
      </c>
      <c r="M578" s="11">
        <v>177.84</v>
      </c>
      <c r="N578" s="11">
        <f t="shared" si="17"/>
        <v>1659.84</v>
      </c>
    </row>
    <row r="579" spans="3:14" x14ac:dyDescent="0.3">
      <c r="C579" s="6">
        <v>43895</v>
      </c>
      <c r="D579" s="7" t="s">
        <v>181</v>
      </c>
      <c r="E579" s="8">
        <v>2020</v>
      </c>
      <c r="F579" s="9" t="s">
        <v>159</v>
      </c>
      <c r="G579" s="9" t="s">
        <v>37</v>
      </c>
      <c r="H579" s="10" t="s">
        <v>41</v>
      </c>
      <c r="I579" s="7">
        <v>1</v>
      </c>
      <c r="J579" s="11">
        <v>41</v>
      </c>
      <c r="K579" s="11">
        <f t="shared" ref="K579:K642" si="18">J579*I579</f>
        <v>41</v>
      </c>
      <c r="L579" s="11">
        <v>0</v>
      </c>
      <c r="M579" s="11">
        <v>4.92</v>
      </c>
      <c r="N579" s="11">
        <f t="shared" ref="N579:N642" si="19">K579-L579+M579</f>
        <v>45.92</v>
      </c>
    </row>
    <row r="580" spans="3:14" x14ac:dyDescent="0.3">
      <c r="C580" s="6">
        <v>43895</v>
      </c>
      <c r="D580" s="7" t="s">
        <v>181</v>
      </c>
      <c r="E580" s="8">
        <v>2020</v>
      </c>
      <c r="F580" s="9" t="s">
        <v>159</v>
      </c>
      <c r="G580" s="9" t="s">
        <v>42</v>
      </c>
      <c r="H580" s="10" t="s">
        <v>79</v>
      </c>
      <c r="I580" s="7">
        <v>81</v>
      </c>
      <c r="J580" s="11">
        <v>31</v>
      </c>
      <c r="K580" s="11">
        <f t="shared" si="18"/>
        <v>2511</v>
      </c>
      <c r="L580" s="11">
        <v>0.10000000149011599</v>
      </c>
      <c r="M580" s="11">
        <v>301.32</v>
      </c>
      <c r="N580" s="11">
        <f t="shared" si="19"/>
        <v>2812.21999999851</v>
      </c>
    </row>
    <row r="581" spans="3:14" x14ac:dyDescent="0.3">
      <c r="C581" s="6">
        <v>43895</v>
      </c>
      <c r="D581" s="7" t="s">
        <v>181</v>
      </c>
      <c r="E581" s="8">
        <v>2020</v>
      </c>
      <c r="F581" s="9" t="s">
        <v>159</v>
      </c>
      <c r="G581" s="9" t="s">
        <v>24</v>
      </c>
      <c r="H581" s="10" t="s">
        <v>76</v>
      </c>
      <c r="I581" s="7">
        <v>100</v>
      </c>
      <c r="J581" s="11">
        <v>55</v>
      </c>
      <c r="K581" s="11">
        <f t="shared" si="18"/>
        <v>5500</v>
      </c>
      <c r="L581" s="11">
        <v>0</v>
      </c>
      <c r="M581" s="11">
        <v>660</v>
      </c>
      <c r="N581" s="11">
        <f t="shared" si="19"/>
        <v>6160</v>
      </c>
    </row>
    <row r="582" spans="3:14" x14ac:dyDescent="0.3">
      <c r="C582" s="6">
        <v>43895</v>
      </c>
      <c r="D582" s="7" t="s">
        <v>181</v>
      </c>
      <c r="E582" s="8">
        <v>2020</v>
      </c>
      <c r="F582" s="9" t="s">
        <v>159</v>
      </c>
      <c r="G582" s="9" t="s">
        <v>24</v>
      </c>
      <c r="H582" s="10" t="s">
        <v>165</v>
      </c>
      <c r="I582" s="7">
        <v>47</v>
      </c>
      <c r="J582" s="11">
        <v>83</v>
      </c>
      <c r="K582" s="11">
        <f t="shared" si="18"/>
        <v>3901</v>
      </c>
      <c r="L582" s="11">
        <v>0.10000000149011599</v>
      </c>
      <c r="M582" s="11">
        <v>468.12</v>
      </c>
      <c r="N582" s="11">
        <f t="shared" si="19"/>
        <v>4369.0199999985098</v>
      </c>
    </row>
    <row r="583" spans="3:14" x14ac:dyDescent="0.3">
      <c r="C583" s="6">
        <v>43895</v>
      </c>
      <c r="D583" s="7" t="s">
        <v>181</v>
      </c>
      <c r="E583" s="8">
        <v>2020</v>
      </c>
      <c r="F583" s="9" t="s">
        <v>159</v>
      </c>
      <c r="G583" s="9" t="s">
        <v>32</v>
      </c>
      <c r="H583" s="10" t="s">
        <v>151</v>
      </c>
      <c r="I583" s="7">
        <v>67</v>
      </c>
      <c r="J583" s="11">
        <v>33</v>
      </c>
      <c r="K583" s="11">
        <f t="shared" si="18"/>
        <v>2211</v>
      </c>
      <c r="L583" s="11">
        <v>0</v>
      </c>
      <c r="M583" s="11">
        <v>265.32</v>
      </c>
      <c r="N583" s="11">
        <f t="shared" si="19"/>
        <v>2476.3200000000002</v>
      </c>
    </row>
    <row r="584" spans="3:14" x14ac:dyDescent="0.3">
      <c r="C584" s="6">
        <v>43896</v>
      </c>
      <c r="D584" s="7" t="s">
        <v>181</v>
      </c>
      <c r="E584" s="8">
        <v>2020</v>
      </c>
      <c r="F584" s="9" t="s">
        <v>114</v>
      </c>
      <c r="G584" s="9" t="s">
        <v>14</v>
      </c>
      <c r="H584" s="10" t="s">
        <v>15</v>
      </c>
      <c r="I584" s="7">
        <v>95</v>
      </c>
      <c r="J584" s="11">
        <v>26</v>
      </c>
      <c r="K584" s="11">
        <f t="shared" si="18"/>
        <v>2470</v>
      </c>
      <c r="L584" s="11">
        <v>0</v>
      </c>
      <c r="M584" s="11">
        <v>296.39999999999998</v>
      </c>
      <c r="N584" s="11">
        <f t="shared" si="19"/>
        <v>2766.4</v>
      </c>
    </row>
    <row r="585" spans="3:14" x14ac:dyDescent="0.3">
      <c r="C585" s="6">
        <v>43896</v>
      </c>
      <c r="D585" s="7" t="s">
        <v>181</v>
      </c>
      <c r="E585" s="8">
        <v>2020</v>
      </c>
      <c r="F585" s="9" t="s">
        <v>114</v>
      </c>
      <c r="G585" s="9" t="s">
        <v>24</v>
      </c>
      <c r="H585" s="10" t="s">
        <v>107</v>
      </c>
      <c r="I585" s="7">
        <v>66</v>
      </c>
      <c r="J585" s="11">
        <v>32</v>
      </c>
      <c r="K585" s="11">
        <f t="shared" si="18"/>
        <v>2112</v>
      </c>
      <c r="L585" s="11">
        <v>0</v>
      </c>
      <c r="M585" s="11">
        <v>253.44</v>
      </c>
      <c r="N585" s="11">
        <f t="shared" si="19"/>
        <v>2365.44</v>
      </c>
    </row>
    <row r="586" spans="3:14" x14ac:dyDescent="0.3">
      <c r="C586" s="6">
        <v>43896</v>
      </c>
      <c r="D586" s="7" t="s">
        <v>181</v>
      </c>
      <c r="E586" s="8">
        <v>2020</v>
      </c>
      <c r="F586" s="9" t="s">
        <v>88</v>
      </c>
      <c r="G586" s="9" t="s">
        <v>37</v>
      </c>
      <c r="H586" s="10" t="s">
        <v>41</v>
      </c>
      <c r="I586" s="7">
        <v>44</v>
      </c>
      <c r="J586" s="11">
        <v>94</v>
      </c>
      <c r="K586" s="11">
        <f t="shared" si="18"/>
        <v>4136</v>
      </c>
      <c r="L586" s="11">
        <v>0</v>
      </c>
      <c r="M586" s="11">
        <v>496.32</v>
      </c>
      <c r="N586" s="11">
        <f t="shared" si="19"/>
        <v>4632.32</v>
      </c>
    </row>
    <row r="587" spans="3:14" x14ac:dyDescent="0.3">
      <c r="C587" s="6">
        <v>43896</v>
      </c>
      <c r="D587" s="7" t="s">
        <v>181</v>
      </c>
      <c r="E587" s="8">
        <v>2020</v>
      </c>
      <c r="F587" s="9" t="s">
        <v>88</v>
      </c>
      <c r="G587" s="9" t="s">
        <v>32</v>
      </c>
      <c r="H587" s="10" t="s">
        <v>134</v>
      </c>
      <c r="I587" s="7">
        <v>21</v>
      </c>
      <c r="J587" s="11">
        <v>38</v>
      </c>
      <c r="K587" s="11">
        <f t="shared" si="18"/>
        <v>798</v>
      </c>
      <c r="L587" s="11">
        <v>0</v>
      </c>
      <c r="M587" s="11">
        <v>95.759999999999991</v>
      </c>
      <c r="N587" s="11">
        <f t="shared" si="19"/>
        <v>893.76</v>
      </c>
    </row>
    <row r="588" spans="3:14" x14ac:dyDescent="0.3">
      <c r="C588" s="6">
        <v>43897</v>
      </c>
      <c r="D588" s="7" t="s">
        <v>181</v>
      </c>
      <c r="E588" s="8">
        <v>2020</v>
      </c>
      <c r="F588" s="9" t="s">
        <v>133</v>
      </c>
      <c r="G588" s="9" t="s">
        <v>24</v>
      </c>
      <c r="H588" s="10" t="s">
        <v>69</v>
      </c>
      <c r="I588" s="7">
        <v>31</v>
      </c>
      <c r="J588" s="11">
        <v>49</v>
      </c>
      <c r="K588" s="11">
        <f t="shared" si="18"/>
        <v>1519</v>
      </c>
      <c r="L588" s="11">
        <v>0</v>
      </c>
      <c r="M588" s="11">
        <v>182.28</v>
      </c>
      <c r="N588" s="11">
        <f t="shared" si="19"/>
        <v>1701.28</v>
      </c>
    </row>
    <row r="589" spans="3:14" x14ac:dyDescent="0.3">
      <c r="C589" s="6">
        <v>43897</v>
      </c>
      <c r="D589" s="7" t="s">
        <v>181</v>
      </c>
      <c r="E589" s="8">
        <v>2020</v>
      </c>
      <c r="F589" s="9" t="s">
        <v>133</v>
      </c>
      <c r="G589" s="9" t="s">
        <v>37</v>
      </c>
      <c r="H589" s="10" t="s">
        <v>82</v>
      </c>
      <c r="I589" s="7">
        <v>81</v>
      </c>
      <c r="J589" s="11">
        <v>60</v>
      </c>
      <c r="K589" s="11">
        <f t="shared" si="18"/>
        <v>4860</v>
      </c>
      <c r="L589" s="11">
        <v>0</v>
      </c>
      <c r="M589" s="11">
        <v>583.19999999999993</v>
      </c>
      <c r="N589" s="11">
        <f t="shared" si="19"/>
        <v>5443.2</v>
      </c>
    </row>
    <row r="590" spans="3:14" x14ac:dyDescent="0.3">
      <c r="C590" s="6">
        <v>43900</v>
      </c>
      <c r="D590" s="7" t="s">
        <v>181</v>
      </c>
      <c r="E590" s="8">
        <v>2020</v>
      </c>
      <c r="F590" s="9" t="s">
        <v>80</v>
      </c>
      <c r="G590" s="9" t="s">
        <v>37</v>
      </c>
      <c r="H590" s="10" t="s">
        <v>46</v>
      </c>
      <c r="I590" s="7">
        <v>100</v>
      </c>
      <c r="J590" s="11">
        <v>23</v>
      </c>
      <c r="K590" s="11">
        <f t="shared" si="18"/>
        <v>2300</v>
      </c>
      <c r="L590" s="11">
        <v>0.15000000596046401</v>
      </c>
      <c r="M590" s="11">
        <v>276</v>
      </c>
      <c r="N590" s="11">
        <f t="shared" si="19"/>
        <v>2575.8499999940395</v>
      </c>
    </row>
    <row r="591" spans="3:14" x14ac:dyDescent="0.3">
      <c r="C591" s="6">
        <v>43900</v>
      </c>
      <c r="D591" s="7" t="s">
        <v>181</v>
      </c>
      <c r="E591" s="8">
        <v>2020</v>
      </c>
      <c r="F591" s="9" t="s">
        <v>80</v>
      </c>
      <c r="G591" s="9" t="s">
        <v>32</v>
      </c>
      <c r="H591" s="10" t="s">
        <v>47</v>
      </c>
      <c r="I591" s="7">
        <v>2</v>
      </c>
      <c r="J591" s="11">
        <v>44</v>
      </c>
      <c r="K591" s="11">
        <f t="shared" si="18"/>
        <v>88</v>
      </c>
      <c r="L591" s="11">
        <v>0.15000000596046401</v>
      </c>
      <c r="M591" s="11">
        <v>10.559999999999999</v>
      </c>
      <c r="N591" s="11">
        <f t="shared" si="19"/>
        <v>98.409999994039538</v>
      </c>
    </row>
    <row r="592" spans="3:14" x14ac:dyDescent="0.3">
      <c r="C592" s="6">
        <v>43900</v>
      </c>
      <c r="D592" s="7" t="s">
        <v>181</v>
      </c>
      <c r="E592" s="8">
        <v>2020</v>
      </c>
      <c r="F592" s="9" t="s">
        <v>80</v>
      </c>
      <c r="G592" s="9" t="s">
        <v>26</v>
      </c>
      <c r="H592" s="10" t="s">
        <v>94</v>
      </c>
      <c r="I592" s="7">
        <v>63</v>
      </c>
      <c r="J592" s="11">
        <v>31</v>
      </c>
      <c r="K592" s="11">
        <f t="shared" si="18"/>
        <v>1953</v>
      </c>
      <c r="L592" s="11">
        <v>0.15000000596046401</v>
      </c>
      <c r="M592" s="11">
        <v>234.35999999999999</v>
      </c>
      <c r="N592" s="11">
        <f t="shared" si="19"/>
        <v>2187.2099999940397</v>
      </c>
    </row>
    <row r="593" spans="3:14" x14ac:dyDescent="0.3">
      <c r="C593" s="6">
        <v>43901</v>
      </c>
      <c r="D593" s="7" t="s">
        <v>181</v>
      </c>
      <c r="E593" s="8">
        <v>2020</v>
      </c>
      <c r="F593" s="9" t="s">
        <v>141</v>
      </c>
      <c r="G593" s="9" t="s">
        <v>24</v>
      </c>
      <c r="H593" s="10" t="s">
        <v>115</v>
      </c>
      <c r="I593" s="7">
        <v>91</v>
      </c>
      <c r="J593" s="11">
        <v>86</v>
      </c>
      <c r="K593" s="11">
        <f t="shared" si="18"/>
        <v>7826</v>
      </c>
      <c r="L593" s="11">
        <v>0</v>
      </c>
      <c r="M593" s="11">
        <v>939.12</v>
      </c>
      <c r="N593" s="11">
        <f t="shared" si="19"/>
        <v>8765.1200000000008</v>
      </c>
    </row>
    <row r="594" spans="3:14" x14ac:dyDescent="0.3">
      <c r="C594" s="6">
        <v>43901</v>
      </c>
      <c r="D594" s="7" t="s">
        <v>181</v>
      </c>
      <c r="E594" s="8">
        <v>2020</v>
      </c>
      <c r="F594" s="9" t="s">
        <v>141</v>
      </c>
      <c r="G594" s="9" t="s">
        <v>16</v>
      </c>
      <c r="H594" s="10" t="s">
        <v>145</v>
      </c>
      <c r="I594" s="7">
        <v>94</v>
      </c>
      <c r="J594" s="11">
        <v>77</v>
      </c>
      <c r="K594" s="11">
        <f t="shared" si="18"/>
        <v>7238</v>
      </c>
      <c r="L594" s="11">
        <v>0</v>
      </c>
      <c r="M594" s="11">
        <v>868.56</v>
      </c>
      <c r="N594" s="11">
        <f t="shared" si="19"/>
        <v>8106.5599999999995</v>
      </c>
    </row>
    <row r="595" spans="3:14" x14ac:dyDescent="0.3">
      <c r="C595" s="6">
        <v>43901</v>
      </c>
      <c r="D595" s="7" t="s">
        <v>181</v>
      </c>
      <c r="E595" s="8">
        <v>2020</v>
      </c>
      <c r="F595" s="9" t="s">
        <v>141</v>
      </c>
      <c r="G595" s="9" t="s">
        <v>16</v>
      </c>
      <c r="H595" s="10" t="s">
        <v>113</v>
      </c>
      <c r="I595" s="7">
        <v>59</v>
      </c>
      <c r="J595" s="11">
        <v>40</v>
      </c>
      <c r="K595" s="11">
        <f t="shared" si="18"/>
        <v>2360</v>
      </c>
      <c r="L595" s="11">
        <v>0</v>
      </c>
      <c r="M595" s="11">
        <v>283.2</v>
      </c>
      <c r="N595" s="11">
        <f t="shared" si="19"/>
        <v>2643.2</v>
      </c>
    </row>
    <row r="596" spans="3:14" x14ac:dyDescent="0.3">
      <c r="C596" s="6">
        <v>43901</v>
      </c>
      <c r="D596" s="7" t="s">
        <v>181</v>
      </c>
      <c r="E596" s="8">
        <v>2020</v>
      </c>
      <c r="F596" s="9" t="s">
        <v>111</v>
      </c>
      <c r="G596" s="9" t="s">
        <v>20</v>
      </c>
      <c r="H596" s="10" t="s">
        <v>67</v>
      </c>
      <c r="I596" s="7">
        <v>18</v>
      </c>
      <c r="J596" s="11">
        <v>41</v>
      </c>
      <c r="K596" s="11">
        <f t="shared" si="18"/>
        <v>738</v>
      </c>
      <c r="L596" s="11">
        <v>0</v>
      </c>
      <c r="M596" s="11">
        <v>88.56</v>
      </c>
      <c r="N596" s="11">
        <f t="shared" si="19"/>
        <v>826.56</v>
      </c>
    </row>
    <row r="597" spans="3:14" x14ac:dyDescent="0.3">
      <c r="C597" s="6">
        <v>43901</v>
      </c>
      <c r="D597" s="7" t="s">
        <v>181</v>
      </c>
      <c r="E597" s="8">
        <v>2020</v>
      </c>
      <c r="F597" s="9" t="s">
        <v>111</v>
      </c>
      <c r="G597" s="9" t="s">
        <v>16</v>
      </c>
      <c r="H597" s="10" t="s">
        <v>68</v>
      </c>
      <c r="I597" s="7">
        <v>73</v>
      </c>
      <c r="J597" s="11">
        <v>94</v>
      </c>
      <c r="K597" s="11">
        <f t="shared" si="18"/>
        <v>6862</v>
      </c>
      <c r="L597" s="11">
        <v>0</v>
      </c>
      <c r="M597" s="11">
        <v>823.43999999999994</v>
      </c>
      <c r="N597" s="11">
        <f t="shared" si="19"/>
        <v>7685.44</v>
      </c>
    </row>
    <row r="598" spans="3:14" x14ac:dyDescent="0.3">
      <c r="C598" s="6">
        <v>43902</v>
      </c>
      <c r="D598" s="7" t="s">
        <v>181</v>
      </c>
      <c r="E598" s="8">
        <v>2020</v>
      </c>
      <c r="F598" s="9" t="s">
        <v>154</v>
      </c>
      <c r="G598" s="9" t="s">
        <v>37</v>
      </c>
      <c r="H598" s="10" t="s">
        <v>41</v>
      </c>
      <c r="I598" s="7">
        <v>93</v>
      </c>
      <c r="J598" s="11">
        <v>65</v>
      </c>
      <c r="K598" s="11">
        <f t="shared" si="18"/>
        <v>6045</v>
      </c>
      <c r="L598" s="11">
        <v>5.0000000745058101E-2</v>
      </c>
      <c r="M598" s="11">
        <v>725.4</v>
      </c>
      <c r="N598" s="11">
        <f t="shared" si="19"/>
        <v>6770.3499999992546</v>
      </c>
    </row>
    <row r="599" spans="3:14" x14ac:dyDescent="0.3">
      <c r="C599" s="6">
        <v>43902</v>
      </c>
      <c r="D599" s="7" t="s">
        <v>181</v>
      </c>
      <c r="E599" s="8">
        <v>2020</v>
      </c>
      <c r="F599" s="9" t="s">
        <v>154</v>
      </c>
      <c r="G599" s="9" t="s">
        <v>20</v>
      </c>
      <c r="H599" s="10" t="s">
        <v>22</v>
      </c>
      <c r="I599" s="7">
        <v>5</v>
      </c>
      <c r="J599" s="11">
        <v>34</v>
      </c>
      <c r="K599" s="11">
        <f t="shared" si="18"/>
        <v>170</v>
      </c>
      <c r="L599" s="11">
        <v>0</v>
      </c>
      <c r="M599" s="11">
        <v>20.399999999999999</v>
      </c>
      <c r="N599" s="11">
        <f t="shared" si="19"/>
        <v>190.4</v>
      </c>
    </row>
    <row r="600" spans="3:14" x14ac:dyDescent="0.3">
      <c r="C600" s="6">
        <v>43903</v>
      </c>
      <c r="D600" s="7" t="s">
        <v>181</v>
      </c>
      <c r="E600" s="8">
        <v>2020</v>
      </c>
      <c r="F600" s="9" t="s">
        <v>129</v>
      </c>
      <c r="G600" s="9" t="s">
        <v>14</v>
      </c>
      <c r="H600" s="10" t="s">
        <v>34</v>
      </c>
      <c r="I600" s="7">
        <v>90</v>
      </c>
      <c r="J600" s="11">
        <v>70</v>
      </c>
      <c r="K600" s="11">
        <f t="shared" si="18"/>
        <v>6300</v>
      </c>
      <c r="L600" s="11">
        <v>0</v>
      </c>
      <c r="M600" s="11">
        <v>756</v>
      </c>
      <c r="N600" s="11">
        <f t="shared" si="19"/>
        <v>7056</v>
      </c>
    </row>
    <row r="601" spans="3:14" x14ac:dyDescent="0.3">
      <c r="C601" s="6">
        <v>43903</v>
      </c>
      <c r="D601" s="7" t="s">
        <v>181</v>
      </c>
      <c r="E601" s="8">
        <v>2020</v>
      </c>
      <c r="F601" s="9" t="s">
        <v>129</v>
      </c>
      <c r="G601" s="9" t="s">
        <v>14</v>
      </c>
      <c r="H601" s="10" t="s">
        <v>87</v>
      </c>
      <c r="I601" s="7">
        <v>30</v>
      </c>
      <c r="J601" s="11">
        <v>35</v>
      </c>
      <c r="K601" s="11">
        <f t="shared" si="18"/>
        <v>1050</v>
      </c>
      <c r="L601" s="11">
        <v>0</v>
      </c>
      <c r="M601" s="11">
        <v>126</v>
      </c>
      <c r="N601" s="11">
        <f t="shared" si="19"/>
        <v>1176</v>
      </c>
    </row>
    <row r="602" spans="3:14" x14ac:dyDescent="0.3">
      <c r="C602" s="6">
        <v>43903</v>
      </c>
      <c r="D602" s="7" t="s">
        <v>181</v>
      </c>
      <c r="E602" s="8">
        <v>2020</v>
      </c>
      <c r="F602" s="9" t="s">
        <v>131</v>
      </c>
      <c r="G602" s="9" t="s">
        <v>20</v>
      </c>
      <c r="H602" s="10" t="s">
        <v>136</v>
      </c>
      <c r="I602" s="7">
        <v>68</v>
      </c>
      <c r="J602" s="11">
        <v>93</v>
      </c>
      <c r="K602" s="11">
        <f t="shared" si="18"/>
        <v>6324</v>
      </c>
      <c r="L602" s="11">
        <v>0</v>
      </c>
      <c r="M602" s="11">
        <v>758.88</v>
      </c>
      <c r="N602" s="11">
        <f t="shared" si="19"/>
        <v>7082.88</v>
      </c>
    </row>
    <row r="603" spans="3:14" x14ac:dyDescent="0.3">
      <c r="C603" s="6">
        <v>43903</v>
      </c>
      <c r="D603" s="7" t="s">
        <v>181</v>
      </c>
      <c r="E603" s="8">
        <v>2020</v>
      </c>
      <c r="F603" s="9" t="s">
        <v>131</v>
      </c>
      <c r="G603" s="9" t="s">
        <v>20</v>
      </c>
      <c r="H603" s="10" t="s">
        <v>92</v>
      </c>
      <c r="I603" s="7">
        <v>16</v>
      </c>
      <c r="J603" s="11">
        <v>49</v>
      </c>
      <c r="K603" s="11">
        <f t="shared" si="18"/>
        <v>784</v>
      </c>
      <c r="L603" s="11">
        <v>0</v>
      </c>
      <c r="M603" s="11">
        <v>94.08</v>
      </c>
      <c r="N603" s="11">
        <f t="shared" si="19"/>
        <v>878.08</v>
      </c>
    </row>
    <row r="604" spans="3:14" x14ac:dyDescent="0.3">
      <c r="C604" s="6">
        <v>43903</v>
      </c>
      <c r="D604" s="7" t="s">
        <v>181</v>
      </c>
      <c r="E604" s="8">
        <v>2020</v>
      </c>
      <c r="F604" s="9" t="s">
        <v>131</v>
      </c>
      <c r="G604" s="9" t="s">
        <v>24</v>
      </c>
      <c r="H604" s="10" t="s">
        <v>76</v>
      </c>
      <c r="I604" s="7">
        <v>15</v>
      </c>
      <c r="J604" s="11">
        <v>76</v>
      </c>
      <c r="K604" s="11">
        <f t="shared" si="18"/>
        <v>1140</v>
      </c>
      <c r="L604" s="11">
        <v>0</v>
      </c>
      <c r="M604" s="11">
        <v>136.79999999999998</v>
      </c>
      <c r="N604" s="11">
        <f t="shared" si="19"/>
        <v>1276.8</v>
      </c>
    </row>
    <row r="605" spans="3:14" x14ac:dyDescent="0.3">
      <c r="C605" s="6">
        <v>43903</v>
      </c>
      <c r="D605" s="7" t="s">
        <v>181</v>
      </c>
      <c r="E605" s="8">
        <v>2020</v>
      </c>
      <c r="F605" s="9" t="s">
        <v>131</v>
      </c>
      <c r="G605" s="9" t="s">
        <v>37</v>
      </c>
      <c r="H605" s="10" t="s">
        <v>98</v>
      </c>
      <c r="I605" s="7">
        <v>35</v>
      </c>
      <c r="J605" s="11">
        <v>15</v>
      </c>
      <c r="K605" s="11">
        <f t="shared" si="18"/>
        <v>525</v>
      </c>
      <c r="L605" s="11">
        <v>0</v>
      </c>
      <c r="M605" s="11">
        <v>63</v>
      </c>
      <c r="N605" s="11">
        <f t="shared" si="19"/>
        <v>588</v>
      </c>
    </row>
    <row r="606" spans="3:14" x14ac:dyDescent="0.3">
      <c r="C606" s="6">
        <v>43904</v>
      </c>
      <c r="D606" s="7" t="s">
        <v>181</v>
      </c>
      <c r="E606" s="8">
        <v>2020</v>
      </c>
      <c r="F606" s="9" t="s">
        <v>31</v>
      </c>
      <c r="G606" s="9" t="s">
        <v>14</v>
      </c>
      <c r="H606" s="10" t="s">
        <v>36</v>
      </c>
      <c r="I606" s="7">
        <v>15</v>
      </c>
      <c r="J606" s="11">
        <v>26</v>
      </c>
      <c r="K606" s="11">
        <f t="shared" si="18"/>
        <v>390</v>
      </c>
      <c r="L606" s="11">
        <v>0.15000000596046401</v>
      </c>
      <c r="M606" s="11">
        <v>46.8</v>
      </c>
      <c r="N606" s="11">
        <f t="shared" si="19"/>
        <v>436.64999999403955</v>
      </c>
    </row>
    <row r="607" spans="3:14" x14ac:dyDescent="0.3">
      <c r="C607" s="6">
        <v>43904</v>
      </c>
      <c r="D607" s="7" t="s">
        <v>181</v>
      </c>
      <c r="E607" s="8">
        <v>2020</v>
      </c>
      <c r="F607" s="9" t="s">
        <v>31</v>
      </c>
      <c r="G607" s="9" t="s">
        <v>26</v>
      </c>
      <c r="H607" s="10" t="s">
        <v>119</v>
      </c>
      <c r="I607" s="7">
        <v>80</v>
      </c>
      <c r="J607" s="11">
        <v>91</v>
      </c>
      <c r="K607" s="11">
        <f t="shared" si="18"/>
        <v>7280</v>
      </c>
      <c r="L607" s="11">
        <v>0.15000000596046401</v>
      </c>
      <c r="M607" s="11">
        <v>873.6</v>
      </c>
      <c r="N607" s="11">
        <f t="shared" si="19"/>
        <v>8153.4499999940399</v>
      </c>
    </row>
    <row r="608" spans="3:14" x14ac:dyDescent="0.3">
      <c r="C608" s="6">
        <v>43904</v>
      </c>
      <c r="D608" s="7" t="s">
        <v>181</v>
      </c>
      <c r="E608" s="8">
        <v>2020</v>
      </c>
      <c r="F608" s="9" t="s">
        <v>31</v>
      </c>
      <c r="G608" s="9" t="s">
        <v>37</v>
      </c>
      <c r="H608" s="10" t="s">
        <v>77</v>
      </c>
      <c r="I608" s="7">
        <v>46</v>
      </c>
      <c r="J608" s="11">
        <v>74</v>
      </c>
      <c r="K608" s="11">
        <f t="shared" si="18"/>
        <v>3404</v>
      </c>
      <c r="L608" s="11">
        <v>0.15000000596046401</v>
      </c>
      <c r="M608" s="11">
        <v>408.47999999999996</v>
      </c>
      <c r="N608" s="11">
        <f t="shared" si="19"/>
        <v>3812.3299999940396</v>
      </c>
    </row>
    <row r="609" spans="3:14" x14ac:dyDescent="0.3">
      <c r="C609" s="6">
        <v>43907</v>
      </c>
      <c r="D609" s="7" t="s">
        <v>181</v>
      </c>
      <c r="E609" s="8">
        <v>2020</v>
      </c>
      <c r="F609" s="9" t="s">
        <v>53</v>
      </c>
      <c r="G609" s="9" t="s">
        <v>42</v>
      </c>
      <c r="H609" s="10" t="s">
        <v>43</v>
      </c>
      <c r="I609" s="7">
        <v>46</v>
      </c>
      <c r="J609" s="11">
        <v>20</v>
      </c>
      <c r="K609" s="11">
        <f t="shared" si="18"/>
        <v>920</v>
      </c>
      <c r="L609" s="11">
        <v>5.0000000745058101E-2</v>
      </c>
      <c r="M609" s="11">
        <v>110.39999999999999</v>
      </c>
      <c r="N609" s="11">
        <f t="shared" si="19"/>
        <v>1030.349999999255</v>
      </c>
    </row>
    <row r="610" spans="3:14" x14ac:dyDescent="0.3">
      <c r="C610" s="6">
        <v>43907</v>
      </c>
      <c r="D610" s="7" t="s">
        <v>181</v>
      </c>
      <c r="E610" s="8">
        <v>2020</v>
      </c>
      <c r="F610" s="9" t="s">
        <v>53</v>
      </c>
      <c r="G610" s="9" t="s">
        <v>37</v>
      </c>
      <c r="H610" s="10" t="s">
        <v>63</v>
      </c>
      <c r="I610" s="7">
        <v>50</v>
      </c>
      <c r="J610" s="11">
        <v>12</v>
      </c>
      <c r="K610" s="11">
        <f t="shared" si="18"/>
        <v>600</v>
      </c>
      <c r="L610" s="11">
        <v>0</v>
      </c>
      <c r="M610" s="11">
        <v>72</v>
      </c>
      <c r="N610" s="11">
        <f t="shared" si="19"/>
        <v>672</v>
      </c>
    </row>
    <row r="611" spans="3:14" x14ac:dyDescent="0.3">
      <c r="C611" s="6">
        <v>43907</v>
      </c>
      <c r="D611" s="7" t="s">
        <v>181</v>
      </c>
      <c r="E611" s="8">
        <v>2020</v>
      </c>
      <c r="F611" s="9" t="s">
        <v>144</v>
      </c>
      <c r="G611" s="9" t="s">
        <v>37</v>
      </c>
      <c r="H611" s="10" t="s">
        <v>104</v>
      </c>
      <c r="I611" s="7">
        <v>1</v>
      </c>
      <c r="J611" s="11">
        <v>86</v>
      </c>
      <c r="K611" s="11">
        <f t="shared" si="18"/>
        <v>86</v>
      </c>
      <c r="L611" s="11">
        <v>0</v>
      </c>
      <c r="M611" s="11">
        <v>10.32</v>
      </c>
      <c r="N611" s="11">
        <f t="shared" si="19"/>
        <v>96.32</v>
      </c>
    </row>
    <row r="612" spans="3:14" x14ac:dyDescent="0.3">
      <c r="C612" s="6">
        <v>43907</v>
      </c>
      <c r="D612" s="7" t="s">
        <v>181</v>
      </c>
      <c r="E612" s="8">
        <v>2020</v>
      </c>
      <c r="F612" s="9" t="s">
        <v>144</v>
      </c>
      <c r="G612" s="9" t="s">
        <v>32</v>
      </c>
      <c r="H612" s="10" t="s">
        <v>59</v>
      </c>
      <c r="I612" s="7">
        <v>83</v>
      </c>
      <c r="J612" s="11">
        <v>23</v>
      </c>
      <c r="K612" s="11">
        <f t="shared" si="18"/>
        <v>1909</v>
      </c>
      <c r="L612" s="11">
        <v>0.25</v>
      </c>
      <c r="M612" s="11">
        <v>229.07999999999998</v>
      </c>
      <c r="N612" s="11">
        <f t="shared" si="19"/>
        <v>2137.83</v>
      </c>
    </row>
    <row r="613" spans="3:14" x14ac:dyDescent="0.3">
      <c r="C613" s="6">
        <v>43907</v>
      </c>
      <c r="D613" s="7" t="s">
        <v>181</v>
      </c>
      <c r="E613" s="8">
        <v>2020</v>
      </c>
      <c r="F613" s="9" t="s">
        <v>144</v>
      </c>
      <c r="G613" s="9" t="s">
        <v>37</v>
      </c>
      <c r="H613" s="10" t="s">
        <v>38</v>
      </c>
      <c r="I613" s="7">
        <v>68</v>
      </c>
      <c r="J613" s="11">
        <v>61</v>
      </c>
      <c r="K613" s="11">
        <f t="shared" si="18"/>
        <v>4148</v>
      </c>
      <c r="L613" s="11">
        <v>0.25</v>
      </c>
      <c r="M613" s="11">
        <v>497.76</v>
      </c>
      <c r="N613" s="11">
        <f t="shared" si="19"/>
        <v>4645.51</v>
      </c>
    </row>
    <row r="614" spans="3:14" x14ac:dyDescent="0.3">
      <c r="C614" s="6">
        <v>43908</v>
      </c>
      <c r="D614" s="7" t="s">
        <v>181</v>
      </c>
      <c r="E614" s="8">
        <v>2020</v>
      </c>
      <c r="F614" s="9" t="s">
        <v>28</v>
      </c>
      <c r="G614" s="9" t="s">
        <v>24</v>
      </c>
      <c r="H614" s="10" t="s">
        <v>85</v>
      </c>
      <c r="I614" s="7">
        <v>30</v>
      </c>
      <c r="J614" s="11">
        <v>10</v>
      </c>
      <c r="K614" s="11">
        <f t="shared" si="18"/>
        <v>300</v>
      </c>
      <c r="L614" s="11">
        <v>5.0000000745058101E-2</v>
      </c>
      <c r="M614" s="11">
        <v>36</v>
      </c>
      <c r="N614" s="11">
        <f t="shared" si="19"/>
        <v>335.94999999925494</v>
      </c>
    </row>
    <row r="615" spans="3:14" x14ac:dyDescent="0.3">
      <c r="C615" s="6">
        <v>43909</v>
      </c>
      <c r="D615" s="7" t="s">
        <v>181</v>
      </c>
      <c r="E615" s="8">
        <v>2020</v>
      </c>
      <c r="F615" s="9" t="s">
        <v>66</v>
      </c>
      <c r="G615" s="9" t="s">
        <v>37</v>
      </c>
      <c r="H615" s="10" t="s">
        <v>139</v>
      </c>
      <c r="I615" s="7">
        <v>21</v>
      </c>
      <c r="J615" s="11">
        <v>47</v>
      </c>
      <c r="K615" s="11">
        <f t="shared" si="18"/>
        <v>987</v>
      </c>
      <c r="L615" s="11">
        <v>0</v>
      </c>
      <c r="M615" s="11">
        <v>118.44</v>
      </c>
      <c r="N615" s="11">
        <f t="shared" si="19"/>
        <v>1105.44</v>
      </c>
    </row>
    <row r="616" spans="3:14" x14ac:dyDescent="0.3">
      <c r="C616" s="6">
        <v>43909</v>
      </c>
      <c r="D616" s="7" t="s">
        <v>181</v>
      </c>
      <c r="E616" s="8">
        <v>2020</v>
      </c>
      <c r="F616" s="9" t="s">
        <v>66</v>
      </c>
      <c r="G616" s="9" t="s">
        <v>42</v>
      </c>
      <c r="H616" s="10" t="s">
        <v>51</v>
      </c>
      <c r="I616" s="7">
        <v>14</v>
      </c>
      <c r="J616" s="11">
        <v>89</v>
      </c>
      <c r="K616" s="11">
        <f t="shared" si="18"/>
        <v>1246</v>
      </c>
      <c r="L616" s="11">
        <v>0</v>
      </c>
      <c r="M616" s="11">
        <v>149.51999999999998</v>
      </c>
      <c r="N616" s="11">
        <f t="shared" si="19"/>
        <v>1395.52</v>
      </c>
    </row>
    <row r="617" spans="3:14" x14ac:dyDescent="0.3">
      <c r="C617" s="6">
        <v>43909</v>
      </c>
      <c r="D617" s="7" t="s">
        <v>181</v>
      </c>
      <c r="E617" s="8">
        <v>2020</v>
      </c>
      <c r="F617" s="9" t="s">
        <v>66</v>
      </c>
      <c r="G617" s="9" t="s">
        <v>14</v>
      </c>
      <c r="H617" s="10" t="s">
        <v>49</v>
      </c>
      <c r="I617" s="7">
        <v>49</v>
      </c>
      <c r="J617" s="11">
        <v>20</v>
      </c>
      <c r="K617" s="11">
        <f t="shared" si="18"/>
        <v>980</v>
      </c>
      <c r="L617" s="11">
        <v>0</v>
      </c>
      <c r="M617" s="11">
        <v>117.6</v>
      </c>
      <c r="N617" s="11">
        <f t="shared" si="19"/>
        <v>1097.5999999999999</v>
      </c>
    </row>
    <row r="618" spans="3:14" x14ac:dyDescent="0.3">
      <c r="C618" s="6">
        <v>43909</v>
      </c>
      <c r="D618" s="7" t="s">
        <v>181</v>
      </c>
      <c r="E618" s="8">
        <v>2020</v>
      </c>
      <c r="F618" s="9" t="s">
        <v>66</v>
      </c>
      <c r="G618" s="9" t="s">
        <v>16</v>
      </c>
      <c r="H618" s="10" t="s">
        <v>113</v>
      </c>
      <c r="I618" s="7">
        <v>2</v>
      </c>
      <c r="J618" s="11">
        <v>46</v>
      </c>
      <c r="K618" s="11">
        <f t="shared" si="18"/>
        <v>92</v>
      </c>
      <c r="L618" s="11">
        <v>0</v>
      </c>
      <c r="M618" s="11">
        <v>11.04</v>
      </c>
      <c r="N618" s="11">
        <f t="shared" si="19"/>
        <v>103.03999999999999</v>
      </c>
    </row>
    <row r="619" spans="3:14" x14ac:dyDescent="0.3">
      <c r="C619" s="6">
        <v>43910</v>
      </c>
      <c r="D619" s="7" t="s">
        <v>181</v>
      </c>
      <c r="E619" s="8">
        <v>2020</v>
      </c>
      <c r="F619" s="9" t="s">
        <v>171</v>
      </c>
      <c r="G619" s="9" t="s">
        <v>32</v>
      </c>
      <c r="H619" s="10" t="s">
        <v>143</v>
      </c>
      <c r="I619" s="7">
        <v>75</v>
      </c>
      <c r="J619" s="11">
        <v>26</v>
      </c>
      <c r="K619" s="11">
        <f t="shared" si="18"/>
        <v>1950</v>
      </c>
      <c r="L619" s="11">
        <v>0</v>
      </c>
      <c r="M619" s="11">
        <v>234</v>
      </c>
      <c r="N619" s="11">
        <f t="shared" si="19"/>
        <v>2184</v>
      </c>
    </row>
    <row r="620" spans="3:14" x14ac:dyDescent="0.3">
      <c r="C620" s="6">
        <v>43910</v>
      </c>
      <c r="D620" s="7" t="s">
        <v>181</v>
      </c>
      <c r="E620" s="8">
        <v>2020</v>
      </c>
      <c r="F620" s="9" t="s">
        <v>171</v>
      </c>
      <c r="G620" s="9" t="s">
        <v>14</v>
      </c>
      <c r="H620" s="10" t="s">
        <v>49</v>
      </c>
      <c r="I620" s="7">
        <v>63</v>
      </c>
      <c r="J620" s="11">
        <v>11</v>
      </c>
      <c r="K620" s="11">
        <f t="shared" si="18"/>
        <v>693</v>
      </c>
      <c r="L620" s="11">
        <v>0</v>
      </c>
      <c r="M620" s="11">
        <v>83.16</v>
      </c>
      <c r="N620" s="11">
        <f t="shared" si="19"/>
        <v>776.16</v>
      </c>
    </row>
    <row r="621" spans="3:14" x14ac:dyDescent="0.3">
      <c r="C621" s="6">
        <v>43910</v>
      </c>
      <c r="D621" s="7" t="s">
        <v>181</v>
      </c>
      <c r="E621" s="8">
        <v>2020</v>
      </c>
      <c r="F621" s="9" t="s">
        <v>105</v>
      </c>
      <c r="G621" s="9" t="s">
        <v>32</v>
      </c>
      <c r="H621" s="10" t="s">
        <v>39</v>
      </c>
      <c r="I621" s="7">
        <v>17</v>
      </c>
      <c r="J621" s="11">
        <v>52</v>
      </c>
      <c r="K621" s="11">
        <f t="shared" si="18"/>
        <v>884</v>
      </c>
      <c r="L621" s="11">
        <v>0</v>
      </c>
      <c r="M621" s="11">
        <v>106.08</v>
      </c>
      <c r="N621" s="11">
        <f t="shared" si="19"/>
        <v>990.08</v>
      </c>
    </row>
    <row r="622" spans="3:14" x14ac:dyDescent="0.3">
      <c r="C622" s="6">
        <v>43910</v>
      </c>
      <c r="D622" s="7" t="s">
        <v>181</v>
      </c>
      <c r="E622" s="8">
        <v>2020</v>
      </c>
      <c r="F622" s="9" t="s">
        <v>105</v>
      </c>
      <c r="G622" s="9" t="s">
        <v>14</v>
      </c>
      <c r="H622" s="10" t="s">
        <v>35</v>
      </c>
      <c r="I622" s="7">
        <v>65</v>
      </c>
      <c r="J622" s="11">
        <v>67</v>
      </c>
      <c r="K622" s="11">
        <f t="shared" si="18"/>
        <v>4355</v>
      </c>
      <c r="L622" s="11">
        <v>0</v>
      </c>
      <c r="M622" s="11">
        <v>522.6</v>
      </c>
      <c r="N622" s="11">
        <f t="shared" si="19"/>
        <v>4877.6000000000004</v>
      </c>
    </row>
    <row r="623" spans="3:14" x14ac:dyDescent="0.3">
      <c r="C623" s="6">
        <v>43911</v>
      </c>
      <c r="D623" s="7" t="s">
        <v>181</v>
      </c>
      <c r="E623" s="8">
        <v>2020</v>
      </c>
      <c r="F623" s="9" t="s">
        <v>182</v>
      </c>
      <c r="G623" s="9" t="s">
        <v>24</v>
      </c>
      <c r="H623" s="10" t="s">
        <v>76</v>
      </c>
      <c r="I623" s="7">
        <v>16</v>
      </c>
      <c r="J623" s="11">
        <v>51</v>
      </c>
      <c r="K623" s="11">
        <f t="shared" si="18"/>
        <v>816</v>
      </c>
      <c r="L623" s="11">
        <v>0</v>
      </c>
      <c r="M623" s="11">
        <v>97.92</v>
      </c>
      <c r="N623" s="11">
        <f t="shared" si="19"/>
        <v>913.92</v>
      </c>
    </row>
    <row r="624" spans="3:14" x14ac:dyDescent="0.3">
      <c r="C624" s="6">
        <v>43914</v>
      </c>
      <c r="D624" s="7" t="s">
        <v>181</v>
      </c>
      <c r="E624" s="8">
        <v>2020</v>
      </c>
      <c r="F624" s="9" t="s">
        <v>80</v>
      </c>
      <c r="G624" s="9" t="s">
        <v>37</v>
      </c>
      <c r="H624" s="10" t="s">
        <v>106</v>
      </c>
      <c r="I624" s="7">
        <v>51</v>
      </c>
      <c r="J624" s="11">
        <v>80</v>
      </c>
      <c r="K624" s="11">
        <f t="shared" si="18"/>
        <v>4080</v>
      </c>
      <c r="L624" s="11">
        <v>5.0000000745058101E-2</v>
      </c>
      <c r="M624" s="11">
        <v>489.59999999999997</v>
      </c>
      <c r="N624" s="11">
        <f t="shared" si="19"/>
        <v>4569.5499999992553</v>
      </c>
    </row>
    <row r="625" spans="3:14" x14ac:dyDescent="0.3">
      <c r="C625" s="6">
        <v>43914</v>
      </c>
      <c r="D625" s="7" t="s">
        <v>181</v>
      </c>
      <c r="E625" s="8">
        <v>2020</v>
      </c>
      <c r="F625" s="9" t="s">
        <v>80</v>
      </c>
      <c r="G625" s="9" t="s">
        <v>26</v>
      </c>
      <c r="H625" s="10" t="s">
        <v>52</v>
      </c>
      <c r="I625" s="7">
        <v>2</v>
      </c>
      <c r="J625" s="11">
        <v>74</v>
      </c>
      <c r="K625" s="11">
        <f t="shared" si="18"/>
        <v>148</v>
      </c>
      <c r="L625" s="11">
        <v>5.0000000745058101E-2</v>
      </c>
      <c r="M625" s="11">
        <v>17.759999999999998</v>
      </c>
      <c r="N625" s="11">
        <f t="shared" si="19"/>
        <v>165.70999999925493</v>
      </c>
    </row>
    <row r="626" spans="3:14" x14ac:dyDescent="0.3">
      <c r="C626" s="6">
        <v>43914</v>
      </c>
      <c r="D626" s="7" t="s">
        <v>181</v>
      </c>
      <c r="E626" s="8">
        <v>2020</v>
      </c>
      <c r="F626" s="9" t="s">
        <v>111</v>
      </c>
      <c r="G626" s="9" t="s">
        <v>32</v>
      </c>
      <c r="H626" s="10" t="s">
        <v>59</v>
      </c>
      <c r="I626" s="7">
        <v>29</v>
      </c>
      <c r="J626" s="11">
        <v>100</v>
      </c>
      <c r="K626" s="11">
        <f t="shared" si="18"/>
        <v>2900</v>
      </c>
      <c r="L626" s="11">
        <v>0</v>
      </c>
      <c r="M626" s="11">
        <v>348</v>
      </c>
      <c r="N626" s="11">
        <f t="shared" si="19"/>
        <v>3248</v>
      </c>
    </row>
    <row r="627" spans="3:14" x14ac:dyDescent="0.3">
      <c r="C627" s="6">
        <v>43914</v>
      </c>
      <c r="D627" s="7" t="s">
        <v>181</v>
      </c>
      <c r="E627" s="8">
        <v>2020</v>
      </c>
      <c r="F627" s="9" t="s">
        <v>111</v>
      </c>
      <c r="G627" s="9" t="s">
        <v>24</v>
      </c>
      <c r="H627" s="10" t="s">
        <v>76</v>
      </c>
      <c r="I627" s="7">
        <v>34</v>
      </c>
      <c r="J627" s="11">
        <v>46</v>
      </c>
      <c r="K627" s="11">
        <f t="shared" si="18"/>
        <v>1564</v>
      </c>
      <c r="L627" s="11">
        <v>0</v>
      </c>
      <c r="M627" s="11">
        <v>187.68</v>
      </c>
      <c r="N627" s="11">
        <f t="shared" si="19"/>
        <v>1751.68</v>
      </c>
    </row>
    <row r="628" spans="3:14" x14ac:dyDescent="0.3">
      <c r="C628" s="6">
        <v>43914</v>
      </c>
      <c r="D628" s="7" t="s">
        <v>181</v>
      </c>
      <c r="E628" s="8">
        <v>2020</v>
      </c>
      <c r="F628" s="9" t="s">
        <v>111</v>
      </c>
      <c r="G628" s="9" t="s">
        <v>20</v>
      </c>
      <c r="H628" s="10" t="s">
        <v>22</v>
      </c>
      <c r="I628" s="7">
        <v>11</v>
      </c>
      <c r="J628" s="11">
        <v>64</v>
      </c>
      <c r="K628" s="11">
        <f t="shared" si="18"/>
        <v>704</v>
      </c>
      <c r="L628" s="11">
        <v>0</v>
      </c>
      <c r="M628" s="11">
        <v>84.47999999999999</v>
      </c>
      <c r="N628" s="11">
        <f t="shared" si="19"/>
        <v>788.48</v>
      </c>
    </row>
    <row r="629" spans="3:14" x14ac:dyDescent="0.3">
      <c r="C629" s="6">
        <v>43915</v>
      </c>
      <c r="D629" s="7" t="s">
        <v>181</v>
      </c>
      <c r="E629" s="8">
        <v>2020</v>
      </c>
      <c r="F629" s="9" t="s">
        <v>169</v>
      </c>
      <c r="G629" s="9" t="s">
        <v>37</v>
      </c>
      <c r="H629" s="10" t="s">
        <v>46</v>
      </c>
      <c r="I629" s="7">
        <v>19</v>
      </c>
      <c r="J629" s="11">
        <v>72</v>
      </c>
      <c r="K629" s="11">
        <f t="shared" si="18"/>
        <v>1368</v>
      </c>
      <c r="L629" s="11">
        <v>0.10000000149011599</v>
      </c>
      <c r="M629" s="11">
        <v>164.16</v>
      </c>
      <c r="N629" s="11">
        <f t="shared" si="19"/>
        <v>1532.05999999851</v>
      </c>
    </row>
    <row r="630" spans="3:14" x14ac:dyDescent="0.3">
      <c r="C630" s="6">
        <v>43915</v>
      </c>
      <c r="D630" s="7" t="s">
        <v>181</v>
      </c>
      <c r="E630" s="8">
        <v>2020</v>
      </c>
      <c r="F630" s="9" t="s">
        <v>169</v>
      </c>
      <c r="G630" s="9" t="s">
        <v>26</v>
      </c>
      <c r="H630" s="10" t="s">
        <v>112</v>
      </c>
      <c r="I630" s="7">
        <v>5</v>
      </c>
      <c r="J630" s="11">
        <v>13</v>
      </c>
      <c r="K630" s="11">
        <f t="shared" si="18"/>
        <v>65</v>
      </c>
      <c r="L630" s="11">
        <v>0.10000000149011599</v>
      </c>
      <c r="M630" s="11">
        <v>7.8</v>
      </c>
      <c r="N630" s="11">
        <f t="shared" si="19"/>
        <v>72.699999998509881</v>
      </c>
    </row>
    <row r="631" spans="3:14" x14ac:dyDescent="0.3">
      <c r="C631" s="6">
        <v>43915</v>
      </c>
      <c r="D631" s="7" t="s">
        <v>181</v>
      </c>
      <c r="E631" s="8">
        <v>2020</v>
      </c>
      <c r="F631" s="9" t="s">
        <v>169</v>
      </c>
      <c r="G631" s="9" t="s">
        <v>42</v>
      </c>
      <c r="H631" s="10" t="s">
        <v>43</v>
      </c>
      <c r="I631" s="7">
        <v>55</v>
      </c>
      <c r="J631" s="11">
        <v>17</v>
      </c>
      <c r="K631" s="11">
        <f t="shared" si="18"/>
        <v>935</v>
      </c>
      <c r="L631" s="11">
        <v>0.10000000149011599</v>
      </c>
      <c r="M631" s="11">
        <v>112.2</v>
      </c>
      <c r="N631" s="11">
        <f t="shared" si="19"/>
        <v>1047.0999999985099</v>
      </c>
    </row>
    <row r="632" spans="3:14" x14ac:dyDescent="0.3">
      <c r="C632" s="6">
        <v>43915</v>
      </c>
      <c r="D632" s="7" t="s">
        <v>181</v>
      </c>
      <c r="E632" s="8">
        <v>2020</v>
      </c>
      <c r="F632" s="9" t="s">
        <v>169</v>
      </c>
      <c r="G632" s="9" t="s">
        <v>37</v>
      </c>
      <c r="H632" s="10" t="s">
        <v>63</v>
      </c>
      <c r="I632" s="7">
        <v>73</v>
      </c>
      <c r="J632" s="11">
        <v>33</v>
      </c>
      <c r="K632" s="11">
        <f t="shared" si="18"/>
        <v>2409</v>
      </c>
      <c r="L632" s="11">
        <v>0.10000000149011599</v>
      </c>
      <c r="M632" s="11">
        <v>289.08</v>
      </c>
      <c r="N632" s="11">
        <f t="shared" si="19"/>
        <v>2697.9799999985098</v>
      </c>
    </row>
    <row r="633" spans="3:14" x14ac:dyDescent="0.3">
      <c r="C633" s="6">
        <v>43916</v>
      </c>
      <c r="D633" s="7" t="s">
        <v>181</v>
      </c>
      <c r="E633" s="8">
        <v>2020</v>
      </c>
      <c r="F633" s="9" t="s">
        <v>53</v>
      </c>
      <c r="G633" s="9" t="s">
        <v>14</v>
      </c>
      <c r="H633" s="10" t="s">
        <v>15</v>
      </c>
      <c r="I633" s="7">
        <v>97</v>
      </c>
      <c r="J633" s="11">
        <v>23</v>
      </c>
      <c r="K633" s="11">
        <f t="shared" si="18"/>
        <v>2231</v>
      </c>
      <c r="L633" s="11">
        <v>0</v>
      </c>
      <c r="M633" s="11">
        <v>267.71999999999997</v>
      </c>
      <c r="N633" s="11">
        <f t="shared" si="19"/>
        <v>2498.7199999999998</v>
      </c>
    </row>
    <row r="634" spans="3:14" x14ac:dyDescent="0.3">
      <c r="C634" s="6">
        <v>43916</v>
      </c>
      <c r="D634" s="7" t="s">
        <v>181</v>
      </c>
      <c r="E634" s="8">
        <v>2020</v>
      </c>
      <c r="F634" s="9" t="s">
        <v>53</v>
      </c>
      <c r="G634" s="9" t="s">
        <v>20</v>
      </c>
      <c r="H634" s="10" t="s">
        <v>22</v>
      </c>
      <c r="I634" s="7">
        <v>50</v>
      </c>
      <c r="J634" s="11">
        <v>22</v>
      </c>
      <c r="K634" s="11">
        <f t="shared" si="18"/>
        <v>1100</v>
      </c>
      <c r="L634" s="11">
        <v>0</v>
      </c>
      <c r="M634" s="11">
        <v>132</v>
      </c>
      <c r="N634" s="11">
        <f t="shared" si="19"/>
        <v>1232</v>
      </c>
    </row>
    <row r="635" spans="3:14" x14ac:dyDescent="0.3">
      <c r="C635" s="6">
        <v>43916</v>
      </c>
      <c r="D635" s="7" t="s">
        <v>181</v>
      </c>
      <c r="E635" s="8">
        <v>2020</v>
      </c>
      <c r="F635" s="9" t="s">
        <v>53</v>
      </c>
      <c r="G635" s="9" t="s">
        <v>20</v>
      </c>
      <c r="H635" s="10" t="s">
        <v>44</v>
      </c>
      <c r="I635" s="7">
        <v>55</v>
      </c>
      <c r="J635" s="11">
        <v>16</v>
      </c>
      <c r="K635" s="11">
        <f t="shared" si="18"/>
        <v>880</v>
      </c>
      <c r="L635" s="11">
        <v>0</v>
      </c>
      <c r="M635" s="11">
        <v>105.6</v>
      </c>
      <c r="N635" s="11">
        <f t="shared" si="19"/>
        <v>985.6</v>
      </c>
    </row>
    <row r="636" spans="3:14" x14ac:dyDescent="0.3">
      <c r="C636" s="6">
        <v>43916</v>
      </c>
      <c r="D636" s="7" t="s">
        <v>181</v>
      </c>
      <c r="E636" s="8">
        <v>2020</v>
      </c>
      <c r="F636" s="9" t="s">
        <v>161</v>
      </c>
      <c r="G636" s="9" t="s">
        <v>32</v>
      </c>
      <c r="H636" s="10" t="s">
        <v>100</v>
      </c>
      <c r="I636" s="7">
        <v>46</v>
      </c>
      <c r="J636" s="11">
        <v>98</v>
      </c>
      <c r="K636" s="11">
        <f t="shared" si="18"/>
        <v>4508</v>
      </c>
      <c r="L636" s="11">
        <v>0</v>
      </c>
      <c r="M636" s="11">
        <v>540.96</v>
      </c>
      <c r="N636" s="11">
        <f t="shared" si="19"/>
        <v>5048.96</v>
      </c>
    </row>
    <row r="637" spans="3:14" x14ac:dyDescent="0.3">
      <c r="C637" s="6">
        <v>43916</v>
      </c>
      <c r="D637" s="7" t="s">
        <v>181</v>
      </c>
      <c r="E637" s="8">
        <v>2020</v>
      </c>
      <c r="F637" s="9" t="s">
        <v>161</v>
      </c>
      <c r="G637" s="9" t="s">
        <v>32</v>
      </c>
      <c r="H637" s="10" t="s">
        <v>140</v>
      </c>
      <c r="I637" s="7">
        <v>22</v>
      </c>
      <c r="J637" s="11">
        <v>40</v>
      </c>
      <c r="K637" s="11">
        <f t="shared" si="18"/>
        <v>880</v>
      </c>
      <c r="L637" s="11">
        <v>0</v>
      </c>
      <c r="M637" s="11">
        <v>105.6</v>
      </c>
      <c r="N637" s="11">
        <f t="shared" si="19"/>
        <v>985.6</v>
      </c>
    </row>
    <row r="638" spans="3:14" x14ac:dyDescent="0.3">
      <c r="C638" s="6">
        <v>43916</v>
      </c>
      <c r="D638" s="7" t="s">
        <v>181</v>
      </c>
      <c r="E638" s="8">
        <v>2020</v>
      </c>
      <c r="F638" s="9" t="s">
        <v>161</v>
      </c>
      <c r="G638" s="9" t="s">
        <v>42</v>
      </c>
      <c r="H638" s="10" t="s">
        <v>109</v>
      </c>
      <c r="I638" s="7">
        <v>25</v>
      </c>
      <c r="J638" s="11">
        <v>41</v>
      </c>
      <c r="K638" s="11">
        <f t="shared" si="18"/>
        <v>1025</v>
      </c>
      <c r="L638" s="11">
        <v>0.25</v>
      </c>
      <c r="M638" s="11">
        <v>123</v>
      </c>
      <c r="N638" s="11">
        <f t="shared" si="19"/>
        <v>1147.75</v>
      </c>
    </row>
    <row r="639" spans="3:14" x14ac:dyDescent="0.3">
      <c r="C639" s="6">
        <v>43917</v>
      </c>
      <c r="D639" s="7" t="s">
        <v>181</v>
      </c>
      <c r="E639" s="8">
        <v>2020</v>
      </c>
      <c r="F639" s="9" t="s">
        <v>75</v>
      </c>
      <c r="G639" s="9" t="s">
        <v>14</v>
      </c>
      <c r="H639" s="10" t="s">
        <v>49</v>
      </c>
      <c r="I639" s="7">
        <v>73</v>
      </c>
      <c r="J639" s="11">
        <v>68</v>
      </c>
      <c r="K639" s="11">
        <f t="shared" si="18"/>
        <v>4964</v>
      </c>
      <c r="L639" s="11">
        <v>0</v>
      </c>
      <c r="M639" s="11">
        <v>595.67999999999995</v>
      </c>
      <c r="N639" s="11">
        <f t="shared" si="19"/>
        <v>5559.68</v>
      </c>
    </row>
    <row r="640" spans="3:14" x14ac:dyDescent="0.3">
      <c r="C640" s="6">
        <v>43917</v>
      </c>
      <c r="D640" s="7" t="s">
        <v>181</v>
      </c>
      <c r="E640" s="8">
        <v>2020</v>
      </c>
      <c r="F640" s="9" t="s">
        <v>75</v>
      </c>
      <c r="G640" s="9" t="s">
        <v>24</v>
      </c>
      <c r="H640" s="10" t="s">
        <v>96</v>
      </c>
      <c r="I640" s="7">
        <v>71</v>
      </c>
      <c r="J640" s="11">
        <v>45</v>
      </c>
      <c r="K640" s="11">
        <f t="shared" si="18"/>
        <v>3195</v>
      </c>
      <c r="L640" s="11">
        <v>0.20000000298023199</v>
      </c>
      <c r="M640" s="11">
        <v>383.4</v>
      </c>
      <c r="N640" s="11">
        <f t="shared" si="19"/>
        <v>3578.1999999970199</v>
      </c>
    </row>
    <row r="641" spans="3:14" x14ac:dyDescent="0.3">
      <c r="C641" s="6">
        <v>43918</v>
      </c>
      <c r="D641" s="7" t="s">
        <v>181</v>
      </c>
      <c r="E641" s="8">
        <v>2020</v>
      </c>
      <c r="F641" s="9" t="s">
        <v>152</v>
      </c>
      <c r="G641" s="9" t="s">
        <v>14</v>
      </c>
      <c r="H641" s="10" t="s">
        <v>15</v>
      </c>
      <c r="I641" s="7">
        <v>42</v>
      </c>
      <c r="J641" s="11">
        <v>36</v>
      </c>
      <c r="K641" s="11">
        <f t="shared" si="18"/>
        <v>1512</v>
      </c>
      <c r="L641" s="11">
        <v>0.25</v>
      </c>
      <c r="M641" s="11">
        <v>181.44</v>
      </c>
      <c r="N641" s="11">
        <f t="shared" si="19"/>
        <v>1693.19</v>
      </c>
    </row>
    <row r="642" spans="3:14" x14ac:dyDescent="0.3">
      <c r="C642" s="6">
        <v>43918</v>
      </c>
      <c r="D642" s="7" t="s">
        <v>181</v>
      </c>
      <c r="E642" s="8">
        <v>2020</v>
      </c>
      <c r="F642" s="9" t="s">
        <v>152</v>
      </c>
      <c r="G642" s="9" t="s">
        <v>32</v>
      </c>
      <c r="H642" s="10" t="s">
        <v>47</v>
      </c>
      <c r="I642" s="7">
        <v>68</v>
      </c>
      <c r="J642" s="11">
        <v>23</v>
      </c>
      <c r="K642" s="11">
        <f t="shared" si="18"/>
        <v>1564</v>
      </c>
      <c r="L642" s="11">
        <v>0</v>
      </c>
      <c r="M642" s="11">
        <v>187.68</v>
      </c>
      <c r="N642" s="11">
        <f t="shared" si="19"/>
        <v>1751.68</v>
      </c>
    </row>
    <row r="643" spans="3:14" x14ac:dyDescent="0.3">
      <c r="C643" s="6">
        <v>43921</v>
      </c>
      <c r="D643" s="7" t="s">
        <v>181</v>
      </c>
      <c r="E643" s="8">
        <v>2020</v>
      </c>
      <c r="F643" s="9" t="s">
        <v>53</v>
      </c>
      <c r="G643" s="9" t="s">
        <v>14</v>
      </c>
      <c r="H643" s="10" t="s">
        <v>49</v>
      </c>
      <c r="I643" s="7">
        <v>44</v>
      </c>
      <c r="J643" s="11">
        <v>88</v>
      </c>
      <c r="K643" s="11">
        <f t="shared" ref="K643:K706" si="20">J643*I643</f>
        <v>3872</v>
      </c>
      <c r="L643" s="11">
        <v>0</v>
      </c>
      <c r="M643" s="11">
        <v>464.64</v>
      </c>
      <c r="N643" s="11">
        <f t="shared" ref="N643:N706" si="21">K643-L643+M643</f>
        <v>4336.6400000000003</v>
      </c>
    </row>
    <row r="644" spans="3:14" x14ac:dyDescent="0.3">
      <c r="C644" s="6">
        <v>43921</v>
      </c>
      <c r="D644" s="7" t="s">
        <v>181</v>
      </c>
      <c r="E644" s="8">
        <v>2020</v>
      </c>
      <c r="F644" s="9" t="s">
        <v>53</v>
      </c>
      <c r="G644" s="9" t="s">
        <v>32</v>
      </c>
      <c r="H644" s="10" t="s">
        <v>110</v>
      </c>
      <c r="I644" s="7">
        <v>40</v>
      </c>
      <c r="J644" s="11">
        <v>15</v>
      </c>
      <c r="K644" s="11">
        <f t="shared" si="20"/>
        <v>600</v>
      </c>
      <c r="L644" s="11">
        <v>0</v>
      </c>
      <c r="M644" s="11">
        <v>72</v>
      </c>
      <c r="N644" s="11">
        <f t="shared" si="21"/>
        <v>672</v>
      </c>
    </row>
    <row r="645" spans="3:14" x14ac:dyDescent="0.3">
      <c r="C645" s="6">
        <v>43921</v>
      </c>
      <c r="D645" s="7" t="s">
        <v>181</v>
      </c>
      <c r="E645" s="8">
        <v>2020</v>
      </c>
      <c r="F645" s="9" t="s">
        <v>53</v>
      </c>
      <c r="G645" s="9" t="s">
        <v>37</v>
      </c>
      <c r="H645" s="10" t="s">
        <v>98</v>
      </c>
      <c r="I645" s="7">
        <v>28</v>
      </c>
      <c r="J645" s="11">
        <v>20</v>
      </c>
      <c r="K645" s="11">
        <f t="shared" si="20"/>
        <v>560</v>
      </c>
      <c r="L645" s="11">
        <v>0</v>
      </c>
      <c r="M645" s="11">
        <v>67.2</v>
      </c>
      <c r="N645" s="11">
        <f t="shared" si="21"/>
        <v>627.20000000000005</v>
      </c>
    </row>
    <row r="646" spans="3:14" x14ac:dyDescent="0.3">
      <c r="C646" s="6">
        <v>43921</v>
      </c>
      <c r="D646" s="7" t="s">
        <v>181</v>
      </c>
      <c r="E646" s="8">
        <v>2020</v>
      </c>
      <c r="F646" s="9" t="s">
        <v>138</v>
      </c>
      <c r="G646" s="9" t="s">
        <v>26</v>
      </c>
      <c r="H646" s="10" t="s">
        <v>94</v>
      </c>
      <c r="I646" s="7">
        <v>76</v>
      </c>
      <c r="J646" s="11">
        <v>26</v>
      </c>
      <c r="K646" s="11">
        <f t="shared" si="20"/>
        <v>1976</v>
      </c>
      <c r="L646" s="11">
        <v>0.15000000596046401</v>
      </c>
      <c r="M646" s="11">
        <v>237.12</v>
      </c>
      <c r="N646" s="11">
        <f t="shared" si="21"/>
        <v>2212.9699999940394</v>
      </c>
    </row>
    <row r="647" spans="3:14" x14ac:dyDescent="0.3">
      <c r="C647" s="6">
        <v>43921</v>
      </c>
      <c r="D647" s="7" t="s">
        <v>181</v>
      </c>
      <c r="E647" s="8">
        <v>2020</v>
      </c>
      <c r="F647" s="9" t="s">
        <v>138</v>
      </c>
      <c r="G647" s="9" t="s">
        <v>26</v>
      </c>
      <c r="H647" s="10" t="s">
        <v>52</v>
      </c>
      <c r="I647" s="7">
        <v>79</v>
      </c>
      <c r="J647" s="11">
        <v>59</v>
      </c>
      <c r="K647" s="11">
        <f t="shared" si="20"/>
        <v>4661</v>
      </c>
      <c r="L647" s="11">
        <v>0.15000000596046401</v>
      </c>
      <c r="M647" s="11">
        <v>559.31999999999994</v>
      </c>
      <c r="N647" s="11">
        <f t="shared" si="21"/>
        <v>5220.1699999940392</v>
      </c>
    </row>
    <row r="648" spans="3:14" x14ac:dyDescent="0.3">
      <c r="C648" s="6">
        <v>43922</v>
      </c>
      <c r="D648" s="7" t="s">
        <v>183</v>
      </c>
      <c r="E648" s="8">
        <v>2020</v>
      </c>
      <c r="F648" s="9" t="s">
        <v>166</v>
      </c>
      <c r="G648" s="9" t="s">
        <v>32</v>
      </c>
      <c r="H648" s="10" t="s">
        <v>134</v>
      </c>
      <c r="I648" s="7">
        <v>19</v>
      </c>
      <c r="J648" s="11">
        <v>88</v>
      </c>
      <c r="K648" s="11">
        <f t="shared" si="20"/>
        <v>1672</v>
      </c>
      <c r="L648" s="11">
        <v>5.0000000745058101E-2</v>
      </c>
      <c r="M648" s="11">
        <v>200.64</v>
      </c>
      <c r="N648" s="11">
        <f t="shared" si="21"/>
        <v>1872.5899999992548</v>
      </c>
    </row>
    <row r="649" spans="3:14" x14ac:dyDescent="0.3">
      <c r="C649" s="6">
        <v>43922</v>
      </c>
      <c r="D649" s="7" t="s">
        <v>183</v>
      </c>
      <c r="E649" s="8">
        <v>2020</v>
      </c>
      <c r="F649" s="9" t="s">
        <v>166</v>
      </c>
      <c r="G649" s="9" t="s">
        <v>16</v>
      </c>
      <c r="H649" s="10" t="s">
        <v>17</v>
      </c>
      <c r="I649" s="7">
        <v>81</v>
      </c>
      <c r="J649" s="11">
        <v>63</v>
      </c>
      <c r="K649" s="11">
        <f t="shared" si="20"/>
        <v>5103</v>
      </c>
      <c r="L649" s="11">
        <v>5.0000000745058101E-2</v>
      </c>
      <c r="M649" s="11">
        <v>612.36</v>
      </c>
      <c r="N649" s="11">
        <f t="shared" si="21"/>
        <v>5715.3099999992546</v>
      </c>
    </row>
    <row r="650" spans="3:14" x14ac:dyDescent="0.3">
      <c r="C650" s="6">
        <v>43923</v>
      </c>
      <c r="D650" s="7" t="s">
        <v>183</v>
      </c>
      <c r="E650" s="8">
        <v>2020</v>
      </c>
      <c r="F650" s="9" t="s">
        <v>150</v>
      </c>
      <c r="G650" s="9" t="s">
        <v>26</v>
      </c>
      <c r="H650" s="10" t="s">
        <v>27</v>
      </c>
      <c r="I650" s="7">
        <v>10</v>
      </c>
      <c r="J650" s="11">
        <v>55</v>
      </c>
      <c r="K650" s="11">
        <f t="shared" si="20"/>
        <v>550</v>
      </c>
      <c r="L650" s="11">
        <v>0.10000000149011599</v>
      </c>
      <c r="M650" s="11">
        <v>66</v>
      </c>
      <c r="N650" s="11">
        <f t="shared" si="21"/>
        <v>615.89999999850988</v>
      </c>
    </row>
    <row r="651" spans="3:14" x14ac:dyDescent="0.3">
      <c r="C651" s="6">
        <v>43923</v>
      </c>
      <c r="D651" s="7" t="s">
        <v>183</v>
      </c>
      <c r="E651" s="8">
        <v>2020</v>
      </c>
      <c r="F651" s="9" t="s">
        <v>150</v>
      </c>
      <c r="G651" s="9" t="s">
        <v>26</v>
      </c>
      <c r="H651" s="10" t="s">
        <v>119</v>
      </c>
      <c r="I651" s="7">
        <v>74</v>
      </c>
      <c r="J651" s="11">
        <v>11</v>
      </c>
      <c r="K651" s="11">
        <f t="shared" si="20"/>
        <v>814</v>
      </c>
      <c r="L651" s="11">
        <v>0.10000000149011599</v>
      </c>
      <c r="M651" s="11">
        <v>97.679999999999993</v>
      </c>
      <c r="N651" s="11">
        <f t="shared" si="21"/>
        <v>911.57999999850983</v>
      </c>
    </row>
    <row r="652" spans="3:14" x14ac:dyDescent="0.3">
      <c r="C652" s="6">
        <v>43923</v>
      </c>
      <c r="D652" s="7" t="s">
        <v>183</v>
      </c>
      <c r="E652" s="8">
        <v>2020</v>
      </c>
      <c r="F652" s="9" t="s">
        <v>150</v>
      </c>
      <c r="G652" s="9" t="s">
        <v>14</v>
      </c>
      <c r="H652" s="10" t="s">
        <v>117</v>
      </c>
      <c r="I652" s="7">
        <v>66</v>
      </c>
      <c r="J652" s="11">
        <v>76</v>
      </c>
      <c r="K652" s="11">
        <f t="shared" si="20"/>
        <v>5016</v>
      </c>
      <c r="L652" s="11">
        <v>0.10000000149011599</v>
      </c>
      <c r="M652" s="11">
        <v>601.91999999999996</v>
      </c>
      <c r="N652" s="11">
        <f t="shared" si="21"/>
        <v>5617.81999999851</v>
      </c>
    </row>
    <row r="653" spans="3:14" x14ac:dyDescent="0.3">
      <c r="C653" s="6">
        <v>43923</v>
      </c>
      <c r="D653" s="7" t="s">
        <v>183</v>
      </c>
      <c r="E653" s="8">
        <v>2020</v>
      </c>
      <c r="F653" s="9" t="s">
        <v>114</v>
      </c>
      <c r="G653" s="9" t="s">
        <v>16</v>
      </c>
      <c r="H653" s="10" t="s">
        <v>68</v>
      </c>
      <c r="I653" s="7">
        <v>92</v>
      </c>
      <c r="J653" s="11">
        <v>29</v>
      </c>
      <c r="K653" s="11">
        <f t="shared" si="20"/>
        <v>2668</v>
      </c>
      <c r="L653" s="11">
        <v>0</v>
      </c>
      <c r="M653" s="11">
        <v>320.15999999999997</v>
      </c>
      <c r="N653" s="11">
        <f t="shared" si="21"/>
        <v>2988.16</v>
      </c>
    </row>
    <row r="654" spans="3:14" x14ac:dyDescent="0.3">
      <c r="C654" s="6">
        <v>43924</v>
      </c>
      <c r="D654" s="7" t="s">
        <v>183</v>
      </c>
      <c r="E654" s="8">
        <v>2020</v>
      </c>
      <c r="F654" s="9" t="s">
        <v>184</v>
      </c>
      <c r="G654" s="9" t="s">
        <v>16</v>
      </c>
      <c r="H654" s="10" t="s">
        <v>145</v>
      </c>
      <c r="I654" s="7">
        <v>50</v>
      </c>
      <c r="J654" s="11">
        <v>38</v>
      </c>
      <c r="K654" s="11">
        <f t="shared" si="20"/>
        <v>1900</v>
      </c>
      <c r="L654" s="11">
        <v>0</v>
      </c>
      <c r="M654" s="11">
        <v>228</v>
      </c>
      <c r="N654" s="11">
        <f t="shared" si="21"/>
        <v>2128</v>
      </c>
    </row>
    <row r="655" spans="3:14" x14ac:dyDescent="0.3">
      <c r="C655" s="6">
        <v>43924</v>
      </c>
      <c r="D655" s="7" t="s">
        <v>183</v>
      </c>
      <c r="E655" s="8">
        <v>2020</v>
      </c>
      <c r="F655" s="9" t="s">
        <v>184</v>
      </c>
      <c r="G655" s="9" t="s">
        <v>24</v>
      </c>
      <c r="H655" s="10" t="s">
        <v>25</v>
      </c>
      <c r="I655" s="7">
        <v>17</v>
      </c>
      <c r="J655" s="11">
        <v>37</v>
      </c>
      <c r="K655" s="11">
        <f t="shared" si="20"/>
        <v>629</v>
      </c>
      <c r="L655" s="11">
        <v>0</v>
      </c>
      <c r="M655" s="11">
        <v>75.48</v>
      </c>
      <c r="N655" s="11">
        <f t="shared" si="21"/>
        <v>704.48</v>
      </c>
    </row>
    <row r="656" spans="3:14" x14ac:dyDescent="0.3">
      <c r="C656" s="6">
        <v>43924</v>
      </c>
      <c r="D656" s="7" t="s">
        <v>183</v>
      </c>
      <c r="E656" s="8">
        <v>2020</v>
      </c>
      <c r="F656" s="9" t="s">
        <v>184</v>
      </c>
      <c r="G656" s="9" t="s">
        <v>26</v>
      </c>
      <c r="H656" s="10" t="s">
        <v>52</v>
      </c>
      <c r="I656" s="7">
        <v>57</v>
      </c>
      <c r="J656" s="11">
        <v>67</v>
      </c>
      <c r="K656" s="11">
        <f t="shared" si="20"/>
        <v>3819</v>
      </c>
      <c r="L656" s="11">
        <v>0</v>
      </c>
      <c r="M656" s="11">
        <v>458.28</v>
      </c>
      <c r="N656" s="11">
        <f t="shared" si="21"/>
        <v>4277.28</v>
      </c>
    </row>
    <row r="657" spans="3:14" x14ac:dyDescent="0.3">
      <c r="C657" s="6">
        <v>43925</v>
      </c>
      <c r="D657" s="7" t="s">
        <v>183</v>
      </c>
      <c r="E657" s="8">
        <v>2020</v>
      </c>
      <c r="F657" s="9" t="s">
        <v>19</v>
      </c>
      <c r="G657" s="9" t="s">
        <v>14</v>
      </c>
      <c r="H657" s="10" t="s">
        <v>36</v>
      </c>
      <c r="I657" s="7">
        <v>56</v>
      </c>
      <c r="J657" s="11">
        <v>28</v>
      </c>
      <c r="K657" s="11">
        <f t="shared" si="20"/>
        <v>1568</v>
      </c>
      <c r="L657" s="11">
        <v>5.0000000745058101E-2</v>
      </c>
      <c r="M657" s="11">
        <v>188.16</v>
      </c>
      <c r="N657" s="11">
        <f t="shared" si="21"/>
        <v>1756.109999999255</v>
      </c>
    </row>
    <row r="658" spans="3:14" x14ac:dyDescent="0.3">
      <c r="C658" s="6">
        <v>43925</v>
      </c>
      <c r="D658" s="7" t="s">
        <v>183</v>
      </c>
      <c r="E658" s="8">
        <v>2020</v>
      </c>
      <c r="F658" s="9" t="s">
        <v>97</v>
      </c>
      <c r="G658" s="9" t="s">
        <v>16</v>
      </c>
      <c r="H658" s="10" t="s">
        <v>68</v>
      </c>
      <c r="I658" s="7">
        <v>83</v>
      </c>
      <c r="J658" s="11">
        <v>22</v>
      </c>
      <c r="K658" s="11">
        <f t="shared" si="20"/>
        <v>1826</v>
      </c>
      <c r="L658" s="11">
        <v>0</v>
      </c>
      <c r="M658" s="11">
        <v>219.12</v>
      </c>
      <c r="N658" s="11">
        <f t="shared" si="21"/>
        <v>2045.12</v>
      </c>
    </row>
    <row r="659" spans="3:14" x14ac:dyDescent="0.3">
      <c r="C659" s="6">
        <v>43925</v>
      </c>
      <c r="D659" s="7" t="s">
        <v>183</v>
      </c>
      <c r="E659" s="8">
        <v>2020</v>
      </c>
      <c r="F659" s="9" t="s">
        <v>97</v>
      </c>
      <c r="G659" s="9" t="s">
        <v>14</v>
      </c>
      <c r="H659" s="10" t="s">
        <v>18</v>
      </c>
      <c r="I659" s="7">
        <v>6</v>
      </c>
      <c r="J659" s="11">
        <v>62</v>
      </c>
      <c r="K659" s="11">
        <f t="shared" si="20"/>
        <v>372</v>
      </c>
      <c r="L659" s="11">
        <v>0</v>
      </c>
      <c r="M659" s="11">
        <v>44.64</v>
      </c>
      <c r="N659" s="11">
        <f t="shared" si="21"/>
        <v>416.64</v>
      </c>
    </row>
    <row r="660" spans="3:14" x14ac:dyDescent="0.3">
      <c r="C660" s="6">
        <v>43925</v>
      </c>
      <c r="D660" s="7" t="s">
        <v>183</v>
      </c>
      <c r="E660" s="8">
        <v>2020</v>
      </c>
      <c r="F660" s="9" t="s">
        <v>97</v>
      </c>
      <c r="G660" s="9" t="s">
        <v>26</v>
      </c>
      <c r="H660" s="10" t="s">
        <v>52</v>
      </c>
      <c r="I660" s="7">
        <v>80</v>
      </c>
      <c r="J660" s="11">
        <v>47</v>
      </c>
      <c r="K660" s="11">
        <f t="shared" si="20"/>
        <v>3760</v>
      </c>
      <c r="L660" s="11">
        <v>0</v>
      </c>
      <c r="M660" s="11">
        <v>451.2</v>
      </c>
      <c r="N660" s="11">
        <f t="shared" si="21"/>
        <v>4211.2</v>
      </c>
    </row>
    <row r="661" spans="3:14" x14ac:dyDescent="0.3">
      <c r="C661" s="6">
        <v>43928</v>
      </c>
      <c r="D661" s="7" t="s">
        <v>183</v>
      </c>
      <c r="E661" s="8">
        <v>2020</v>
      </c>
      <c r="F661" s="9" t="s">
        <v>53</v>
      </c>
      <c r="G661" s="9" t="s">
        <v>37</v>
      </c>
      <c r="H661" s="10" t="s">
        <v>41</v>
      </c>
      <c r="I661" s="7">
        <v>5</v>
      </c>
      <c r="J661" s="11">
        <v>64</v>
      </c>
      <c r="K661" s="11">
        <f t="shared" si="20"/>
        <v>320</v>
      </c>
      <c r="L661" s="11">
        <v>0</v>
      </c>
      <c r="M661" s="11">
        <v>38.4</v>
      </c>
      <c r="N661" s="11">
        <f t="shared" si="21"/>
        <v>358.4</v>
      </c>
    </row>
    <row r="662" spans="3:14" x14ac:dyDescent="0.3">
      <c r="C662" s="6">
        <v>43928</v>
      </c>
      <c r="D662" s="7" t="s">
        <v>183</v>
      </c>
      <c r="E662" s="8">
        <v>2020</v>
      </c>
      <c r="F662" s="9" t="s">
        <v>53</v>
      </c>
      <c r="G662" s="9" t="s">
        <v>24</v>
      </c>
      <c r="H662" s="10" t="s">
        <v>76</v>
      </c>
      <c r="I662" s="7">
        <v>24</v>
      </c>
      <c r="J662" s="11">
        <v>10</v>
      </c>
      <c r="K662" s="11">
        <f t="shared" si="20"/>
        <v>240</v>
      </c>
      <c r="L662" s="11">
        <v>0</v>
      </c>
      <c r="M662" s="11">
        <v>28.799999999999997</v>
      </c>
      <c r="N662" s="11">
        <f t="shared" si="21"/>
        <v>268.8</v>
      </c>
    </row>
    <row r="663" spans="3:14" x14ac:dyDescent="0.3">
      <c r="C663" s="6">
        <v>43928</v>
      </c>
      <c r="D663" s="7" t="s">
        <v>183</v>
      </c>
      <c r="E663" s="8">
        <v>2020</v>
      </c>
      <c r="F663" s="9" t="s">
        <v>53</v>
      </c>
      <c r="G663" s="9" t="s">
        <v>16</v>
      </c>
      <c r="H663" s="10" t="s">
        <v>17</v>
      </c>
      <c r="I663" s="7">
        <v>13</v>
      </c>
      <c r="J663" s="11">
        <v>79</v>
      </c>
      <c r="K663" s="11">
        <f t="shared" si="20"/>
        <v>1027</v>
      </c>
      <c r="L663" s="11">
        <v>0</v>
      </c>
      <c r="M663" s="11">
        <v>123.24</v>
      </c>
      <c r="N663" s="11">
        <f t="shared" si="21"/>
        <v>1150.24</v>
      </c>
    </row>
    <row r="664" spans="3:14" x14ac:dyDescent="0.3">
      <c r="C664" s="6">
        <v>43929</v>
      </c>
      <c r="D664" s="7" t="s">
        <v>183</v>
      </c>
      <c r="E664" s="8">
        <v>2020</v>
      </c>
      <c r="F664" s="9" t="s">
        <v>101</v>
      </c>
      <c r="G664" s="9" t="s">
        <v>20</v>
      </c>
      <c r="H664" s="10" t="s">
        <v>92</v>
      </c>
      <c r="I664" s="7">
        <v>37</v>
      </c>
      <c r="J664" s="11">
        <v>17</v>
      </c>
      <c r="K664" s="11">
        <f t="shared" si="20"/>
        <v>629</v>
      </c>
      <c r="L664" s="11">
        <v>0</v>
      </c>
      <c r="M664" s="11">
        <v>75.48</v>
      </c>
      <c r="N664" s="11">
        <f t="shared" si="21"/>
        <v>704.48</v>
      </c>
    </row>
    <row r="665" spans="3:14" x14ac:dyDescent="0.3">
      <c r="C665" s="6">
        <v>43929</v>
      </c>
      <c r="D665" s="7" t="s">
        <v>183</v>
      </c>
      <c r="E665" s="8">
        <v>2020</v>
      </c>
      <c r="F665" s="9" t="s">
        <v>101</v>
      </c>
      <c r="G665" s="9" t="s">
        <v>32</v>
      </c>
      <c r="H665" s="10" t="s">
        <v>39</v>
      </c>
      <c r="I665" s="7">
        <v>86</v>
      </c>
      <c r="J665" s="11">
        <v>93</v>
      </c>
      <c r="K665" s="11">
        <f t="shared" si="20"/>
        <v>7998</v>
      </c>
      <c r="L665" s="11">
        <v>0</v>
      </c>
      <c r="M665" s="11">
        <v>959.76</v>
      </c>
      <c r="N665" s="11">
        <f t="shared" si="21"/>
        <v>8957.76</v>
      </c>
    </row>
    <row r="666" spans="3:14" x14ac:dyDescent="0.3">
      <c r="C666" s="6">
        <v>43930</v>
      </c>
      <c r="D666" s="7" t="s">
        <v>183</v>
      </c>
      <c r="E666" s="8">
        <v>2020</v>
      </c>
      <c r="F666" s="9" t="s">
        <v>150</v>
      </c>
      <c r="G666" s="9" t="s">
        <v>26</v>
      </c>
      <c r="H666" s="10" t="s">
        <v>102</v>
      </c>
      <c r="I666" s="7">
        <v>43</v>
      </c>
      <c r="J666" s="11">
        <v>24</v>
      </c>
      <c r="K666" s="11">
        <f t="shared" si="20"/>
        <v>1032</v>
      </c>
      <c r="L666" s="11">
        <v>5.0000000745058101E-2</v>
      </c>
      <c r="M666" s="11">
        <v>123.83999999999999</v>
      </c>
      <c r="N666" s="11">
        <f t="shared" si="21"/>
        <v>1155.7899999992549</v>
      </c>
    </row>
    <row r="667" spans="3:14" x14ac:dyDescent="0.3">
      <c r="C667" s="6">
        <v>43930</v>
      </c>
      <c r="D667" s="7" t="s">
        <v>183</v>
      </c>
      <c r="E667" s="8">
        <v>2020</v>
      </c>
      <c r="F667" s="9" t="s">
        <v>150</v>
      </c>
      <c r="G667" s="9" t="s">
        <v>20</v>
      </c>
      <c r="H667" s="10" t="s">
        <v>92</v>
      </c>
      <c r="I667" s="7">
        <v>4</v>
      </c>
      <c r="J667" s="11">
        <v>47</v>
      </c>
      <c r="K667" s="11">
        <f t="shared" si="20"/>
        <v>188</v>
      </c>
      <c r="L667" s="11">
        <v>5.0000000745058101E-2</v>
      </c>
      <c r="M667" s="11">
        <v>22.56</v>
      </c>
      <c r="N667" s="11">
        <f t="shared" si="21"/>
        <v>210.50999999925494</v>
      </c>
    </row>
    <row r="668" spans="3:14" x14ac:dyDescent="0.3">
      <c r="C668" s="6">
        <v>43930</v>
      </c>
      <c r="D668" s="7" t="s">
        <v>183</v>
      </c>
      <c r="E668" s="8">
        <v>2020</v>
      </c>
      <c r="F668" s="9" t="s">
        <v>185</v>
      </c>
      <c r="G668" s="9" t="s">
        <v>42</v>
      </c>
      <c r="H668" s="10" t="s">
        <v>109</v>
      </c>
      <c r="I668" s="7">
        <v>80</v>
      </c>
      <c r="J668" s="11">
        <v>98</v>
      </c>
      <c r="K668" s="11">
        <f t="shared" si="20"/>
        <v>7840</v>
      </c>
      <c r="L668" s="11">
        <v>0</v>
      </c>
      <c r="M668" s="11">
        <v>940.8</v>
      </c>
      <c r="N668" s="11">
        <f t="shared" si="21"/>
        <v>8780.7999999999993</v>
      </c>
    </row>
    <row r="669" spans="3:14" x14ac:dyDescent="0.3">
      <c r="C669" s="6">
        <v>43931</v>
      </c>
      <c r="D669" s="7" t="s">
        <v>183</v>
      </c>
      <c r="E669" s="8">
        <v>2020</v>
      </c>
      <c r="F669" s="9" t="s">
        <v>131</v>
      </c>
      <c r="G669" s="9" t="s">
        <v>24</v>
      </c>
      <c r="H669" s="10" t="s">
        <v>165</v>
      </c>
      <c r="I669" s="7">
        <v>79</v>
      </c>
      <c r="J669" s="11">
        <v>84</v>
      </c>
      <c r="K669" s="11">
        <f t="shared" si="20"/>
        <v>6636</v>
      </c>
      <c r="L669" s="11">
        <v>0</v>
      </c>
      <c r="M669" s="11">
        <v>796.31999999999994</v>
      </c>
      <c r="N669" s="11">
        <f t="shared" si="21"/>
        <v>7432.32</v>
      </c>
    </row>
    <row r="670" spans="3:14" x14ac:dyDescent="0.3">
      <c r="C670" s="6">
        <v>43931</v>
      </c>
      <c r="D670" s="7" t="s">
        <v>183</v>
      </c>
      <c r="E670" s="8">
        <v>2020</v>
      </c>
      <c r="F670" s="9" t="s">
        <v>131</v>
      </c>
      <c r="G670" s="9" t="s">
        <v>42</v>
      </c>
      <c r="H670" s="10" t="s">
        <v>51</v>
      </c>
      <c r="I670" s="7">
        <v>58</v>
      </c>
      <c r="J670" s="11">
        <v>47</v>
      </c>
      <c r="K670" s="11">
        <f t="shared" si="20"/>
        <v>2726</v>
      </c>
      <c r="L670" s="11">
        <v>0</v>
      </c>
      <c r="M670" s="11">
        <v>327.12</v>
      </c>
      <c r="N670" s="11">
        <f t="shared" si="21"/>
        <v>3053.12</v>
      </c>
    </row>
    <row r="671" spans="3:14" x14ac:dyDescent="0.3">
      <c r="C671" s="6">
        <v>43931</v>
      </c>
      <c r="D671" s="7" t="s">
        <v>183</v>
      </c>
      <c r="E671" s="8">
        <v>2020</v>
      </c>
      <c r="F671" s="9" t="s">
        <v>131</v>
      </c>
      <c r="G671" s="9" t="s">
        <v>37</v>
      </c>
      <c r="H671" s="10" t="s">
        <v>103</v>
      </c>
      <c r="I671" s="7">
        <v>87</v>
      </c>
      <c r="J671" s="11">
        <v>81</v>
      </c>
      <c r="K671" s="11">
        <f t="shared" si="20"/>
        <v>7047</v>
      </c>
      <c r="L671" s="11">
        <v>0</v>
      </c>
      <c r="M671" s="11">
        <v>845.64</v>
      </c>
      <c r="N671" s="11">
        <f t="shared" si="21"/>
        <v>7892.64</v>
      </c>
    </row>
    <row r="672" spans="3:14" x14ac:dyDescent="0.3">
      <c r="C672" s="6">
        <v>43932</v>
      </c>
      <c r="D672" s="7" t="s">
        <v>183</v>
      </c>
      <c r="E672" s="8">
        <v>2020</v>
      </c>
      <c r="F672" s="9" t="s">
        <v>118</v>
      </c>
      <c r="G672" s="9" t="s">
        <v>20</v>
      </c>
      <c r="H672" s="10" t="s">
        <v>136</v>
      </c>
      <c r="I672" s="7">
        <v>62</v>
      </c>
      <c r="J672" s="11">
        <v>21</v>
      </c>
      <c r="K672" s="11">
        <f t="shared" si="20"/>
        <v>1302</v>
      </c>
      <c r="L672" s="11">
        <v>0</v>
      </c>
      <c r="M672" s="11">
        <v>156.23999999999998</v>
      </c>
      <c r="N672" s="11">
        <f t="shared" si="21"/>
        <v>1458.24</v>
      </c>
    </row>
    <row r="673" spans="3:14" x14ac:dyDescent="0.3">
      <c r="C673" s="6">
        <v>43932</v>
      </c>
      <c r="D673" s="7" t="s">
        <v>183</v>
      </c>
      <c r="E673" s="8">
        <v>2020</v>
      </c>
      <c r="F673" s="9" t="s">
        <v>118</v>
      </c>
      <c r="G673" s="9" t="s">
        <v>26</v>
      </c>
      <c r="H673" s="10" t="s">
        <v>27</v>
      </c>
      <c r="I673" s="7">
        <v>78</v>
      </c>
      <c r="J673" s="11">
        <v>61</v>
      </c>
      <c r="K673" s="11">
        <f t="shared" si="20"/>
        <v>4758</v>
      </c>
      <c r="L673" s="11">
        <v>0</v>
      </c>
      <c r="M673" s="11">
        <v>570.95999999999992</v>
      </c>
      <c r="N673" s="11">
        <f t="shared" si="21"/>
        <v>5328.96</v>
      </c>
    </row>
    <row r="674" spans="3:14" x14ac:dyDescent="0.3">
      <c r="C674" s="6">
        <v>43932</v>
      </c>
      <c r="D674" s="7" t="s">
        <v>183</v>
      </c>
      <c r="E674" s="8">
        <v>2020</v>
      </c>
      <c r="F674" s="9" t="s">
        <v>80</v>
      </c>
      <c r="G674" s="9" t="s">
        <v>37</v>
      </c>
      <c r="H674" s="10" t="s">
        <v>46</v>
      </c>
      <c r="I674" s="7">
        <v>20</v>
      </c>
      <c r="J674" s="11">
        <v>10</v>
      </c>
      <c r="K674" s="11">
        <f t="shared" si="20"/>
        <v>200</v>
      </c>
      <c r="L674" s="11">
        <v>0</v>
      </c>
      <c r="M674" s="11">
        <v>24</v>
      </c>
      <c r="N674" s="11">
        <f t="shared" si="21"/>
        <v>224</v>
      </c>
    </row>
    <row r="675" spans="3:14" x14ac:dyDescent="0.3">
      <c r="C675" s="6">
        <v>43932</v>
      </c>
      <c r="D675" s="7" t="s">
        <v>183</v>
      </c>
      <c r="E675" s="8">
        <v>2020</v>
      </c>
      <c r="F675" s="9" t="s">
        <v>80</v>
      </c>
      <c r="G675" s="9" t="s">
        <v>32</v>
      </c>
      <c r="H675" s="10" t="s">
        <v>59</v>
      </c>
      <c r="I675" s="7">
        <v>90</v>
      </c>
      <c r="J675" s="11">
        <v>67</v>
      </c>
      <c r="K675" s="11">
        <f t="shared" si="20"/>
        <v>6030</v>
      </c>
      <c r="L675" s="11">
        <v>0</v>
      </c>
      <c r="M675" s="11">
        <v>723.6</v>
      </c>
      <c r="N675" s="11">
        <f t="shared" si="21"/>
        <v>6753.6</v>
      </c>
    </row>
    <row r="676" spans="3:14" x14ac:dyDescent="0.3">
      <c r="C676" s="6">
        <v>43932</v>
      </c>
      <c r="D676" s="7" t="s">
        <v>183</v>
      </c>
      <c r="E676" s="8">
        <v>2020</v>
      </c>
      <c r="F676" s="9" t="s">
        <v>80</v>
      </c>
      <c r="G676" s="9" t="s">
        <v>42</v>
      </c>
      <c r="H676" s="10" t="s">
        <v>51</v>
      </c>
      <c r="I676" s="7">
        <v>54</v>
      </c>
      <c r="J676" s="11">
        <v>84</v>
      </c>
      <c r="K676" s="11">
        <f t="shared" si="20"/>
        <v>4536</v>
      </c>
      <c r="L676" s="11">
        <v>0</v>
      </c>
      <c r="M676" s="11">
        <v>544.31999999999994</v>
      </c>
      <c r="N676" s="11">
        <f t="shared" si="21"/>
        <v>5080.32</v>
      </c>
    </row>
    <row r="677" spans="3:14" x14ac:dyDescent="0.3">
      <c r="C677" s="6">
        <v>43932</v>
      </c>
      <c r="D677" s="7" t="s">
        <v>183</v>
      </c>
      <c r="E677" s="8">
        <v>2020</v>
      </c>
      <c r="F677" s="9" t="s">
        <v>80</v>
      </c>
      <c r="G677" s="9" t="s">
        <v>26</v>
      </c>
      <c r="H677" s="10" t="s">
        <v>173</v>
      </c>
      <c r="I677" s="7">
        <v>90</v>
      </c>
      <c r="J677" s="11">
        <v>57</v>
      </c>
      <c r="K677" s="11">
        <f t="shared" si="20"/>
        <v>5130</v>
      </c>
      <c r="L677" s="11">
        <v>0</v>
      </c>
      <c r="M677" s="11">
        <v>615.6</v>
      </c>
      <c r="N677" s="11">
        <f t="shared" si="21"/>
        <v>5745.6</v>
      </c>
    </row>
    <row r="678" spans="3:14" x14ac:dyDescent="0.3">
      <c r="C678" s="6">
        <v>43935</v>
      </c>
      <c r="D678" s="7" t="s">
        <v>183</v>
      </c>
      <c r="E678" s="8">
        <v>2020</v>
      </c>
      <c r="F678" s="9" t="s">
        <v>142</v>
      </c>
      <c r="G678" s="9" t="s">
        <v>32</v>
      </c>
      <c r="H678" s="10" t="s">
        <v>62</v>
      </c>
      <c r="I678" s="7">
        <v>55</v>
      </c>
      <c r="J678" s="11">
        <v>24</v>
      </c>
      <c r="K678" s="11">
        <f t="shared" si="20"/>
        <v>1320</v>
      </c>
      <c r="L678" s="11">
        <v>0</v>
      </c>
      <c r="M678" s="11">
        <v>158.4</v>
      </c>
      <c r="N678" s="11">
        <f t="shared" si="21"/>
        <v>1478.4</v>
      </c>
    </row>
    <row r="679" spans="3:14" x14ac:dyDescent="0.3">
      <c r="C679" s="6">
        <v>43936</v>
      </c>
      <c r="D679" s="7" t="s">
        <v>183</v>
      </c>
      <c r="E679" s="8">
        <v>2020</v>
      </c>
      <c r="F679" s="9" t="s">
        <v>133</v>
      </c>
      <c r="G679" s="9" t="s">
        <v>32</v>
      </c>
      <c r="H679" s="10" t="s">
        <v>134</v>
      </c>
      <c r="I679" s="7">
        <v>45</v>
      </c>
      <c r="J679" s="11">
        <v>46</v>
      </c>
      <c r="K679" s="11">
        <f t="shared" si="20"/>
        <v>2070</v>
      </c>
      <c r="L679" s="11">
        <v>0.10000000149011599</v>
      </c>
      <c r="M679" s="11">
        <v>248.39999999999998</v>
      </c>
      <c r="N679" s="11">
        <f t="shared" si="21"/>
        <v>2318.29999999851</v>
      </c>
    </row>
    <row r="680" spans="3:14" x14ac:dyDescent="0.3">
      <c r="C680" s="6">
        <v>43936</v>
      </c>
      <c r="D680" s="7" t="s">
        <v>183</v>
      </c>
      <c r="E680" s="8">
        <v>2020</v>
      </c>
      <c r="F680" s="9" t="s">
        <v>133</v>
      </c>
      <c r="G680" s="9" t="s">
        <v>37</v>
      </c>
      <c r="H680" s="10" t="s">
        <v>63</v>
      </c>
      <c r="I680" s="7">
        <v>23</v>
      </c>
      <c r="J680" s="11">
        <v>60</v>
      </c>
      <c r="K680" s="11">
        <f t="shared" si="20"/>
        <v>1380</v>
      </c>
      <c r="L680" s="11">
        <v>0.10000000149011599</v>
      </c>
      <c r="M680" s="11">
        <v>165.6</v>
      </c>
      <c r="N680" s="11">
        <f t="shared" si="21"/>
        <v>1545.4999999985098</v>
      </c>
    </row>
    <row r="681" spans="3:14" x14ac:dyDescent="0.3">
      <c r="C681" s="6">
        <v>43936</v>
      </c>
      <c r="D681" s="7" t="s">
        <v>183</v>
      </c>
      <c r="E681" s="8">
        <v>2020</v>
      </c>
      <c r="F681" s="9" t="s">
        <v>157</v>
      </c>
      <c r="G681" s="9" t="s">
        <v>37</v>
      </c>
      <c r="H681" s="10" t="s">
        <v>82</v>
      </c>
      <c r="I681" s="7">
        <v>46</v>
      </c>
      <c r="J681" s="11">
        <v>73</v>
      </c>
      <c r="K681" s="11">
        <f t="shared" si="20"/>
        <v>3358</v>
      </c>
      <c r="L681" s="11">
        <v>0.15000000596046401</v>
      </c>
      <c r="M681" s="11">
        <v>402.96</v>
      </c>
      <c r="N681" s="11">
        <f t="shared" si="21"/>
        <v>3760.8099999940396</v>
      </c>
    </row>
    <row r="682" spans="3:14" x14ac:dyDescent="0.3">
      <c r="C682" s="6">
        <v>43936</v>
      </c>
      <c r="D682" s="7" t="s">
        <v>183</v>
      </c>
      <c r="E682" s="8">
        <v>2020</v>
      </c>
      <c r="F682" s="9" t="s">
        <v>157</v>
      </c>
      <c r="G682" s="9" t="s">
        <v>32</v>
      </c>
      <c r="H682" s="10" t="s">
        <v>168</v>
      </c>
      <c r="I682" s="7">
        <v>98</v>
      </c>
      <c r="J682" s="11">
        <v>74</v>
      </c>
      <c r="K682" s="11">
        <f t="shared" si="20"/>
        <v>7252</v>
      </c>
      <c r="L682" s="11">
        <v>0.15000000596046401</v>
      </c>
      <c r="M682" s="11">
        <v>870.24</v>
      </c>
      <c r="N682" s="11">
        <f t="shared" si="21"/>
        <v>8122.0899999940393</v>
      </c>
    </row>
    <row r="683" spans="3:14" x14ac:dyDescent="0.3">
      <c r="C683" s="6">
        <v>43937</v>
      </c>
      <c r="D683" s="7" t="s">
        <v>183</v>
      </c>
      <c r="E683" s="8">
        <v>2020</v>
      </c>
      <c r="F683" s="9" t="s">
        <v>170</v>
      </c>
      <c r="G683" s="9" t="s">
        <v>24</v>
      </c>
      <c r="H683" s="10" t="s">
        <v>90</v>
      </c>
      <c r="I683" s="7">
        <v>5</v>
      </c>
      <c r="J683" s="11">
        <v>75</v>
      </c>
      <c r="K683" s="11">
        <f t="shared" si="20"/>
        <v>375</v>
      </c>
      <c r="L683" s="11">
        <v>0</v>
      </c>
      <c r="M683" s="11">
        <v>45</v>
      </c>
      <c r="N683" s="11">
        <f t="shared" si="21"/>
        <v>420</v>
      </c>
    </row>
    <row r="684" spans="3:14" x14ac:dyDescent="0.3">
      <c r="C684" s="6">
        <v>43937</v>
      </c>
      <c r="D684" s="7" t="s">
        <v>183</v>
      </c>
      <c r="E684" s="8">
        <v>2020</v>
      </c>
      <c r="F684" s="9" t="s">
        <v>170</v>
      </c>
      <c r="G684" s="9" t="s">
        <v>37</v>
      </c>
      <c r="H684" s="10" t="s">
        <v>38</v>
      </c>
      <c r="I684" s="7">
        <v>18</v>
      </c>
      <c r="J684" s="11">
        <v>13</v>
      </c>
      <c r="K684" s="11">
        <f t="shared" si="20"/>
        <v>234</v>
      </c>
      <c r="L684" s="11">
        <v>0</v>
      </c>
      <c r="M684" s="11">
        <v>28.08</v>
      </c>
      <c r="N684" s="11">
        <f t="shared" si="21"/>
        <v>262.08</v>
      </c>
    </row>
    <row r="685" spans="3:14" x14ac:dyDescent="0.3">
      <c r="C685" s="6">
        <v>43938</v>
      </c>
      <c r="D685" s="7" t="s">
        <v>183</v>
      </c>
      <c r="E685" s="8">
        <v>2020</v>
      </c>
      <c r="F685" s="9" t="s">
        <v>185</v>
      </c>
      <c r="G685" s="9" t="s">
        <v>20</v>
      </c>
      <c r="H685" s="10" t="s">
        <v>92</v>
      </c>
      <c r="I685" s="7">
        <v>96</v>
      </c>
      <c r="J685" s="11">
        <v>81</v>
      </c>
      <c r="K685" s="11">
        <f t="shared" si="20"/>
        <v>7776</v>
      </c>
      <c r="L685" s="11">
        <v>0</v>
      </c>
      <c r="M685" s="11">
        <v>933.12</v>
      </c>
      <c r="N685" s="11">
        <f t="shared" si="21"/>
        <v>8709.1200000000008</v>
      </c>
    </row>
    <row r="686" spans="3:14" x14ac:dyDescent="0.3">
      <c r="C686" s="6">
        <v>43939</v>
      </c>
      <c r="D686" s="7" t="s">
        <v>183</v>
      </c>
      <c r="E686" s="8">
        <v>2020</v>
      </c>
      <c r="F686" s="9" t="s">
        <v>135</v>
      </c>
      <c r="G686" s="9" t="s">
        <v>42</v>
      </c>
      <c r="H686" s="10" t="s">
        <v>79</v>
      </c>
      <c r="I686" s="7">
        <v>47</v>
      </c>
      <c r="J686" s="11">
        <v>99</v>
      </c>
      <c r="K686" s="11">
        <f t="shared" si="20"/>
        <v>4653</v>
      </c>
      <c r="L686" s="11">
        <v>0</v>
      </c>
      <c r="M686" s="11">
        <v>558.36</v>
      </c>
      <c r="N686" s="11">
        <f t="shared" si="21"/>
        <v>5211.3599999999997</v>
      </c>
    </row>
    <row r="687" spans="3:14" x14ac:dyDescent="0.3">
      <c r="C687" s="6">
        <v>43939</v>
      </c>
      <c r="D687" s="7" t="s">
        <v>183</v>
      </c>
      <c r="E687" s="8">
        <v>2020</v>
      </c>
      <c r="F687" s="9" t="s">
        <v>135</v>
      </c>
      <c r="G687" s="9" t="s">
        <v>37</v>
      </c>
      <c r="H687" s="10" t="s">
        <v>98</v>
      </c>
      <c r="I687" s="7">
        <v>52</v>
      </c>
      <c r="J687" s="11">
        <v>74</v>
      </c>
      <c r="K687" s="11">
        <f t="shared" si="20"/>
        <v>3848</v>
      </c>
      <c r="L687" s="11">
        <v>0.10000000149011599</v>
      </c>
      <c r="M687" s="11">
        <v>461.76</v>
      </c>
      <c r="N687" s="11">
        <f t="shared" si="21"/>
        <v>4309.6599999985101</v>
      </c>
    </row>
    <row r="688" spans="3:14" x14ac:dyDescent="0.3">
      <c r="C688" s="6">
        <v>43939</v>
      </c>
      <c r="D688" s="7" t="s">
        <v>183</v>
      </c>
      <c r="E688" s="8">
        <v>2020</v>
      </c>
      <c r="F688" s="9" t="s">
        <v>141</v>
      </c>
      <c r="G688" s="9" t="s">
        <v>26</v>
      </c>
      <c r="H688" s="10" t="s">
        <v>124</v>
      </c>
      <c r="I688" s="7">
        <v>16</v>
      </c>
      <c r="J688" s="11">
        <v>32</v>
      </c>
      <c r="K688" s="11">
        <f t="shared" si="20"/>
        <v>512</v>
      </c>
      <c r="L688" s="11">
        <v>0.15000000596046401</v>
      </c>
      <c r="M688" s="11">
        <v>61.44</v>
      </c>
      <c r="N688" s="11">
        <f t="shared" si="21"/>
        <v>573.28999999403959</v>
      </c>
    </row>
    <row r="689" spans="3:14" x14ac:dyDescent="0.3">
      <c r="C689" s="6">
        <v>43939</v>
      </c>
      <c r="D689" s="7" t="s">
        <v>183</v>
      </c>
      <c r="E689" s="8">
        <v>2020</v>
      </c>
      <c r="F689" s="9" t="s">
        <v>141</v>
      </c>
      <c r="G689" s="9" t="s">
        <v>20</v>
      </c>
      <c r="H689" s="10" t="s">
        <v>67</v>
      </c>
      <c r="I689" s="7">
        <v>32</v>
      </c>
      <c r="J689" s="11">
        <v>87</v>
      </c>
      <c r="K689" s="11">
        <f t="shared" si="20"/>
        <v>2784</v>
      </c>
      <c r="L689" s="11">
        <v>0.15000000596046401</v>
      </c>
      <c r="M689" s="11">
        <v>334.08</v>
      </c>
      <c r="N689" s="11">
        <f t="shared" si="21"/>
        <v>3117.9299999940395</v>
      </c>
    </row>
    <row r="690" spans="3:14" x14ac:dyDescent="0.3">
      <c r="C690" s="6">
        <v>43939</v>
      </c>
      <c r="D690" s="7" t="s">
        <v>183</v>
      </c>
      <c r="E690" s="8">
        <v>2020</v>
      </c>
      <c r="F690" s="9" t="s">
        <v>141</v>
      </c>
      <c r="G690" s="9" t="s">
        <v>26</v>
      </c>
      <c r="H690" s="10" t="s">
        <v>148</v>
      </c>
      <c r="I690" s="7">
        <v>49</v>
      </c>
      <c r="J690" s="11">
        <v>78</v>
      </c>
      <c r="K690" s="11">
        <f t="shared" si="20"/>
        <v>3822</v>
      </c>
      <c r="L690" s="11">
        <v>0.15000000596046401</v>
      </c>
      <c r="M690" s="11">
        <v>458.64</v>
      </c>
      <c r="N690" s="11">
        <f t="shared" si="21"/>
        <v>4280.4899999940399</v>
      </c>
    </row>
    <row r="691" spans="3:14" x14ac:dyDescent="0.3">
      <c r="C691" s="6">
        <v>43942</v>
      </c>
      <c r="D691" s="7" t="s">
        <v>183</v>
      </c>
      <c r="E691" s="8">
        <v>2020</v>
      </c>
      <c r="F691" s="9" t="s">
        <v>149</v>
      </c>
      <c r="G691" s="9" t="s">
        <v>37</v>
      </c>
      <c r="H691" s="10" t="s">
        <v>41</v>
      </c>
      <c r="I691" s="7">
        <v>63</v>
      </c>
      <c r="J691" s="11">
        <v>13</v>
      </c>
      <c r="K691" s="11">
        <f t="shared" si="20"/>
        <v>819</v>
      </c>
      <c r="L691" s="11">
        <v>0.15000000596046401</v>
      </c>
      <c r="M691" s="11">
        <v>98.28</v>
      </c>
      <c r="N691" s="11">
        <f t="shared" si="21"/>
        <v>917.12999999403951</v>
      </c>
    </row>
    <row r="692" spans="3:14" x14ac:dyDescent="0.3">
      <c r="C692" s="6">
        <v>43942</v>
      </c>
      <c r="D692" s="7" t="s">
        <v>183</v>
      </c>
      <c r="E692" s="8">
        <v>2020</v>
      </c>
      <c r="F692" s="9" t="s">
        <v>149</v>
      </c>
      <c r="G692" s="9" t="s">
        <v>24</v>
      </c>
      <c r="H692" s="10" t="s">
        <v>107</v>
      </c>
      <c r="I692" s="7">
        <v>88</v>
      </c>
      <c r="J692" s="11">
        <v>32</v>
      </c>
      <c r="K692" s="11">
        <f t="shared" si="20"/>
        <v>2816</v>
      </c>
      <c r="L692" s="11">
        <v>0.15000000596046401</v>
      </c>
      <c r="M692" s="11">
        <v>337.91999999999996</v>
      </c>
      <c r="N692" s="11">
        <f t="shared" si="21"/>
        <v>3153.7699999940396</v>
      </c>
    </row>
    <row r="693" spans="3:14" x14ac:dyDescent="0.3">
      <c r="C693" s="6">
        <v>43942</v>
      </c>
      <c r="D693" s="7" t="s">
        <v>183</v>
      </c>
      <c r="E693" s="8">
        <v>2020</v>
      </c>
      <c r="F693" s="9" t="s">
        <v>149</v>
      </c>
      <c r="G693" s="9" t="s">
        <v>32</v>
      </c>
      <c r="H693" s="10" t="s">
        <v>143</v>
      </c>
      <c r="I693" s="7">
        <v>21</v>
      </c>
      <c r="J693" s="11">
        <v>79</v>
      </c>
      <c r="K693" s="11">
        <f t="shared" si="20"/>
        <v>1659</v>
      </c>
      <c r="L693" s="11">
        <v>0.15000000596046401</v>
      </c>
      <c r="M693" s="11">
        <v>199.07999999999998</v>
      </c>
      <c r="N693" s="11">
        <f t="shared" si="21"/>
        <v>1857.9299999940395</v>
      </c>
    </row>
    <row r="694" spans="3:14" x14ac:dyDescent="0.3">
      <c r="C694" s="6">
        <v>43942</v>
      </c>
      <c r="D694" s="7" t="s">
        <v>183</v>
      </c>
      <c r="E694" s="8">
        <v>2020</v>
      </c>
      <c r="F694" s="9" t="s">
        <v>149</v>
      </c>
      <c r="G694" s="9" t="s">
        <v>14</v>
      </c>
      <c r="H694" s="10" t="s">
        <v>35</v>
      </c>
      <c r="I694" s="7">
        <v>66</v>
      </c>
      <c r="J694" s="11">
        <v>77</v>
      </c>
      <c r="K694" s="11">
        <f t="shared" si="20"/>
        <v>5082</v>
      </c>
      <c r="L694" s="11">
        <v>0.15000000596046401</v>
      </c>
      <c r="M694" s="11">
        <v>609.84</v>
      </c>
      <c r="N694" s="11">
        <f t="shared" si="21"/>
        <v>5691.6899999940397</v>
      </c>
    </row>
    <row r="695" spans="3:14" x14ac:dyDescent="0.3">
      <c r="C695" s="6">
        <v>43943</v>
      </c>
      <c r="D695" s="7" t="s">
        <v>183</v>
      </c>
      <c r="E695" s="8">
        <v>2020</v>
      </c>
      <c r="F695" s="9" t="s">
        <v>120</v>
      </c>
      <c r="G695" s="9" t="s">
        <v>32</v>
      </c>
      <c r="H695" s="10" t="s">
        <v>59</v>
      </c>
      <c r="I695" s="7">
        <v>100</v>
      </c>
      <c r="J695" s="11">
        <v>25</v>
      </c>
      <c r="K695" s="11">
        <f t="shared" si="20"/>
        <v>2500</v>
      </c>
      <c r="L695" s="11">
        <v>0.20000000298023199</v>
      </c>
      <c r="M695" s="11">
        <v>300</v>
      </c>
      <c r="N695" s="11">
        <f t="shared" si="21"/>
        <v>2799.7999999970198</v>
      </c>
    </row>
    <row r="696" spans="3:14" x14ac:dyDescent="0.3">
      <c r="C696" s="6">
        <v>43943</v>
      </c>
      <c r="D696" s="7" t="s">
        <v>183</v>
      </c>
      <c r="E696" s="8">
        <v>2020</v>
      </c>
      <c r="F696" s="9" t="s">
        <v>120</v>
      </c>
      <c r="G696" s="9" t="s">
        <v>14</v>
      </c>
      <c r="H696" s="10" t="s">
        <v>57</v>
      </c>
      <c r="I696" s="7">
        <v>37</v>
      </c>
      <c r="J696" s="11">
        <v>99</v>
      </c>
      <c r="K696" s="11">
        <f t="shared" si="20"/>
        <v>3663</v>
      </c>
      <c r="L696" s="11">
        <v>0.20000000298023199</v>
      </c>
      <c r="M696" s="11">
        <v>439.56</v>
      </c>
      <c r="N696" s="11">
        <f t="shared" si="21"/>
        <v>4102.3599999970202</v>
      </c>
    </row>
    <row r="697" spans="3:14" x14ac:dyDescent="0.3">
      <c r="C697" s="6">
        <v>43943</v>
      </c>
      <c r="D697" s="7" t="s">
        <v>183</v>
      </c>
      <c r="E697" s="8">
        <v>2020</v>
      </c>
      <c r="F697" s="9" t="s">
        <v>120</v>
      </c>
      <c r="G697" s="9" t="s">
        <v>26</v>
      </c>
      <c r="H697" s="10" t="s">
        <v>173</v>
      </c>
      <c r="I697" s="7">
        <v>71</v>
      </c>
      <c r="J697" s="11">
        <v>94</v>
      </c>
      <c r="K697" s="11">
        <f t="shared" si="20"/>
        <v>6674</v>
      </c>
      <c r="L697" s="11">
        <v>0.20000000298023199</v>
      </c>
      <c r="M697" s="11">
        <v>800.88</v>
      </c>
      <c r="N697" s="11">
        <f t="shared" si="21"/>
        <v>7474.6799999970199</v>
      </c>
    </row>
    <row r="698" spans="3:14" x14ac:dyDescent="0.3">
      <c r="C698" s="6">
        <v>43943</v>
      </c>
      <c r="D698" s="7" t="s">
        <v>183</v>
      </c>
      <c r="E698" s="8">
        <v>2020</v>
      </c>
      <c r="F698" s="9" t="s">
        <v>55</v>
      </c>
      <c r="G698" s="9" t="s">
        <v>32</v>
      </c>
      <c r="H698" s="10" t="s">
        <v>33</v>
      </c>
      <c r="I698" s="7">
        <v>6</v>
      </c>
      <c r="J698" s="11">
        <v>93</v>
      </c>
      <c r="K698" s="11">
        <f t="shared" si="20"/>
        <v>558</v>
      </c>
      <c r="L698" s="11">
        <v>0</v>
      </c>
      <c r="M698" s="11">
        <v>66.959999999999994</v>
      </c>
      <c r="N698" s="11">
        <f t="shared" si="21"/>
        <v>624.96</v>
      </c>
    </row>
    <row r="699" spans="3:14" x14ac:dyDescent="0.3">
      <c r="C699" s="6">
        <v>43943</v>
      </c>
      <c r="D699" s="7" t="s">
        <v>183</v>
      </c>
      <c r="E699" s="8">
        <v>2020</v>
      </c>
      <c r="F699" s="9" t="s">
        <v>55</v>
      </c>
      <c r="G699" s="9" t="s">
        <v>20</v>
      </c>
      <c r="H699" s="10" t="s">
        <v>92</v>
      </c>
      <c r="I699" s="7">
        <v>36</v>
      </c>
      <c r="J699" s="11">
        <v>42</v>
      </c>
      <c r="K699" s="11">
        <f t="shared" si="20"/>
        <v>1512</v>
      </c>
      <c r="L699" s="11">
        <v>0</v>
      </c>
      <c r="M699" s="11">
        <v>181.44</v>
      </c>
      <c r="N699" s="11">
        <f t="shared" si="21"/>
        <v>1693.44</v>
      </c>
    </row>
    <row r="700" spans="3:14" x14ac:dyDescent="0.3">
      <c r="C700" s="6">
        <v>43943</v>
      </c>
      <c r="D700" s="7" t="s">
        <v>183</v>
      </c>
      <c r="E700" s="8">
        <v>2020</v>
      </c>
      <c r="F700" s="9" t="s">
        <v>55</v>
      </c>
      <c r="G700" s="9" t="s">
        <v>16</v>
      </c>
      <c r="H700" s="10" t="s">
        <v>68</v>
      </c>
      <c r="I700" s="7">
        <v>91</v>
      </c>
      <c r="J700" s="11">
        <v>70</v>
      </c>
      <c r="K700" s="11">
        <f t="shared" si="20"/>
        <v>6370</v>
      </c>
      <c r="L700" s="11">
        <v>0</v>
      </c>
      <c r="M700" s="11">
        <v>764.4</v>
      </c>
      <c r="N700" s="11">
        <f t="shared" si="21"/>
        <v>7134.4</v>
      </c>
    </row>
    <row r="701" spans="3:14" x14ac:dyDescent="0.3">
      <c r="C701" s="6">
        <v>43943</v>
      </c>
      <c r="D701" s="7" t="s">
        <v>183</v>
      </c>
      <c r="E701" s="8">
        <v>2020</v>
      </c>
      <c r="F701" s="9" t="s">
        <v>55</v>
      </c>
      <c r="G701" s="9" t="s">
        <v>26</v>
      </c>
      <c r="H701" s="10" t="s">
        <v>27</v>
      </c>
      <c r="I701" s="7">
        <v>62</v>
      </c>
      <c r="J701" s="11">
        <v>93</v>
      </c>
      <c r="K701" s="11">
        <f t="shared" si="20"/>
        <v>5766</v>
      </c>
      <c r="L701" s="11">
        <v>0</v>
      </c>
      <c r="M701" s="11">
        <v>691.92</v>
      </c>
      <c r="N701" s="11">
        <f t="shared" si="21"/>
        <v>6457.92</v>
      </c>
    </row>
    <row r="702" spans="3:14" x14ac:dyDescent="0.3">
      <c r="C702" s="6">
        <v>43943</v>
      </c>
      <c r="D702" s="7" t="s">
        <v>183</v>
      </c>
      <c r="E702" s="8">
        <v>2020</v>
      </c>
      <c r="F702" s="9" t="s">
        <v>55</v>
      </c>
      <c r="G702" s="9" t="s">
        <v>37</v>
      </c>
      <c r="H702" s="10" t="s">
        <v>98</v>
      </c>
      <c r="I702" s="7">
        <v>43</v>
      </c>
      <c r="J702" s="11">
        <v>53</v>
      </c>
      <c r="K702" s="11">
        <f t="shared" si="20"/>
        <v>2279</v>
      </c>
      <c r="L702" s="11">
        <v>0</v>
      </c>
      <c r="M702" s="11">
        <v>273.48</v>
      </c>
      <c r="N702" s="11">
        <f t="shared" si="21"/>
        <v>2552.48</v>
      </c>
    </row>
    <row r="703" spans="3:14" x14ac:dyDescent="0.3">
      <c r="C703" s="6">
        <v>43944</v>
      </c>
      <c r="D703" s="7" t="s">
        <v>183</v>
      </c>
      <c r="E703" s="8">
        <v>2020</v>
      </c>
      <c r="F703" s="9" t="s">
        <v>84</v>
      </c>
      <c r="G703" s="9" t="s">
        <v>42</v>
      </c>
      <c r="H703" s="10" t="s">
        <v>174</v>
      </c>
      <c r="I703" s="7">
        <v>94</v>
      </c>
      <c r="J703" s="11">
        <v>44</v>
      </c>
      <c r="K703" s="11">
        <f t="shared" si="20"/>
        <v>4136</v>
      </c>
      <c r="L703" s="11">
        <v>0.15000000596046401</v>
      </c>
      <c r="M703" s="11">
        <v>496.32</v>
      </c>
      <c r="N703" s="11">
        <f t="shared" si="21"/>
        <v>4632.1699999940392</v>
      </c>
    </row>
    <row r="704" spans="3:14" x14ac:dyDescent="0.3">
      <c r="C704" s="6">
        <v>43944</v>
      </c>
      <c r="D704" s="7" t="s">
        <v>183</v>
      </c>
      <c r="E704" s="8">
        <v>2020</v>
      </c>
      <c r="F704" s="9" t="s">
        <v>84</v>
      </c>
      <c r="G704" s="9" t="s">
        <v>32</v>
      </c>
      <c r="H704" s="10" t="s">
        <v>47</v>
      </c>
      <c r="I704" s="7">
        <v>25</v>
      </c>
      <c r="J704" s="11">
        <v>28</v>
      </c>
      <c r="K704" s="11">
        <f t="shared" si="20"/>
        <v>700</v>
      </c>
      <c r="L704" s="11">
        <v>0</v>
      </c>
      <c r="M704" s="11">
        <v>84</v>
      </c>
      <c r="N704" s="11">
        <f t="shared" si="21"/>
        <v>784</v>
      </c>
    </row>
    <row r="705" spans="3:14" x14ac:dyDescent="0.3">
      <c r="C705" s="6">
        <v>43944</v>
      </c>
      <c r="D705" s="7" t="s">
        <v>183</v>
      </c>
      <c r="E705" s="8">
        <v>2020</v>
      </c>
      <c r="F705" s="9" t="s">
        <v>84</v>
      </c>
      <c r="G705" s="9" t="s">
        <v>32</v>
      </c>
      <c r="H705" s="10" t="s">
        <v>54</v>
      </c>
      <c r="I705" s="7">
        <v>2</v>
      </c>
      <c r="J705" s="11">
        <v>97</v>
      </c>
      <c r="K705" s="11">
        <f t="shared" si="20"/>
        <v>194</v>
      </c>
      <c r="L705" s="11">
        <v>0</v>
      </c>
      <c r="M705" s="11">
        <v>23.279999999999998</v>
      </c>
      <c r="N705" s="11">
        <f t="shared" si="21"/>
        <v>217.28</v>
      </c>
    </row>
    <row r="706" spans="3:14" x14ac:dyDescent="0.3">
      <c r="C706" s="6">
        <v>43944</v>
      </c>
      <c r="D706" s="7" t="s">
        <v>183</v>
      </c>
      <c r="E706" s="8">
        <v>2020</v>
      </c>
      <c r="F706" s="9" t="s">
        <v>84</v>
      </c>
      <c r="G706" s="9" t="s">
        <v>14</v>
      </c>
      <c r="H706" s="10" t="s">
        <v>34</v>
      </c>
      <c r="I706" s="7">
        <v>96</v>
      </c>
      <c r="J706" s="11">
        <v>65</v>
      </c>
      <c r="K706" s="11">
        <f t="shared" si="20"/>
        <v>6240</v>
      </c>
      <c r="L706" s="11">
        <v>0.15000000596046401</v>
      </c>
      <c r="M706" s="11">
        <v>748.8</v>
      </c>
      <c r="N706" s="11">
        <f t="shared" si="21"/>
        <v>6988.6499999940397</v>
      </c>
    </row>
    <row r="707" spans="3:14" x14ac:dyDescent="0.3">
      <c r="C707" s="6">
        <v>43944</v>
      </c>
      <c r="D707" s="7" t="s">
        <v>183</v>
      </c>
      <c r="E707" s="8">
        <v>2020</v>
      </c>
      <c r="F707" s="9" t="s">
        <v>84</v>
      </c>
      <c r="G707" s="9" t="s">
        <v>14</v>
      </c>
      <c r="H707" s="10" t="s">
        <v>35</v>
      </c>
      <c r="I707" s="7">
        <v>32</v>
      </c>
      <c r="J707" s="11">
        <v>94</v>
      </c>
      <c r="K707" s="11">
        <f t="shared" ref="K707:K770" si="22">J707*I707</f>
        <v>3008</v>
      </c>
      <c r="L707" s="11">
        <v>0.15000000596046401</v>
      </c>
      <c r="M707" s="11">
        <v>360.96</v>
      </c>
      <c r="N707" s="11">
        <f t="shared" ref="N707:N770" si="23">K707-L707+M707</f>
        <v>3368.8099999940396</v>
      </c>
    </row>
    <row r="708" spans="3:14" x14ac:dyDescent="0.3">
      <c r="C708" s="6">
        <v>43945</v>
      </c>
      <c r="D708" s="7" t="s">
        <v>183</v>
      </c>
      <c r="E708" s="8">
        <v>2020</v>
      </c>
      <c r="F708" s="9" t="s">
        <v>118</v>
      </c>
      <c r="G708" s="9" t="s">
        <v>24</v>
      </c>
      <c r="H708" s="10" t="s">
        <v>115</v>
      </c>
      <c r="I708" s="7">
        <v>45</v>
      </c>
      <c r="J708" s="11">
        <v>54</v>
      </c>
      <c r="K708" s="11">
        <f t="shared" si="22"/>
        <v>2430</v>
      </c>
      <c r="L708" s="11">
        <v>0.10000000149011599</v>
      </c>
      <c r="M708" s="11">
        <v>291.59999999999997</v>
      </c>
      <c r="N708" s="11">
        <f t="shared" si="23"/>
        <v>2721.4999999985098</v>
      </c>
    </row>
    <row r="709" spans="3:14" x14ac:dyDescent="0.3">
      <c r="C709" s="6">
        <v>43945</v>
      </c>
      <c r="D709" s="7" t="s">
        <v>183</v>
      </c>
      <c r="E709" s="8">
        <v>2020</v>
      </c>
      <c r="F709" s="9" t="s">
        <v>118</v>
      </c>
      <c r="G709" s="9" t="s">
        <v>24</v>
      </c>
      <c r="H709" s="10" t="s">
        <v>25</v>
      </c>
      <c r="I709" s="7">
        <v>81</v>
      </c>
      <c r="J709" s="11">
        <v>97</v>
      </c>
      <c r="K709" s="11">
        <f t="shared" si="22"/>
        <v>7857</v>
      </c>
      <c r="L709" s="11">
        <v>0.10000000149011599</v>
      </c>
      <c r="M709" s="11">
        <v>942.83999999999992</v>
      </c>
      <c r="N709" s="11">
        <f t="shared" si="23"/>
        <v>8799.73999999851</v>
      </c>
    </row>
    <row r="710" spans="3:14" x14ac:dyDescent="0.3">
      <c r="C710" s="6">
        <v>43945</v>
      </c>
      <c r="D710" s="7" t="s">
        <v>183</v>
      </c>
      <c r="E710" s="8">
        <v>2020</v>
      </c>
      <c r="F710" s="9" t="s">
        <v>118</v>
      </c>
      <c r="G710" s="9" t="s">
        <v>16</v>
      </c>
      <c r="H710" s="10" t="s">
        <v>17</v>
      </c>
      <c r="I710" s="7">
        <v>11</v>
      </c>
      <c r="J710" s="11">
        <v>12</v>
      </c>
      <c r="K710" s="11">
        <f t="shared" si="22"/>
        <v>132</v>
      </c>
      <c r="L710" s="11">
        <v>0</v>
      </c>
      <c r="M710" s="11">
        <v>15.84</v>
      </c>
      <c r="N710" s="11">
        <f t="shared" si="23"/>
        <v>147.84</v>
      </c>
    </row>
    <row r="711" spans="3:14" x14ac:dyDescent="0.3">
      <c r="C711" s="6">
        <v>43945</v>
      </c>
      <c r="D711" s="7" t="s">
        <v>183</v>
      </c>
      <c r="E711" s="8">
        <v>2020</v>
      </c>
      <c r="F711" s="9" t="s">
        <v>186</v>
      </c>
      <c r="G711" s="9" t="s">
        <v>16</v>
      </c>
      <c r="H711" s="10" t="s">
        <v>132</v>
      </c>
      <c r="I711" s="7">
        <v>5</v>
      </c>
      <c r="J711" s="11">
        <v>37</v>
      </c>
      <c r="K711" s="11">
        <f t="shared" si="22"/>
        <v>185</v>
      </c>
      <c r="L711" s="11">
        <v>0</v>
      </c>
      <c r="M711" s="11">
        <v>22.2</v>
      </c>
      <c r="N711" s="11">
        <f t="shared" si="23"/>
        <v>207.2</v>
      </c>
    </row>
    <row r="712" spans="3:14" x14ac:dyDescent="0.3">
      <c r="C712" s="6">
        <v>43945</v>
      </c>
      <c r="D712" s="7" t="s">
        <v>183</v>
      </c>
      <c r="E712" s="8">
        <v>2020</v>
      </c>
      <c r="F712" s="9" t="s">
        <v>186</v>
      </c>
      <c r="G712" s="9" t="s">
        <v>14</v>
      </c>
      <c r="H712" s="10" t="s">
        <v>49</v>
      </c>
      <c r="I712" s="7">
        <v>46</v>
      </c>
      <c r="J712" s="11">
        <v>47</v>
      </c>
      <c r="K712" s="11">
        <f t="shared" si="22"/>
        <v>2162</v>
      </c>
      <c r="L712" s="11">
        <v>0</v>
      </c>
      <c r="M712" s="11">
        <v>259.44</v>
      </c>
      <c r="N712" s="11">
        <f t="shared" si="23"/>
        <v>2421.44</v>
      </c>
    </row>
    <row r="713" spans="3:14" x14ac:dyDescent="0.3">
      <c r="C713" s="6">
        <v>43945</v>
      </c>
      <c r="D713" s="7" t="s">
        <v>183</v>
      </c>
      <c r="E713" s="8">
        <v>2020</v>
      </c>
      <c r="F713" s="9" t="s">
        <v>186</v>
      </c>
      <c r="G713" s="9" t="s">
        <v>37</v>
      </c>
      <c r="H713" s="10" t="s">
        <v>63</v>
      </c>
      <c r="I713" s="7">
        <v>50</v>
      </c>
      <c r="J713" s="11">
        <v>27</v>
      </c>
      <c r="K713" s="11">
        <f t="shared" si="22"/>
        <v>1350</v>
      </c>
      <c r="L713" s="11">
        <v>0</v>
      </c>
      <c r="M713" s="11">
        <v>162</v>
      </c>
      <c r="N713" s="11">
        <f t="shared" si="23"/>
        <v>1512</v>
      </c>
    </row>
    <row r="714" spans="3:14" x14ac:dyDescent="0.3">
      <c r="C714" s="6">
        <v>43946</v>
      </c>
      <c r="D714" s="7" t="s">
        <v>183</v>
      </c>
      <c r="E714" s="8">
        <v>2020</v>
      </c>
      <c r="F714" s="9" t="s">
        <v>89</v>
      </c>
      <c r="G714" s="9" t="s">
        <v>37</v>
      </c>
      <c r="H714" s="10" t="s">
        <v>41</v>
      </c>
      <c r="I714" s="7">
        <v>66</v>
      </c>
      <c r="J714" s="11">
        <v>12</v>
      </c>
      <c r="K714" s="11">
        <f t="shared" si="22"/>
        <v>792</v>
      </c>
      <c r="L714" s="11">
        <v>0</v>
      </c>
      <c r="M714" s="11">
        <v>95.039999999999992</v>
      </c>
      <c r="N714" s="11">
        <f t="shared" si="23"/>
        <v>887.04</v>
      </c>
    </row>
    <row r="715" spans="3:14" x14ac:dyDescent="0.3">
      <c r="C715" s="6">
        <v>43946</v>
      </c>
      <c r="D715" s="7" t="s">
        <v>183</v>
      </c>
      <c r="E715" s="8">
        <v>2020</v>
      </c>
      <c r="F715" s="9" t="s">
        <v>89</v>
      </c>
      <c r="G715" s="9" t="s">
        <v>37</v>
      </c>
      <c r="H715" s="10" t="s">
        <v>139</v>
      </c>
      <c r="I715" s="7">
        <v>32</v>
      </c>
      <c r="J715" s="11">
        <v>43</v>
      </c>
      <c r="K715" s="11">
        <f t="shared" si="22"/>
        <v>1376</v>
      </c>
      <c r="L715" s="11">
        <v>0</v>
      </c>
      <c r="M715" s="11">
        <v>165.12</v>
      </c>
      <c r="N715" s="11">
        <f t="shared" si="23"/>
        <v>1541.12</v>
      </c>
    </row>
    <row r="716" spans="3:14" x14ac:dyDescent="0.3">
      <c r="C716" s="6">
        <v>43946</v>
      </c>
      <c r="D716" s="7" t="s">
        <v>183</v>
      </c>
      <c r="E716" s="8">
        <v>2020</v>
      </c>
      <c r="F716" s="9" t="s">
        <v>89</v>
      </c>
      <c r="G716" s="9" t="s">
        <v>26</v>
      </c>
      <c r="H716" s="10" t="s">
        <v>94</v>
      </c>
      <c r="I716" s="7">
        <v>25</v>
      </c>
      <c r="J716" s="11">
        <v>57</v>
      </c>
      <c r="K716" s="11">
        <f t="shared" si="22"/>
        <v>1425</v>
      </c>
      <c r="L716" s="11">
        <v>0</v>
      </c>
      <c r="M716" s="11">
        <v>171</v>
      </c>
      <c r="N716" s="11">
        <f t="shared" si="23"/>
        <v>1596</v>
      </c>
    </row>
    <row r="717" spans="3:14" x14ac:dyDescent="0.3">
      <c r="C717" s="6">
        <v>43949</v>
      </c>
      <c r="D717" s="7" t="s">
        <v>183</v>
      </c>
      <c r="E717" s="8">
        <v>2020</v>
      </c>
      <c r="F717" s="9" t="s">
        <v>40</v>
      </c>
      <c r="G717" s="9" t="s">
        <v>24</v>
      </c>
      <c r="H717" s="10" t="s">
        <v>85</v>
      </c>
      <c r="I717" s="7">
        <v>11</v>
      </c>
      <c r="J717" s="11">
        <v>51</v>
      </c>
      <c r="K717" s="11">
        <f t="shared" si="22"/>
        <v>561</v>
      </c>
      <c r="L717" s="11">
        <v>5.0000000745058101E-2</v>
      </c>
      <c r="M717" s="11">
        <v>67.319999999999993</v>
      </c>
      <c r="N717" s="11">
        <f t="shared" si="23"/>
        <v>628.26999999925488</v>
      </c>
    </row>
    <row r="718" spans="3:14" x14ac:dyDescent="0.3">
      <c r="C718" s="6">
        <v>43949</v>
      </c>
      <c r="D718" s="7" t="s">
        <v>183</v>
      </c>
      <c r="E718" s="8">
        <v>2020</v>
      </c>
      <c r="F718" s="9" t="s">
        <v>40</v>
      </c>
      <c r="G718" s="9" t="s">
        <v>16</v>
      </c>
      <c r="H718" s="10" t="s">
        <v>68</v>
      </c>
      <c r="I718" s="7">
        <v>63</v>
      </c>
      <c r="J718" s="11">
        <v>56</v>
      </c>
      <c r="K718" s="11">
        <f t="shared" si="22"/>
        <v>3528</v>
      </c>
      <c r="L718" s="11">
        <v>0</v>
      </c>
      <c r="M718" s="11">
        <v>423.35999999999996</v>
      </c>
      <c r="N718" s="11">
        <f t="shared" si="23"/>
        <v>3951.36</v>
      </c>
    </row>
    <row r="719" spans="3:14" x14ac:dyDescent="0.3">
      <c r="C719" s="6">
        <v>43949</v>
      </c>
      <c r="D719" s="7" t="s">
        <v>183</v>
      </c>
      <c r="E719" s="8">
        <v>2020</v>
      </c>
      <c r="F719" s="9" t="s">
        <v>40</v>
      </c>
      <c r="G719" s="9" t="s">
        <v>14</v>
      </c>
      <c r="H719" s="10" t="s">
        <v>35</v>
      </c>
      <c r="I719" s="7">
        <v>14</v>
      </c>
      <c r="J719" s="11">
        <v>100</v>
      </c>
      <c r="K719" s="11">
        <f t="shared" si="22"/>
        <v>1400</v>
      </c>
      <c r="L719" s="11">
        <v>5.0000000745058101E-2</v>
      </c>
      <c r="M719" s="11">
        <v>168</v>
      </c>
      <c r="N719" s="11">
        <f t="shared" si="23"/>
        <v>1567.9499999992549</v>
      </c>
    </row>
    <row r="720" spans="3:14" x14ac:dyDescent="0.3">
      <c r="C720" s="6">
        <v>43950</v>
      </c>
      <c r="D720" s="7" t="s">
        <v>183</v>
      </c>
      <c r="E720" s="8">
        <v>2020</v>
      </c>
      <c r="F720" s="9" t="s">
        <v>164</v>
      </c>
      <c r="G720" s="9" t="s">
        <v>37</v>
      </c>
      <c r="H720" s="10" t="s">
        <v>41</v>
      </c>
      <c r="I720" s="7">
        <v>2</v>
      </c>
      <c r="J720" s="11">
        <v>20</v>
      </c>
      <c r="K720" s="11">
        <f t="shared" si="22"/>
        <v>40</v>
      </c>
      <c r="L720" s="11">
        <v>0</v>
      </c>
      <c r="M720" s="11">
        <v>4.8</v>
      </c>
      <c r="N720" s="11">
        <f t="shared" si="23"/>
        <v>44.8</v>
      </c>
    </row>
    <row r="721" spans="3:14" x14ac:dyDescent="0.3">
      <c r="C721" s="6">
        <v>43950</v>
      </c>
      <c r="D721" s="7" t="s">
        <v>183</v>
      </c>
      <c r="E721" s="8">
        <v>2020</v>
      </c>
      <c r="F721" s="9" t="s">
        <v>164</v>
      </c>
      <c r="G721" s="9" t="s">
        <v>42</v>
      </c>
      <c r="H721" s="10" t="s">
        <v>51</v>
      </c>
      <c r="I721" s="7">
        <v>22</v>
      </c>
      <c r="J721" s="11">
        <v>98</v>
      </c>
      <c r="K721" s="11">
        <f t="shared" si="22"/>
        <v>2156</v>
      </c>
      <c r="L721" s="11">
        <v>0</v>
      </c>
      <c r="M721" s="11">
        <v>258.71999999999997</v>
      </c>
      <c r="N721" s="11">
        <f t="shared" si="23"/>
        <v>2414.7199999999998</v>
      </c>
    </row>
    <row r="722" spans="3:14" x14ac:dyDescent="0.3">
      <c r="C722" s="6">
        <v>43950</v>
      </c>
      <c r="D722" s="7" t="s">
        <v>183</v>
      </c>
      <c r="E722" s="8">
        <v>2020</v>
      </c>
      <c r="F722" s="9" t="s">
        <v>187</v>
      </c>
      <c r="G722" s="9" t="s">
        <v>37</v>
      </c>
      <c r="H722" s="10" t="s">
        <v>65</v>
      </c>
      <c r="I722" s="7">
        <v>66</v>
      </c>
      <c r="J722" s="11">
        <v>43</v>
      </c>
      <c r="K722" s="11">
        <f t="shared" si="22"/>
        <v>2838</v>
      </c>
      <c r="L722" s="11">
        <v>0</v>
      </c>
      <c r="M722" s="11">
        <v>340.56</v>
      </c>
      <c r="N722" s="11">
        <f t="shared" si="23"/>
        <v>3178.56</v>
      </c>
    </row>
    <row r="723" spans="3:14" x14ac:dyDescent="0.3">
      <c r="C723" s="6">
        <v>43950</v>
      </c>
      <c r="D723" s="7" t="s">
        <v>183</v>
      </c>
      <c r="E723" s="8">
        <v>2020</v>
      </c>
      <c r="F723" s="9" t="s">
        <v>187</v>
      </c>
      <c r="G723" s="9" t="s">
        <v>24</v>
      </c>
      <c r="H723" s="10" t="s">
        <v>25</v>
      </c>
      <c r="I723" s="7">
        <v>11</v>
      </c>
      <c r="J723" s="11">
        <v>28</v>
      </c>
      <c r="K723" s="11">
        <f t="shared" si="22"/>
        <v>308</v>
      </c>
      <c r="L723" s="11">
        <v>0</v>
      </c>
      <c r="M723" s="11">
        <v>36.96</v>
      </c>
      <c r="N723" s="11">
        <f t="shared" si="23"/>
        <v>344.96</v>
      </c>
    </row>
    <row r="724" spans="3:14" x14ac:dyDescent="0.3">
      <c r="C724" s="6">
        <v>43950</v>
      </c>
      <c r="D724" s="7" t="s">
        <v>183</v>
      </c>
      <c r="E724" s="8">
        <v>2020</v>
      </c>
      <c r="F724" s="9" t="s">
        <v>187</v>
      </c>
      <c r="G724" s="9" t="s">
        <v>32</v>
      </c>
      <c r="H724" s="10" t="s">
        <v>110</v>
      </c>
      <c r="I724" s="7">
        <v>79</v>
      </c>
      <c r="J724" s="11">
        <v>81</v>
      </c>
      <c r="K724" s="11">
        <f t="shared" si="22"/>
        <v>6399</v>
      </c>
      <c r="L724" s="11">
        <v>0</v>
      </c>
      <c r="M724" s="11">
        <v>767.88</v>
      </c>
      <c r="N724" s="11">
        <f t="shared" si="23"/>
        <v>7166.88</v>
      </c>
    </row>
    <row r="725" spans="3:14" x14ac:dyDescent="0.3">
      <c r="C725" s="6">
        <v>43951</v>
      </c>
      <c r="D725" s="7" t="s">
        <v>183</v>
      </c>
      <c r="E725" s="8">
        <v>2020</v>
      </c>
      <c r="F725" s="9" t="s">
        <v>97</v>
      </c>
      <c r="G725" s="9" t="s">
        <v>37</v>
      </c>
      <c r="H725" s="10" t="s">
        <v>104</v>
      </c>
      <c r="I725" s="7">
        <v>51</v>
      </c>
      <c r="J725" s="11">
        <v>99</v>
      </c>
      <c r="K725" s="11">
        <f t="shared" si="22"/>
        <v>5049</v>
      </c>
      <c r="L725" s="11">
        <v>0.20000000298023199</v>
      </c>
      <c r="M725" s="11">
        <v>605.88</v>
      </c>
      <c r="N725" s="11">
        <f t="shared" si="23"/>
        <v>5654.6799999970199</v>
      </c>
    </row>
    <row r="726" spans="3:14" x14ac:dyDescent="0.3">
      <c r="C726" s="6">
        <v>43951</v>
      </c>
      <c r="D726" s="7" t="s">
        <v>183</v>
      </c>
      <c r="E726" s="8">
        <v>2020</v>
      </c>
      <c r="F726" s="9" t="s">
        <v>97</v>
      </c>
      <c r="G726" s="9" t="s">
        <v>26</v>
      </c>
      <c r="H726" s="10" t="s">
        <v>148</v>
      </c>
      <c r="I726" s="7">
        <v>17</v>
      </c>
      <c r="J726" s="11">
        <v>21</v>
      </c>
      <c r="K726" s="11">
        <f t="shared" si="22"/>
        <v>357</v>
      </c>
      <c r="L726" s="11">
        <v>0</v>
      </c>
      <c r="M726" s="11">
        <v>42.839999999999996</v>
      </c>
      <c r="N726" s="11">
        <f t="shared" si="23"/>
        <v>399.84</v>
      </c>
    </row>
    <row r="727" spans="3:14" x14ac:dyDescent="0.3">
      <c r="C727" s="6">
        <v>43951</v>
      </c>
      <c r="D727" s="7" t="s">
        <v>183</v>
      </c>
      <c r="E727" s="8">
        <v>2020</v>
      </c>
      <c r="F727" s="9" t="s">
        <v>97</v>
      </c>
      <c r="G727" s="9" t="s">
        <v>24</v>
      </c>
      <c r="H727" s="10" t="s">
        <v>69</v>
      </c>
      <c r="I727" s="7">
        <v>90</v>
      </c>
      <c r="J727" s="11">
        <v>76</v>
      </c>
      <c r="K727" s="11">
        <f t="shared" si="22"/>
        <v>6840</v>
      </c>
      <c r="L727" s="11">
        <v>0.20000000298023199</v>
      </c>
      <c r="M727" s="11">
        <v>820.8</v>
      </c>
      <c r="N727" s="11">
        <f t="shared" si="23"/>
        <v>7660.5999999970199</v>
      </c>
    </row>
    <row r="728" spans="3:14" x14ac:dyDescent="0.3">
      <c r="C728" s="6">
        <v>43951</v>
      </c>
      <c r="D728" s="7" t="s">
        <v>183</v>
      </c>
      <c r="E728" s="8">
        <v>2020</v>
      </c>
      <c r="F728" s="9" t="s">
        <v>97</v>
      </c>
      <c r="G728" s="9" t="s">
        <v>24</v>
      </c>
      <c r="H728" s="10" t="s">
        <v>76</v>
      </c>
      <c r="I728" s="7">
        <v>56</v>
      </c>
      <c r="J728" s="11">
        <v>45</v>
      </c>
      <c r="K728" s="11">
        <f t="shared" si="22"/>
        <v>2520</v>
      </c>
      <c r="L728" s="11">
        <v>0.20000000298023199</v>
      </c>
      <c r="M728" s="11">
        <v>302.39999999999998</v>
      </c>
      <c r="N728" s="11">
        <f t="shared" si="23"/>
        <v>2822.1999999970199</v>
      </c>
    </row>
    <row r="729" spans="3:14" x14ac:dyDescent="0.3">
      <c r="C729" s="6">
        <v>43952</v>
      </c>
      <c r="D729" s="7" t="s">
        <v>188</v>
      </c>
      <c r="E729" s="8">
        <v>2020</v>
      </c>
      <c r="F729" s="9" t="s">
        <v>154</v>
      </c>
      <c r="G729" s="9" t="s">
        <v>42</v>
      </c>
      <c r="H729" s="10" t="s">
        <v>72</v>
      </c>
      <c r="I729" s="7">
        <v>46</v>
      </c>
      <c r="J729" s="11">
        <v>58</v>
      </c>
      <c r="K729" s="11">
        <f t="shared" si="22"/>
        <v>2668</v>
      </c>
      <c r="L729" s="11">
        <v>0.10000000149011599</v>
      </c>
      <c r="M729" s="11">
        <v>320.15999999999997</v>
      </c>
      <c r="N729" s="11">
        <f t="shared" si="23"/>
        <v>2988.0599999985097</v>
      </c>
    </row>
    <row r="730" spans="3:14" x14ac:dyDescent="0.3">
      <c r="C730" s="6">
        <v>43952</v>
      </c>
      <c r="D730" s="7" t="s">
        <v>188</v>
      </c>
      <c r="E730" s="8">
        <v>2020</v>
      </c>
      <c r="F730" s="9" t="s">
        <v>154</v>
      </c>
      <c r="G730" s="9" t="s">
        <v>32</v>
      </c>
      <c r="H730" s="10" t="s">
        <v>33</v>
      </c>
      <c r="I730" s="7">
        <v>35</v>
      </c>
      <c r="J730" s="11">
        <v>25</v>
      </c>
      <c r="K730" s="11">
        <f t="shared" si="22"/>
        <v>875</v>
      </c>
      <c r="L730" s="11">
        <v>0.10000000149011599</v>
      </c>
      <c r="M730" s="11">
        <v>105</v>
      </c>
      <c r="N730" s="11">
        <f t="shared" si="23"/>
        <v>979.89999999850988</v>
      </c>
    </row>
    <row r="731" spans="3:14" x14ac:dyDescent="0.3">
      <c r="C731" s="6">
        <v>43952</v>
      </c>
      <c r="D731" s="7" t="s">
        <v>188</v>
      </c>
      <c r="E731" s="8">
        <v>2020</v>
      </c>
      <c r="F731" s="9" t="s">
        <v>154</v>
      </c>
      <c r="G731" s="9" t="s">
        <v>24</v>
      </c>
      <c r="H731" s="10" t="s">
        <v>60</v>
      </c>
      <c r="I731" s="7">
        <v>31</v>
      </c>
      <c r="J731" s="11">
        <v>63</v>
      </c>
      <c r="K731" s="11">
        <f t="shared" si="22"/>
        <v>1953</v>
      </c>
      <c r="L731" s="11">
        <v>0.10000000149011599</v>
      </c>
      <c r="M731" s="11">
        <v>234.35999999999999</v>
      </c>
      <c r="N731" s="11">
        <f t="shared" si="23"/>
        <v>2187.25999999851</v>
      </c>
    </row>
    <row r="732" spans="3:14" x14ac:dyDescent="0.3">
      <c r="C732" s="6">
        <v>43952</v>
      </c>
      <c r="D732" s="7" t="s">
        <v>188</v>
      </c>
      <c r="E732" s="8">
        <v>2020</v>
      </c>
      <c r="F732" s="9" t="s">
        <v>154</v>
      </c>
      <c r="G732" s="9" t="s">
        <v>24</v>
      </c>
      <c r="H732" s="10" t="s">
        <v>25</v>
      </c>
      <c r="I732" s="7">
        <v>20</v>
      </c>
      <c r="J732" s="11">
        <v>66</v>
      </c>
      <c r="K732" s="11">
        <f t="shared" si="22"/>
        <v>1320</v>
      </c>
      <c r="L732" s="11">
        <v>0.10000000149011599</v>
      </c>
      <c r="M732" s="11">
        <v>158.4</v>
      </c>
      <c r="N732" s="11">
        <f t="shared" si="23"/>
        <v>1478.29999999851</v>
      </c>
    </row>
    <row r="733" spans="3:14" x14ac:dyDescent="0.3">
      <c r="C733" s="6">
        <v>43952</v>
      </c>
      <c r="D733" s="7" t="s">
        <v>188</v>
      </c>
      <c r="E733" s="8">
        <v>2020</v>
      </c>
      <c r="F733" s="9" t="s">
        <v>93</v>
      </c>
      <c r="G733" s="9" t="s">
        <v>24</v>
      </c>
      <c r="H733" s="10" t="s">
        <v>85</v>
      </c>
      <c r="I733" s="7">
        <v>31</v>
      </c>
      <c r="J733" s="11">
        <v>11</v>
      </c>
      <c r="K733" s="11">
        <f t="shared" si="22"/>
        <v>341</v>
      </c>
      <c r="L733" s="11">
        <v>0</v>
      </c>
      <c r="M733" s="11">
        <v>40.92</v>
      </c>
      <c r="N733" s="11">
        <f t="shared" si="23"/>
        <v>381.92</v>
      </c>
    </row>
    <row r="734" spans="3:14" x14ac:dyDescent="0.3">
      <c r="C734" s="6">
        <v>43952</v>
      </c>
      <c r="D734" s="7" t="s">
        <v>188</v>
      </c>
      <c r="E734" s="8">
        <v>2020</v>
      </c>
      <c r="F734" s="9" t="s">
        <v>93</v>
      </c>
      <c r="G734" s="9" t="s">
        <v>24</v>
      </c>
      <c r="H734" s="10" t="s">
        <v>69</v>
      </c>
      <c r="I734" s="7">
        <v>59</v>
      </c>
      <c r="J734" s="11">
        <v>63</v>
      </c>
      <c r="K734" s="11">
        <f t="shared" si="22"/>
        <v>3717</v>
      </c>
      <c r="L734" s="11">
        <v>0</v>
      </c>
      <c r="M734" s="11">
        <v>446.03999999999996</v>
      </c>
      <c r="N734" s="11">
        <f t="shared" si="23"/>
        <v>4163.04</v>
      </c>
    </row>
    <row r="735" spans="3:14" x14ac:dyDescent="0.3">
      <c r="C735" s="6">
        <v>43952</v>
      </c>
      <c r="D735" s="7" t="s">
        <v>188</v>
      </c>
      <c r="E735" s="8">
        <v>2020</v>
      </c>
      <c r="F735" s="9" t="s">
        <v>93</v>
      </c>
      <c r="G735" s="9" t="s">
        <v>37</v>
      </c>
      <c r="H735" s="10" t="s">
        <v>82</v>
      </c>
      <c r="I735" s="7">
        <v>3</v>
      </c>
      <c r="J735" s="11">
        <v>52</v>
      </c>
      <c r="K735" s="11">
        <f t="shared" si="22"/>
        <v>156</v>
      </c>
      <c r="L735" s="11">
        <v>0</v>
      </c>
      <c r="M735" s="11">
        <v>18.72</v>
      </c>
      <c r="N735" s="11">
        <f t="shared" si="23"/>
        <v>174.72</v>
      </c>
    </row>
    <row r="736" spans="3:14" x14ac:dyDescent="0.3">
      <c r="C736" s="6">
        <v>43952</v>
      </c>
      <c r="D736" s="7" t="s">
        <v>188</v>
      </c>
      <c r="E736" s="8">
        <v>2020</v>
      </c>
      <c r="F736" s="9" t="s">
        <v>93</v>
      </c>
      <c r="G736" s="9" t="s">
        <v>42</v>
      </c>
      <c r="H736" s="10" t="s">
        <v>109</v>
      </c>
      <c r="I736" s="7">
        <v>94</v>
      </c>
      <c r="J736" s="11">
        <v>41</v>
      </c>
      <c r="K736" s="11">
        <f t="shared" si="22"/>
        <v>3854</v>
      </c>
      <c r="L736" s="11">
        <v>0</v>
      </c>
      <c r="M736" s="11">
        <v>462.47999999999996</v>
      </c>
      <c r="N736" s="11">
        <f t="shared" si="23"/>
        <v>4316.4799999999996</v>
      </c>
    </row>
    <row r="737" spans="3:14" x14ac:dyDescent="0.3">
      <c r="C737" s="6">
        <v>43953</v>
      </c>
      <c r="D737" s="7" t="s">
        <v>188</v>
      </c>
      <c r="E737" s="8">
        <v>2020</v>
      </c>
      <c r="F737" s="9" t="s">
        <v>141</v>
      </c>
      <c r="G737" s="9" t="s">
        <v>24</v>
      </c>
      <c r="H737" s="10" t="s">
        <v>48</v>
      </c>
      <c r="I737" s="7">
        <v>96</v>
      </c>
      <c r="J737" s="11">
        <v>87</v>
      </c>
      <c r="K737" s="11">
        <f t="shared" si="22"/>
        <v>8352</v>
      </c>
      <c r="L737" s="11">
        <v>0</v>
      </c>
      <c r="M737" s="11">
        <v>1002.24</v>
      </c>
      <c r="N737" s="11">
        <f t="shared" si="23"/>
        <v>9354.24</v>
      </c>
    </row>
    <row r="738" spans="3:14" x14ac:dyDescent="0.3">
      <c r="C738" s="6">
        <v>43953</v>
      </c>
      <c r="D738" s="7" t="s">
        <v>188</v>
      </c>
      <c r="E738" s="8">
        <v>2020</v>
      </c>
      <c r="F738" s="9" t="s">
        <v>141</v>
      </c>
      <c r="G738" s="9" t="s">
        <v>24</v>
      </c>
      <c r="H738" s="10" t="s">
        <v>76</v>
      </c>
      <c r="I738" s="7">
        <v>83</v>
      </c>
      <c r="J738" s="11">
        <v>45</v>
      </c>
      <c r="K738" s="11">
        <f t="shared" si="22"/>
        <v>3735</v>
      </c>
      <c r="L738" s="11">
        <v>0.10000000149011599</v>
      </c>
      <c r="M738" s="11">
        <v>448.2</v>
      </c>
      <c r="N738" s="11">
        <f t="shared" si="23"/>
        <v>4183.0999999985097</v>
      </c>
    </row>
    <row r="739" spans="3:14" x14ac:dyDescent="0.3">
      <c r="C739" s="6">
        <v>43956</v>
      </c>
      <c r="D739" s="7" t="s">
        <v>188</v>
      </c>
      <c r="E739" s="8">
        <v>2020</v>
      </c>
      <c r="F739" s="9" t="s">
        <v>73</v>
      </c>
      <c r="G739" s="9" t="s">
        <v>37</v>
      </c>
      <c r="H739" s="10" t="s">
        <v>104</v>
      </c>
      <c r="I739" s="7">
        <v>36</v>
      </c>
      <c r="J739" s="11">
        <v>46</v>
      </c>
      <c r="K739" s="11">
        <f t="shared" si="22"/>
        <v>1656</v>
      </c>
      <c r="L739" s="11">
        <v>0.15000000596046401</v>
      </c>
      <c r="M739" s="11">
        <v>198.72</v>
      </c>
      <c r="N739" s="11">
        <f t="shared" si="23"/>
        <v>1854.5699999940396</v>
      </c>
    </row>
    <row r="740" spans="3:14" x14ac:dyDescent="0.3">
      <c r="C740" s="6">
        <v>43956</v>
      </c>
      <c r="D740" s="7" t="s">
        <v>188</v>
      </c>
      <c r="E740" s="8">
        <v>2020</v>
      </c>
      <c r="F740" s="9" t="s">
        <v>73</v>
      </c>
      <c r="G740" s="9" t="s">
        <v>24</v>
      </c>
      <c r="H740" s="10" t="s">
        <v>90</v>
      </c>
      <c r="I740" s="7">
        <v>33</v>
      </c>
      <c r="J740" s="11">
        <v>58</v>
      </c>
      <c r="K740" s="11">
        <f t="shared" si="22"/>
        <v>1914</v>
      </c>
      <c r="L740" s="11">
        <v>0</v>
      </c>
      <c r="M740" s="11">
        <v>229.67999999999998</v>
      </c>
      <c r="N740" s="11">
        <f t="shared" si="23"/>
        <v>2143.6799999999998</v>
      </c>
    </row>
    <row r="741" spans="3:14" x14ac:dyDescent="0.3">
      <c r="C741" s="6">
        <v>43956</v>
      </c>
      <c r="D741" s="7" t="s">
        <v>188</v>
      </c>
      <c r="E741" s="8">
        <v>2020</v>
      </c>
      <c r="F741" s="9" t="s">
        <v>73</v>
      </c>
      <c r="G741" s="9" t="s">
        <v>16</v>
      </c>
      <c r="H741" s="10" t="s">
        <v>68</v>
      </c>
      <c r="I741" s="7">
        <v>58</v>
      </c>
      <c r="J741" s="11">
        <v>64</v>
      </c>
      <c r="K741" s="11">
        <f t="shared" si="22"/>
        <v>3712</v>
      </c>
      <c r="L741" s="11">
        <v>0.15000000596046401</v>
      </c>
      <c r="M741" s="11">
        <v>445.44</v>
      </c>
      <c r="N741" s="11">
        <f t="shared" si="23"/>
        <v>4157.2899999940391</v>
      </c>
    </row>
    <row r="742" spans="3:14" x14ac:dyDescent="0.3">
      <c r="C742" s="6">
        <v>43956</v>
      </c>
      <c r="D742" s="7" t="s">
        <v>188</v>
      </c>
      <c r="E742" s="8">
        <v>2020</v>
      </c>
      <c r="F742" s="9" t="s">
        <v>84</v>
      </c>
      <c r="G742" s="9" t="s">
        <v>26</v>
      </c>
      <c r="H742" s="10" t="s">
        <v>124</v>
      </c>
      <c r="I742" s="7">
        <v>2</v>
      </c>
      <c r="J742" s="11">
        <v>77</v>
      </c>
      <c r="K742" s="11">
        <f t="shared" si="22"/>
        <v>154</v>
      </c>
      <c r="L742" s="11">
        <v>0.10000000149011599</v>
      </c>
      <c r="M742" s="11">
        <v>18.48</v>
      </c>
      <c r="N742" s="11">
        <f t="shared" si="23"/>
        <v>172.37999999850987</v>
      </c>
    </row>
    <row r="743" spans="3:14" x14ac:dyDescent="0.3">
      <c r="C743" s="6">
        <v>43956</v>
      </c>
      <c r="D743" s="7" t="s">
        <v>188</v>
      </c>
      <c r="E743" s="8">
        <v>2020</v>
      </c>
      <c r="F743" s="9" t="s">
        <v>84</v>
      </c>
      <c r="G743" s="9" t="s">
        <v>24</v>
      </c>
      <c r="H743" s="10" t="s">
        <v>48</v>
      </c>
      <c r="I743" s="7">
        <v>24</v>
      </c>
      <c r="J743" s="11">
        <v>40</v>
      </c>
      <c r="K743" s="11">
        <f t="shared" si="22"/>
        <v>960</v>
      </c>
      <c r="L743" s="11">
        <v>0.10000000149011599</v>
      </c>
      <c r="M743" s="11">
        <v>115.19999999999999</v>
      </c>
      <c r="N743" s="11">
        <f t="shared" si="23"/>
        <v>1075.0999999985099</v>
      </c>
    </row>
    <row r="744" spans="3:14" x14ac:dyDescent="0.3">
      <c r="C744" s="6">
        <v>43957</v>
      </c>
      <c r="D744" s="7" t="s">
        <v>188</v>
      </c>
      <c r="E744" s="8">
        <v>2020</v>
      </c>
      <c r="F744" s="9" t="s">
        <v>189</v>
      </c>
      <c r="G744" s="9" t="s">
        <v>14</v>
      </c>
      <c r="H744" s="10" t="s">
        <v>15</v>
      </c>
      <c r="I744" s="7">
        <v>31</v>
      </c>
      <c r="J744" s="11">
        <v>21</v>
      </c>
      <c r="K744" s="11">
        <f t="shared" si="22"/>
        <v>651</v>
      </c>
      <c r="L744" s="11">
        <v>0</v>
      </c>
      <c r="M744" s="11">
        <v>78.11999999999999</v>
      </c>
      <c r="N744" s="11">
        <f t="shared" si="23"/>
        <v>729.12</v>
      </c>
    </row>
    <row r="745" spans="3:14" x14ac:dyDescent="0.3">
      <c r="C745" s="6">
        <v>43957</v>
      </c>
      <c r="D745" s="7" t="s">
        <v>188</v>
      </c>
      <c r="E745" s="8">
        <v>2020</v>
      </c>
      <c r="F745" s="9" t="s">
        <v>189</v>
      </c>
      <c r="G745" s="9" t="s">
        <v>14</v>
      </c>
      <c r="H745" s="10" t="s">
        <v>34</v>
      </c>
      <c r="I745" s="7">
        <v>44</v>
      </c>
      <c r="J745" s="11">
        <v>48</v>
      </c>
      <c r="K745" s="11">
        <f t="shared" si="22"/>
        <v>2112</v>
      </c>
      <c r="L745" s="11">
        <v>0.20000000298023199</v>
      </c>
      <c r="M745" s="11">
        <v>253.44</v>
      </c>
      <c r="N745" s="11">
        <f t="shared" si="23"/>
        <v>2365.2399999970198</v>
      </c>
    </row>
    <row r="746" spans="3:14" x14ac:dyDescent="0.3">
      <c r="C746" s="6">
        <v>43957</v>
      </c>
      <c r="D746" s="7" t="s">
        <v>188</v>
      </c>
      <c r="E746" s="8">
        <v>2020</v>
      </c>
      <c r="F746" s="9" t="s">
        <v>189</v>
      </c>
      <c r="G746" s="9" t="s">
        <v>14</v>
      </c>
      <c r="H746" s="10" t="s">
        <v>18</v>
      </c>
      <c r="I746" s="7">
        <v>84</v>
      </c>
      <c r="J746" s="11">
        <v>60</v>
      </c>
      <c r="K746" s="11">
        <f t="shared" si="22"/>
        <v>5040</v>
      </c>
      <c r="L746" s="11">
        <v>0</v>
      </c>
      <c r="M746" s="11">
        <v>604.79999999999995</v>
      </c>
      <c r="N746" s="11">
        <f t="shared" si="23"/>
        <v>5644.8</v>
      </c>
    </row>
    <row r="747" spans="3:14" x14ac:dyDescent="0.3">
      <c r="C747" s="6">
        <v>43958</v>
      </c>
      <c r="D747" s="7" t="s">
        <v>188</v>
      </c>
      <c r="E747" s="8">
        <v>2020</v>
      </c>
      <c r="F747" s="9" t="s">
        <v>190</v>
      </c>
      <c r="G747" s="9" t="s">
        <v>42</v>
      </c>
      <c r="H747" s="10" t="s">
        <v>43</v>
      </c>
      <c r="I747" s="7">
        <v>27</v>
      </c>
      <c r="J747" s="11">
        <v>14</v>
      </c>
      <c r="K747" s="11">
        <f t="shared" si="22"/>
        <v>378</v>
      </c>
      <c r="L747" s="11">
        <v>0</v>
      </c>
      <c r="M747" s="11">
        <v>45.36</v>
      </c>
      <c r="N747" s="11">
        <f t="shared" si="23"/>
        <v>423.36</v>
      </c>
    </row>
    <row r="748" spans="3:14" x14ac:dyDescent="0.3">
      <c r="C748" s="6">
        <v>43958</v>
      </c>
      <c r="D748" s="7" t="s">
        <v>188</v>
      </c>
      <c r="E748" s="8">
        <v>2020</v>
      </c>
      <c r="F748" s="9" t="s">
        <v>190</v>
      </c>
      <c r="G748" s="9" t="s">
        <v>32</v>
      </c>
      <c r="H748" s="10" t="s">
        <v>110</v>
      </c>
      <c r="I748" s="7">
        <v>28</v>
      </c>
      <c r="J748" s="11">
        <v>47</v>
      </c>
      <c r="K748" s="11">
        <f t="shared" si="22"/>
        <v>1316</v>
      </c>
      <c r="L748" s="11">
        <v>0</v>
      </c>
      <c r="M748" s="11">
        <v>157.91999999999999</v>
      </c>
      <c r="N748" s="11">
        <f t="shared" si="23"/>
        <v>1473.92</v>
      </c>
    </row>
    <row r="749" spans="3:14" x14ac:dyDescent="0.3">
      <c r="C749" s="6">
        <v>43958</v>
      </c>
      <c r="D749" s="7" t="s">
        <v>188</v>
      </c>
      <c r="E749" s="8">
        <v>2020</v>
      </c>
      <c r="F749" s="9" t="s">
        <v>190</v>
      </c>
      <c r="G749" s="9" t="s">
        <v>14</v>
      </c>
      <c r="H749" s="10" t="s">
        <v>117</v>
      </c>
      <c r="I749" s="7">
        <v>88</v>
      </c>
      <c r="J749" s="11">
        <v>66</v>
      </c>
      <c r="K749" s="11">
        <f t="shared" si="22"/>
        <v>5808</v>
      </c>
      <c r="L749" s="11">
        <v>0</v>
      </c>
      <c r="M749" s="11">
        <v>696.95999999999992</v>
      </c>
      <c r="N749" s="11">
        <f t="shared" si="23"/>
        <v>6504.96</v>
      </c>
    </row>
    <row r="750" spans="3:14" x14ac:dyDescent="0.3">
      <c r="C750" s="6">
        <v>43959</v>
      </c>
      <c r="D750" s="7" t="s">
        <v>188</v>
      </c>
      <c r="E750" s="8">
        <v>2020</v>
      </c>
      <c r="F750" s="9" t="s">
        <v>152</v>
      </c>
      <c r="G750" s="9" t="s">
        <v>42</v>
      </c>
      <c r="H750" s="10" t="s">
        <v>72</v>
      </c>
      <c r="I750" s="7">
        <v>71</v>
      </c>
      <c r="J750" s="11">
        <v>28</v>
      </c>
      <c r="K750" s="11">
        <f t="shared" si="22"/>
        <v>1988</v>
      </c>
      <c r="L750" s="11">
        <v>0</v>
      </c>
      <c r="M750" s="11">
        <v>238.56</v>
      </c>
      <c r="N750" s="11">
        <f t="shared" si="23"/>
        <v>2226.56</v>
      </c>
    </row>
    <row r="751" spans="3:14" x14ac:dyDescent="0.3">
      <c r="C751" s="6">
        <v>43959</v>
      </c>
      <c r="D751" s="7" t="s">
        <v>188</v>
      </c>
      <c r="E751" s="8">
        <v>2020</v>
      </c>
      <c r="F751" s="9" t="s">
        <v>152</v>
      </c>
      <c r="G751" s="9" t="s">
        <v>37</v>
      </c>
      <c r="H751" s="10" t="s">
        <v>82</v>
      </c>
      <c r="I751" s="7">
        <v>77</v>
      </c>
      <c r="J751" s="11">
        <v>78</v>
      </c>
      <c r="K751" s="11">
        <f t="shared" si="22"/>
        <v>6006</v>
      </c>
      <c r="L751" s="11">
        <v>0</v>
      </c>
      <c r="M751" s="11">
        <v>720.72</v>
      </c>
      <c r="N751" s="11">
        <f t="shared" si="23"/>
        <v>6726.72</v>
      </c>
    </row>
    <row r="752" spans="3:14" x14ac:dyDescent="0.3">
      <c r="C752" s="6">
        <v>43959</v>
      </c>
      <c r="D752" s="7" t="s">
        <v>188</v>
      </c>
      <c r="E752" s="8">
        <v>2020</v>
      </c>
      <c r="F752" s="9" t="s">
        <v>152</v>
      </c>
      <c r="G752" s="9" t="s">
        <v>26</v>
      </c>
      <c r="H752" s="10" t="s">
        <v>173</v>
      </c>
      <c r="I752" s="7">
        <v>14</v>
      </c>
      <c r="J752" s="11">
        <v>62</v>
      </c>
      <c r="K752" s="11">
        <f t="shared" si="22"/>
        <v>868</v>
      </c>
      <c r="L752" s="11">
        <v>0</v>
      </c>
      <c r="M752" s="11">
        <v>104.16</v>
      </c>
      <c r="N752" s="11">
        <f t="shared" si="23"/>
        <v>972.16</v>
      </c>
    </row>
    <row r="753" spans="3:14" x14ac:dyDescent="0.3">
      <c r="C753" s="6">
        <v>43959</v>
      </c>
      <c r="D753" s="7" t="s">
        <v>188</v>
      </c>
      <c r="E753" s="8">
        <v>2020</v>
      </c>
      <c r="F753" s="9" t="s">
        <v>152</v>
      </c>
      <c r="G753" s="9" t="s">
        <v>37</v>
      </c>
      <c r="H753" s="10" t="s">
        <v>77</v>
      </c>
      <c r="I753" s="7">
        <v>49</v>
      </c>
      <c r="J753" s="11">
        <v>41</v>
      </c>
      <c r="K753" s="11">
        <f t="shared" si="22"/>
        <v>2009</v>
      </c>
      <c r="L753" s="11">
        <v>0</v>
      </c>
      <c r="M753" s="11">
        <v>241.07999999999998</v>
      </c>
      <c r="N753" s="11">
        <f t="shared" si="23"/>
        <v>2250.08</v>
      </c>
    </row>
    <row r="754" spans="3:14" x14ac:dyDescent="0.3">
      <c r="C754" s="6">
        <v>43959</v>
      </c>
      <c r="D754" s="7" t="s">
        <v>188</v>
      </c>
      <c r="E754" s="8">
        <v>2020</v>
      </c>
      <c r="F754" s="9" t="s">
        <v>172</v>
      </c>
      <c r="G754" s="9" t="s">
        <v>14</v>
      </c>
      <c r="H754" s="10" t="s">
        <v>49</v>
      </c>
      <c r="I754" s="7">
        <v>18</v>
      </c>
      <c r="J754" s="11">
        <v>18</v>
      </c>
      <c r="K754" s="11">
        <f t="shared" si="22"/>
        <v>324</v>
      </c>
      <c r="L754" s="11">
        <v>0</v>
      </c>
      <c r="M754" s="11">
        <v>38.879999999999995</v>
      </c>
      <c r="N754" s="11">
        <f t="shared" si="23"/>
        <v>362.88</v>
      </c>
    </row>
    <row r="755" spans="3:14" x14ac:dyDescent="0.3">
      <c r="C755" s="6">
        <v>43960</v>
      </c>
      <c r="D755" s="7" t="s">
        <v>188</v>
      </c>
      <c r="E755" s="8">
        <v>2020</v>
      </c>
      <c r="F755" s="9" t="s">
        <v>156</v>
      </c>
      <c r="G755" s="9" t="s">
        <v>24</v>
      </c>
      <c r="H755" s="10" t="s">
        <v>69</v>
      </c>
      <c r="I755" s="7">
        <v>49</v>
      </c>
      <c r="J755" s="11">
        <v>29</v>
      </c>
      <c r="K755" s="11">
        <f t="shared" si="22"/>
        <v>1421</v>
      </c>
      <c r="L755" s="11">
        <v>0</v>
      </c>
      <c r="M755" s="11">
        <v>170.51999999999998</v>
      </c>
      <c r="N755" s="11">
        <f t="shared" si="23"/>
        <v>1591.52</v>
      </c>
    </row>
    <row r="756" spans="3:14" x14ac:dyDescent="0.3">
      <c r="C756" s="6">
        <v>43960</v>
      </c>
      <c r="D756" s="7" t="s">
        <v>188</v>
      </c>
      <c r="E756" s="8">
        <v>2020</v>
      </c>
      <c r="F756" s="9" t="s">
        <v>156</v>
      </c>
      <c r="G756" s="9" t="s">
        <v>26</v>
      </c>
      <c r="H756" s="10" t="s">
        <v>119</v>
      </c>
      <c r="I756" s="7">
        <v>16</v>
      </c>
      <c r="J756" s="11">
        <v>39</v>
      </c>
      <c r="K756" s="11">
        <f t="shared" si="22"/>
        <v>624</v>
      </c>
      <c r="L756" s="11">
        <v>0</v>
      </c>
      <c r="M756" s="11">
        <v>74.88</v>
      </c>
      <c r="N756" s="11">
        <f t="shared" si="23"/>
        <v>698.88</v>
      </c>
    </row>
    <row r="757" spans="3:14" x14ac:dyDescent="0.3">
      <c r="C757" s="6">
        <v>43963</v>
      </c>
      <c r="D757" s="7" t="s">
        <v>188</v>
      </c>
      <c r="E757" s="8">
        <v>2020</v>
      </c>
      <c r="F757" s="9" t="s">
        <v>70</v>
      </c>
      <c r="G757" s="9" t="s">
        <v>26</v>
      </c>
      <c r="H757" s="10" t="s">
        <v>124</v>
      </c>
      <c r="I757" s="7">
        <v>29</v>
      </c>
      <c r="J757" s="11">
        <v>24</v>
      </c>
      <c r="K757" s="11">
        <f t="shared" si="22"/>
        <v>696</v>
      </c>
      <c r="L757" s="11">
        <v>5.0000000745058101E-2</v>
      </c>
      <c r="M757" s="11">
        <v>83.52</v>
      </c>
      <c r="N757" s="11">
        <f t="shared" si="23"/>
        <v>779.46999999925492</v>
      </c>
    </row>
    <row r="758" spans="3:14" x14ac:dyDescent="0.3">
      <c r="C758" s="6">
        <v>43963</v>
      </c>
      <c r="D758" s="7" t="s">
        <v>188</v>
      </c>
      <c r="E758" s="8">
        <v>2020</v>
      </c>
      <c r="F758" s="9" t="s">
        <v>70</v>
      </c>
      <c r="G758" s="9" t="s">
        <v>14</v>
      </c>
      <c r="H758" s="10" t="s">
        <v>18</v>
      </c>
      <c r="I758" s="7">
        <v>95</v>
      </c>
      <c r="J758" s="11">
        <v>16</v>
      </c>
      <c r="K758" s="11">
        <f t="shared" si="22"/>
        <v>1520</v>
      </c>
      <c r="L758" s="11">
        <v>0</v>
      </c>
      <c r="M758" s="11">
        <v>182.4</v>
      </c>
      <c r="N758" s="11">
        <f t="shared" si="23"/>
        <v>1702.4</v>
      </c>
    </row>
    <row r="759" spans="3:14" x14ac:dyDescent="0.3">
      <c r="C759" s="6">
        <v>43963</v>
      </c>
      <c r="D759" s="7" t="s">
        <v>188</v>
      </c>
      <c r="E759" s="8">
        <v>2020</v>
      </c>
      <c r="F759" s="9" t="s">
        <v>70</v>
      </c>
      <c r="G759" s="9" t="s">
        <v>24</v>
      </c>
      <c r="H759" s="10" t="s">
        <v>96</v>
      </c>
      <c r="I759" s="7">
        <v>64</v>
      </c>
      <c r="J759" s="11">
        <v>71</v>
      </c>
      <c r="K759" s="11">
        <f t="shared" si="22"/>
        <v>4544</v>
      </c>
      <c r="L759" s="11">
        <v>5.0000000745058101E-2</v>
      </c>
      <c r="M759" s="11">
        <v>545.28</v>
      </c>
      <c r="N759" s="11">
        <f t="shared" si="23"/>
        <v>5089.2299999992547</v>
      </c>
    </row>
    <row r="760" spans="3:14" x14ac:dyDescent="0.3">
      <c r="C760" s="6">
        <v>43963</v>
      </c>
      <c r="D760" s="7" t="s">
        <v>188</v>
      </c>
      <c r="E760" s="8">
        <v>2020</v>
      </c>
      <c r="F760" s="9" t="s">
        <v>97</v>
      </c>
      <c r="G760" s="9" t="s">
        <v>24</v>
      </c>
      <c r="H760" s="10" t="s">
        <v>69</v>
      </c>
      <c r="I760" s="7">
        <v>28</v>
      </c>
      <c r="J760" s="11">
        <v>32</v>
      </c>
      <c r="K760" s="11">
        <f t="shared" si="22"/>
        <v>896</v>
      </c>
      <c r="L760" s="11">
        <v>0</v>
      </c>
      <c r="M760" s="11">
        <v>107.52</v>
      </c>
      <c r="N760" s="11">
        <f t="shared" si="23"/>
        <v>1003.52</v>
      </c>
    </row>
    <row r="761" spans="3:14" x14ac:dyDescent="0.3">
      <c r="C761" s="6">
        <v>43963</v>
      </c>
      <c r="D761" s="7" t="s">
        <v>188</v>
      </c>
      <c r="E761" s="8">
        <v>2020</v>
      </c>
      <c r="F761" s="9" t="s">
        <v>97</v>
      </c>
      <c r="G761" s="9" t="s">
        <v>24</v>
      </c>
      <c r="H761" s="10" t="s">
        <v>76</v>
      </c>
      <c r="I761" s="7">
        <v>79</v>
      </c>
      <c r="J761" s="11">
        <v>68</v>
      </c>
      <c r="K761" s="11">
        <f t="shared" si="22"/>
        <v>5372</v>
      </c>
      <c r="L761" s="11">
        <v>0.20000000298023199</v>
      </c>
      <c r="M761" s="11">
        <v>644.64</v>
      </c>
      <c r="N761" s="11">
        <f t="shared" si="23"/>
        <v>6016.4399999970201</v>
      </c>
    </row>
    <row r="762" spans="3:14" x14ac:dyDescent="0.3">
      <c r="C762" s="6">
        <v>43963</v>
      </c>
      <c r="D762" s="7" t="s">
        <v>188</v>
      </c>
      <c r="E762" s="8">
        <v>2020</v>
      </c>
      <c r="F762" s="9" t="s">
        <v>97</v>
      </c>
      <c r="G762" s="9" t="s">
        <v>42</v>
      </c>
      <c r="H762" s="10" t="s">
        <v>109</v>
      </c>
      <c r="I762" s="7">
        <v>73</v>
      </c>
      <c r="J762" s="11">
        <v>72</v>
      </c>
      <c r="K762" s="11">
        <f t="shared" si="22"/>
        <v>5256</v>
      </c>
      <c r="L762" s="11">
        <v>0.20000000298023199</v>
      </c>
      <c r="M762" s="11">
        <v>630.72</v>
      </c>
      <c r="N762" s="11">
        <f t="shared" si="23"/>
        <v>5886.51999999702</v>
      </c>
    </row>
    <row r="763" spans="3:14" x14ac:dyDescent="0.3">
      <c r="C763" s="6">
        <v>43964</v>
      </c>
      <c r="D763" s="7" t="s">
        <v>188</v>
      </c>
      <c r="E763" s="8">
        <v>2020</v>
      </c>
      <c r="F763" s="9" t="s">
        <v>157</v>
      </c>
      <c r="G763" s="9" t="s">
        <v>14</v>
      </c>
      <c r="H763" s="10" t="s">
        <v>15</v>
      </c>
      <c r="I763" s="7">
        <v>28</v>
      </c>
      <c r="J763" s="11">
        <v>49</v>
      </c>
      <c r="K763" s="11">
        <f t="shared" si="22"/>
        <v>1372</v>
      </c>
      <c r="L763" s="11">
        <v>0.10000000149011599</v>
      </c>
      <c r="M763" s="11">
        <v>164.64</v>
      </c>
      <c r="N763" s="11">
        <f t="shared" si="23"/>
        <v>1536.5399999985098</v>
      </c>
    </row>
    <row r="764" spans="3:14" x14ac:dyDescent="0.3">
      <c r="C764" s="6">
        <v>43964</v>
      </c>
      <c r="D764" s="7" t="s">
        <v>188</v>
      </c>
      <c r="E764" s="8">
        <v>2020</v>
      </c>
      <c r="F764" s="9" t="s">
        <v>157</v>
      </c>
      <c r="G764" s="9" t="s">
        <v>24</v>
      </c>
      <c r="H764" s="10" t="s">
        <v>76</v>
      </c>
      <c r="I764" s="7">
        <v>60</v>
      </c>
      <c r="J764" s="11">
        <v>69</v>
      </c>
      <c r="K764" s="11">
        <f t="shared" si="22"/>
        <v>4140</v>
      </c>
      <c r="L764" s="11">
        <v>0.10000000149011599</v>
      </c>
      <c r="M764" s="11">
        <v>496.79999999999995</v>
      </c>
      <c r="N764" s="11">
        <f t="shared" si="23"/>
        <v>4636.6999999985101</v>
      </c>
    </row>
    <row r="765" spans="3:14" x14ac:dyDescent="0.3">
      <c r="C765" s="6">
        <v>43964</v>
      </c>
      <c r="D765" s="7" t="s">
        <v>188</v>
      </c>
      <c r="E765" s="8">
        <v>2020</v>
      </c>
      <c r="F765" s="9" t="s">
        <v>157</v>
      </c>
      <c r="G765" s="9" t="s">
        <v>16</v>
      </c>
      <c r="H765" s="10" t="s">
        <v>30</v>
      </c>
      <c r="I765" s="7">
        <v>12</v>
      </c>
      <c r="J765" s="11">
        <v>62</v>
      </c>
      <c r="K765" s="11">
        <f t="shared" si="22"/>
        <v>744</v>
      </c>
      <c r="L765" s="11">
        <v>0.10000000149011599</v>
      </c>
      <c r="M765" s="11">
        <v>89.28</v>
      </c>
      <c r="N765" s="11">
        <f t="shared" si="23"/>
        <v>833.17999999850986</v>
      </c>
    </row>
    <row r="766" spans="3:14" x14ac:dyDescent="0.3">
      <c r="C766" s="6">
        <v>43964</v>
      </c>
      <c r="D766" s="7" t="s">
        <v>188</v>
      </c>
      <c r="E766" s="8">
        <v>2020</v>
      </c>
      <c r="F766" s="9" t="s">
        <v>157</v>
      </c>
      <c r="G766" s="9" t="s">
        <v>14</v>
      </c>
      <c r="H766" s="10" t="s">
        <v>49</v>
      </c>
      <c r="I766" s="7">
        <v>5</v>
      </c>
      <c r="J766" s="11">
        <v>95</v>
      </c>
      <c r="K766" s="11">
        <f t="shared" si="22"/>
        <v>475</v>
      </c>
      <c r="L766" s="11">
        <v>0.10000000149011599</v>
      </c>
      <c r="M766" s="11">
        <v>57</v>
      </c>
      <c r="N766" s="11">
        <f t="shared" si="23"/>
        <v>531.89999999850988</v>
      </c>
    </row>
    <row r="767" spans="3:14" x14ac:dyDescent="0.3">
      <c r="C767" s="6">
        <v>43965</v>
      </c>
      <c r="D767" s="7" t="s">
        <v>188</v>
      </c>
      <c r="E767" s="8">
        <v>2020</v>
      </c>
      <c r="F767" s="9" t="s">
        <v>97</v>
      </c>
      <c r="G767" s="9" t="s">
        <v>14</v>
      </c>
      <c r="H767" s="10" t="s">
        <v>74</v>
      </c>
      <c r="I767" s="7">
        <v>39</v>
      </c>
      <c r="J767" s="11">
        <v>81</v>
      </c>
      <c r="K767" s="11">
        <f t="shared" si="22"/>
        <v>3159</v>
      </c>
      <c r="L767" s="11">
        <v>0.25</v>
      </c>
      <c r="M767" s="11">
        <v>379.08</v>
      </c>
      <c r="N767" s="11">
        <f t="shared" si="23"/>
        <v>3537.83</v>
      </c>
    </row>
    <row r="768" spans="3:14" x14ac:dyDescent="0.3">
      <c r="C768" s="6">
        <v>43965</v>
      </c>
      <c r="D768" s="7" t="s">
        <v>188</v>
      </c>
      <c r="E768" s="8">
        <v>2020</v>
      </c>
      <c r="F768" s="9" t="s">
        <v>97</v>
      </c>
      <c r="G768" s="9" t="s">
        <v>14</v>
      </c>
      <c r="H768" s="10" t="s">
        <v>36</v>
      </c>
      <c r="I768" s="7">
        <v>28</v>
      </c>
      <c r="J768" s="11">
        <v>66</v>
      </c>
      <c r="K768" s="11">
        <f t="shared" si="22"/>
        <v>1848</v>
      </c>
      <c r="L768" s="11">
        <v>0</v>
      </c>
      <c r="M768" s="11">
        <v>221.76</v>
      </c>
      <c r="N768" s="11">
        <f t="shared" si="23"/>
        <v>2069.7600000000002</v>
      </c>
    </row>
    <row r="769" spans="3:14" x14ac:dyDescent="0.3">
      <c r="C769" s="6">
        <v>43965</v>
      </c>
      <c r="D769" s="7" t="s">
        <v>188</v>
      </c>
      <c r="E769" s="8">
        <v>2020</v>
      </c>
      <c r="F769" s="9" t="s">
        <v>97</v>
      </c>
      <c r="G769" s="9" t="s">
        <v>14</v>
      </c>
      <c r="H769" s="10" t="s">
        <v>34</v>
      </c>
      <c r="I769" s="7">
        <v>6</v>
      </c>
      <c r="J769" s="11">
        <v>93</v>
      </c>
      <c r="K769" s="11">
        <f t="shared" si="22"/>
        <v>558</v>
      </c>
      <c r="L769" s="11">
        <v>0</v>
      </c>
      <c r="M769" s="11">
        <v>66.959999999999994</v>
      </c>
      <c r="N769" s="11">
        <f t="shared" si="23"/>
        <v>624.96</v>
      </c>
    </row>
    <row r="770" spans="3:14" x14ac:dyDescent="0.3">
      <c r="C770" s="6">
        <v>43965</v>
      </c>
      <c r="D770" s="7" t="s">
        <v>188</v>
      </c>
      <c r="E770" s="8">
        <v>2020</v>
      </c>
      <c r="F770" s="9" t="s">
        <v>97</v>
      </c>
      <c r="G770" s="9" t="s">
        <v>14</v>
      </c>
      <c r="H770" s="10" t="s">
        <v>35</v>
      </c>
      <c r="I770" s="7">
        <v>70</v>
      </c>
      <c r="J770" s="11">
        <v>55</v>
      </c>
      <c r="K770" s="11">
        <f t="shared" si="22"/>
        <v>3850</v>
      </c>
      <c r="L770" s="11">
        <v>0.25</v>
      </c>
      <c r="M770" s="11">
        <v>462</v>
      </c>
      <c r="N770" s="11">
        <f t="shared" si="23"/>
        <v>4311.75</v>
      </c>
    </row>
    <row r="771" spans="3:14" x14ac:dyDescent="0.3">
      <c r="C771" s="6">
        <v>43965</v>
      </c>
      <c r="D771" s="7" t="s">
        <v>188</v>
      </c>
      <c r="E771" s="8">
        <v>2020</v>
      </c>
      <c r="F771" s="9" t="s">
        <v>45</v>
      </c>
      <c r="G771" s="9" t="s">
        <v>14</v>
      </c>
      <c r="H771" s="10" t="s">
        <v>36</v>
      </c>
      <c r="I771" s="7">
        <v>87</v>
      </c>
      <c r="J771" s="11">
        <v>42</v>
      </c>
      <c r="K771" s="11">
        <f t="shared" ref="K771:K834" si="24">J771*I771</f>
        <v>3654</v>
      </c>
      <c r="L771" s="11">
        <v>0</v>
      </c>
      <c r="M771" s="11">
        <v>438.47999999999996</v>
      </c>
      <c r="N771" s="11">
        <f t="shared" ref="N771:N834" si="25">K771-L771+M771</f>
        <v>4092.48</v>
      </c>
    </row>
    <row r="772" spans="3:14" x14ac:dyDescent="0.3">
      <c r="C772" s="6">
        <v>43965</v>
      </c>
      <c r="D772" s="7" t="s">
        <v>188</v>
      </c>
      <c r="E772" s="8">
        <v>2020</v>
      </c>
      <c r="F772" s="9" t="s">
        <v>45</v>
      </c>
      <c r="G772" s="9" t="s">
        <v>20</v>
      </c>
      <c r="H772" s="10" t="s">
        <v>22</v>
      </c>
      <c r="I772" s="7">
        <v>66</v>
      </c>
      <c r="J772" s="11">
        <v>39</v>
      </c>
      <c r="K772" s="11">
        <f t="shared" si="24"/>
        <v>2574</v>
      </c>
      <c r="L772" s="11">
        <v>0</v>
      </c>
      <c r="M772" s="11">
        <v>308.88</v>
      </c>
      <c r="N772" s="11">
        <f t="shared" si="25"/>
        <v>2882.88</v>
      </c>
    </row>
    <row r="773" spans="3:14" x14ac:dyDescent="0.3">
      <c r="C773" s="6">
        <v>43965</v>
      </c>
      <c r="D773" s="7" t="s">
        <v>188</v>
      </c>
      <c r="E773" s="8">
        <v>2020</v>
      </c>
      <c r="F773" s="9" t="s">
        <v>45</v>
      </c>
      <c r="G773" s="9" t="s">
        <v>24</v>
      </c>
      <c r="H773" s="10" t="s">
        <v>128</v>
      </c>
      <c r="I773" s="7">
        <v>97</v>
      </c>
      <c r="J773" s="11">
        <v>46</v>
      </c>
      <c r="K773" s="11">
        <f t="shared" si="24"/>
        <v>4462</v>
      </c>
      <c r="L773" s="11">
        <v>0</v>
      </c>
      <c r="M773" s="11">
        <v>535.43999999999994</v>
      </c>
      <c r="N773" s="11">
        <f t="shared" si="25"/>
        <v>4997.4399999999996</v>
      </c>
    </row>
    <row r="774" spans="3:14" x14ac:dyDescent="0.3">
      <c r="C774" s="6">
        <v>43965</v>
      </c>
      <c r="D774" s="7" t="s">
        <v>188</v>
      </c>
      <c r="E774" s="8">
        <v>2020</v>
      </c>
      <c r="F774" s="9" t="s">
        <v>45</v>
      </c>
      <c r="G774" s="9" t="s">
        <v>14</v>
      </c>
      <c r="H774" s="10" t="s">
        <v>18</v>
      </c>
      <c r="I774" s="7">
        <v>93</v>
      </c>
      <c r="J774" s="11">
        <v>91</v>
      </c>
      <c r="K774" s="11">
        <f t="shared" si="24"/>
        <v>8463</v>
      </c>
      <c r="L774" s="11">
        <v>0</v>
      </c>
      <c r="M774" s="11">
        <v>1015.56</v>
      </c>
      <c r="N774" s="11">
        <f t="shared" si="25"/>
        <v>9478.56</v>
      </c>
    </row>
    <row r="775" spans="3:14" x14ac:dyDescent="0.3">
      <c r="C775" s="6">
        <v>43965</v>
      </c>
      <c r="D775" s="7" t="s">
        <v>188</v>
      </c>
      <c r="E775" s="8">
        <v>2020</v>
      </c>
      <c r="F775" s="9" t="s">
        <v>45</v>
      </c>
      <c r="G775" s="9" t="s">
        <v>24</v>
      </c>
      <c r="H775" s="10" t="s">
        <v>96</v>
      </c>
      <c r="I775" s="7">
        <v>68</v>
      </c>
      <c r="J775" s="11">
        <v>55</v>
      </c>
      <c r="K775" s="11">
        <f t="shared" si="24"/>
        <v>3740</v>
      </c>
      <c r="L775" s="11">
        <v>0</v>
      </c>
      <c r="M775" s="11">
        <v>448.8</v>
      </c>
      <c r="N775" s="11">
        <f t="shared" si="25"/>
        <v>4188.8</v>
      </c>
    </row>
    <row r="776" spans="3:14" x14ac:dyDescent="0.3">
      <c r="C776" s="6">
        <v>43966</v>
      </c>
      <c r="D776" s="7" t="s">
        <v>188</v>
      </c>
      <c r="E776" s="8">
        <v>2020</v>
      </c>
      <c r="F776" s="9" t="s">
        <v>111</v>
      </c>
      <c r="G776" s="9" t="s">
        <v>37</v>
      </c>
      <c r="H776" s="10" t="s">
        <v>63</v>
      </c>
      <c r="I776" s="7">
        <v>76</v>
      </c>
      <c r="J776" s="11">
        <v>35</v>
      </c>
      <c r="K776" s="11">
        <f t="shared" si="24"/>
        <v>2660</v>
      </c>
      <c r="L776" s="11">
        <v>0</v>
      </c>
      <c r="M776" s="11">
        <v>319.2</v>
      </c>
      <c r="N776" s="11">
        <f t="shared" si="25"/>
        <v>2979.2</v>
      </c>
    </row>
    <row r="777" spans="3:14" x14ac:dyDescent="0.3">
      <c r="C777" s="6">
        <v>43966</v>
      </c>
      <c r="D777" s="7" t="s">
        <v>188</v>
      </c>
      <c r="E777" s="8">
        <v>2020</v>
      </c>
      <c r="F777" s="9" t="s">
        <v>111</v>
      </c>
      <c r="G777" s="9" t="s">
        <v>14</v>
      </c>
      <c r="H777" s="10" t="s">
        <v>18</v>
      </c>
      <c r="I777" s="7">
        <v>74</v>
      </c>
      <c r="J777" s="11">
        <v>23</v>
      </c>
      <c r="K777" s="11">
        <f t="shared" si="24"/>
        <v>1702</v>
      </c>
      <c r="L777" s="11">
        <v>0</v>
      </c>
      <c r="M777" s="11">
        <v>204.23999999999998</v>
      </c>
      <c r="N777" s="11">
        <f t="shared" si="25"/>
        <v>1906.24</v>
      </c>
    </row>
    <row r="778" spans="3:14" x14ac:dyDescent="0.3">
      <c r="C778" s="6">
        <v>43967</v>
      </c>
      <c r="D778" s="7" t="s">
        <v>188</v>
      </c>
      <c r="E778" s="8">
        <v>2020</v>
      </c>
      <c r="F778" s="9" t="s">
        <v>111</v>
      </c>
      <c r="G778" s="9" t="s">
        <v>24</v>
      </c>
      <c r="H778" s="10" t="s">
        <v>90</v>
      </c>
      <c r="I778" s="7">
        <v>4</v>
      </c>
      <c r="J778" s="11">
        <v>98</v>
      </c>
      <c r="K778" s="11">
        <f t="shared" si="24"/>
        <v>392</v>
      </c>
      <c r="L778" s="11">
        <v>0</v>
      </c>
      <c r="M778" s="11">
        <v>47.04</v>
      </c>
      <c r="N778" s="11">
        <f t="shared" si="25"/>
        <v>439.04</v>
      </c>
    </row>
    <row r="779" spans="3:14" x14ac:dyDescent="0.3">
      <c r="C779" s="6">
        <v>43967</v>
      </c>
      <c r="D779" s="7" t="s">
        <v>188</v>
      </c>
      <c r="E779" s="8">
        <v>2020</v>
      </c>
      <c r="F779" s="9" t="s">
        <v>111</v>
      </c>
      <c r="G779" s="9" t="s">
        <v>32</v>
      </c>
      <c r="H779" s="10" t="s">
        <v>59</v>
      </c>
      <c r="I779" s="7">
        <v>6</v>
      </c>
      <c r="J779" s="11">
        <v>39</v>
      </c>
      <c r="K779" s="11">
        <f t="shared" si="24"/>
        <v>234</v>
      </c>
      <c r="L779" s="11">
        <v>0</v>
      </c>
      <c r="M779" s="11">
        <v>28.08</v>
      </c>
      <c r="N779" s="11">
        <f t="shared" si="25"/>
        <v>262.08</v>
      </c>
    </row>
    <row r="780" spans="3:14" x14ac:dyDescent="0.3">
      <c r="C780" s="6">
        <v>43967</v>
      </c>
      <c r="D780" s="7" t="s">
        <v>188</v>
      </c>
      <c r="E780" s="8">
        <v>2020</v>
      </c>
      <c r="F780" s="9" t="s">
        <v>111</v>
      </c>
      <c r="G780" s="9" t="s">
        <v>14</v>
      </c>
      <c r="H780" s="10" t="s">
        <v>34</v>
      </c>
      <c r="I780" s="7">
        <v>98</v>
      </c>
      <c r="J780" s="11">
        <v>88</v>
      </c>
      <c r="K780" s="11">
        <f t="shared" si="24"/>
        <v>8624</v>
      </c>
      <c r="L780" s="11">
        <v>0</v>
      </c>
      <c r="M780" s="11">
        <v>1034.8799999999999</v>
      </c>
      <c r="N780" s="11">
        <f t="shared" si="25"/>
        <v>9658.8799999999992</v>
      </c>
    </row>
    <row r="781" spans="3:14" x14ac:dyDescent="0.3">
      <c r="C781" s="6">
        <v>43967</v>
      </c>
      <c r="D781" s="7" t="s">
        <v>188</v>
      </c>
      <c r="E781" s="8">
        <v>2020</v>
      </c>
      <c r="F781" s="9" t="s">
        <v>111</v>
      </c>
      <c r="G781" s="9" t="s">
        <v>32</v>
      </c>
      <c r="H781" s="10" t="s">
        <v>39</v>
      </c>
      <c r="I781" s="7">
        <v>45</v>
      </c>
      <c r="J781" s="11">
        <v>84</v>
      </c>
      <c r="K781" s="11">
        <f t="shared" si="24"/>
        <v>3780</v>
      </c>
      <c r="L781" s="11">
        <v>0</v>
      </c>
      <c r="M781" s="11">
        <v>453.59999999999997</v>
      </c>
      <c r="N781" s="11">
        <f t="shared" si="25"/>
        <v>4233.6000000000004</v>
      </c>
    </row>
    <row r="782" spans="3:14" x14ac:dyDescent="0.3">
      <c r="C782" s="6">
        <v>43970</v>
      </c>
      <c r="D782" s="7" t="s">
        <v>188</v>
      </c>
      <c r="E782" s="8">
        <v>2020</v>
      </c>
      <c r="F782" s="9" t="s">
        <v>84</v>
      </c>
      <c r="G782" s="9" t="s">
        <v>26</v>
      </c>
      <c r="H782" s="10" t="s">
        <v>112</v>
      </c>
      <c r="I782" s="7">
        <v>55</v>
      </c>
      <c r="J782" s="11">
        <v>81</v>
      </c>
      <c r="K782" s="11">
        <f t="shared" si="24"/>
        <v>4455</v>
      </c>
      <c r="L782" s="11">
        <v>0</v>
      </c>
      <c r="M782" s="11">
        <v>534.6</v>
      </c>
      <c r="N782" s="11">
        <f t="shared" si="25"/>
        <v>4989.6000000000004</v>
      </c>
    </row>
    <row r="783" spans="3:14" x14ac:dyDescent="0.3">
      <c r="C783" s="6">
        <v>43970</v>
      </c>
      <c r="D783" s="7" t="s">
        <v>188</v>
      </c>
      <c r="E783" s="8">
        <v>2020</v>
      </c>
      <c r="F783" s="9" t="s">
        <v>84</v>
      </c>
      <c r="G783" s="9" t="s">
        <v>32</v>
      </c>
      <c r="H783" s="10" t="s">
        <v>140</v>
      </c>
      <c r="I783" s="7">
        <v>100</v>
      </c>
      <c r="J783" s="11">
        <v>18</v>
      </c>
      <c r="K783" s="11">
        <f t="shared" si="24"/>
        <v>1800</v>
      </c>
      <c r="L783" s="11">
        <v>0</v>
      </c>
      <c r="M783" s="11">
        <v>216</v>
      </c>
      <c r="N783" s="11">
        <f t="shared" si="25"/>
        <v>2016</v>
      </c>
    </row>
    <row r="784" spans="3:14" x14ac:dyDescent="0.3">
      <c r="C784" s="6">
        <v>43970</v>
      </c>
      <c r="D784" s="7" t="s">
        <v>188</v>
      </c>
      <c r="E784" s="8">
        <v>2020</v>
      </c>
      <c r="F784" s="9" t="s">
        <v>84</v>
      </c>
      <c r="G784" s="9" t="s">
        <v>37</v>
      </c>
      <c r="H784" s="10" t="s">
        <v>139</v>
      </c>
      <c r="I784" s="7">
        <v>48</v>
      </c>
      <c r="J784" s="11">
        <v>19</v>
      </c>
      <c r="K784" s="11">
        <f t="shared" si="24"/>
        <v>912</v>
      </c>
      <c r="L784" s="11">
        <v>0</v>
      </c>
      <c r="M784" s="11">
        <v>109.44</v>
      </c>
      <c r="N784" s="11">
        <f t="shared" si="25"/>
        <v>1021.44</v>
      </c>
    </row>
    <row r="785" spans="3:14" x14ac:dyDescent="0.3">
      <c r="C785" s="6">
        <v>43970</v>
      </c>
      <c r="D785" s="7" t="s">
        <v>188</v>
      </c>
      <c r="E785" s="8">
        <v>2020</v>
      </c>
      <c r="F785" s="9" t="s">
        <v>84</v>
      </c>
      <c r="G785" s="9" t="s">
        <v>32</v>
      </c>
      <c r="H785" s="10" t="s">
        <v>110</v>
      </c>
      <c r="I785" s="7">
        <v>32</v>
      </c>
      <c r="J785" s="11">
        <v>100</v>
      </c>
      <c r="K785" s="11">
        <f t="shared" si="24"/>
        <v>3200</v>
      </c>
      <c r="L785" s="11">
        <v>0</v>
      </c>
      <c r="M785" s="11">
        <v>384</v>
      </c>
      <c r="N785" s="11">
        <f t="shared" si="25"/>
        <v>3584</v>
      </c>
    </row>
    <row r="786" spans="3:14" x14ac:dyDescent="0.3">
      <c r="C786" s="6">
        <v>43970</v>
      </c>
      <c r="D786" s="7" t="s">
        <v>188</v>
      </c>
      <c r="E786" s="8">
        <v>2020</v>
      </c>
      <c r="F786" s="9" t="s">
        <v>23</v>
      </c>
      <c r="G786" s="9" t="s">
        <v>37</v>
      </c>
      <c r="H786" s="10" t="s">
        <v>41</v>
      </c>
      <c r="I786" s="7">
        <v>9</v>
      </c>
      <c r="J786" s="11">
        <v>83</v>
      </c>
      <c r="K786" s="11">
        <f t="shared" si="24"/>
        <v>747</v>
      </c>
      <c r="L786" s="11">
        <v>0.10000000149011599</v>
      </c>
      <c r="M786" s="11">
        <v>89.64</v>
      </c>
      <c r="N786" s="11">
        <f t="shared" si="25"/>
        <v>836.53999999850987</v>
      </c>
    </row>
    <row r="787" spans="3:14" x14ac:dyDescent="0.3">
      <c r="C787" s="6">
        <v>43970</v>
      </c>
      <c r="D787" s="7" t="s">
        <v>188</v>
      </c>
      <c r="E787" s="8">
        <v>2020</v>
      </c>
      <c r="F787" s="9" t="s">
        <v>23</v>
      </c>
      <c r="G787" s="9" t="s">
        <v>37</v>
      </c>
      <c r="H787" s="10" t="s">
        <v>139</v>
      </c>
      <c r="I787" s="7">
        <v>26</v>
      </c>
      <c r="J787" s="11">
        <v>93</v>
      </c>
      <c r="K787" s="11">
        <f t="shared" si="24"/>
        <v>2418</v>
      </c>
      <c r="L787" s="11">
        <v>0.10000000149011599</v>
      </c>
      <c r="M787" s="11">
        <v>290.15999999999997</v>
      </c>
      <c r="N787" s="11">
        <f t="shared" si="25"/>
        <v>2708.0599999985097</v>
      </c>
    </row>
    <row r="788" spans="3:14" x14ac:dyDescent="0.3">
      <c r="C788" s="6">
        <v>43970</v>
      </c>
      <c r="D788" s="7" t="s">
        <v>188</v>
      </c>
      <c r="E788" s="8">
        <v>2020</v>
      </c>
      <c r="F788" s="9" t="s">
        <v>23</v>
      </c>
      <c r="G788" s="9" t="s">
        <v>26</v>
      </c>
      <c r="H788" s="10" t="s">
        <v>27</v>
      </c>
      <c r="I788" s="7">
        <v>5</v>
      </c>
      <c r="J788" s="11">
        <v>86</v>
      </c>
      <c r="K788" s="11">
        <f t="shared" si="24"/>
        <v>430</v>
      </c>
      <c r="L788" s="11">
        <v>0.10000000149011599</v>
      </c>
      <c r="M788" s="11">
        <v>51.6</v>
      </c>
      <c r="N788" s="11">
        <f t="shared" si="25"/>
        <v>481.49999999850991</v>
      </c>
    </row>
    <row r="789" spans="3:14" x14ac:dyDescent="0.3">
      <c r="C789" s="6">
        <v>43970</v>
      </c>
      <c r="D789" s="7" t="s">
        <v>188</v>
      </c>
      <c r="E789" s="8">
        <v>2020</v>
      </c>
      <c r="F789" s="9" t="s">
        <v>23</v>
      </c>
      <c r="G789" s="9" t="s">
        <v>14</v>
      </c>
      <c r="H789" s="10" t="s">
        <v>87</v>
      </c>
      <c r="I789" s="7">
        <v>60</v>
      </c>
      <c r="J789" s="11">
        <v>88</v>
      </c>
      <c r="K789" s="11">
        <f t="shared" si="24"/>
        <v>5280</v>
      </c>
      <c r="L789" s="11">
        <v>0.10000000149011599</v>
      </c>
      <c r="M789" s="11">
        <v>633.6</v>
      </c>
      <c r="N789" s="11">
        <f t="shared" si="25"/>
        <v>5913.4999999985102</v>
      </c>
    </row>
    <row r="790" spans="3:14" x14ac:dyDescent="0.3">
      <c r="C790" s="6">
        <v>43971</v>
      </c>
      <c r="D790" s="7" t="s">
        <v>188</v>
      </c>
      <c r="E790" s="8">
        <v>2020</v>
      </c>
      <c r="F790" s="9" t="s">
        <v>133</v>
      </c>
      <c r="G790" s="9" t="s">
        <v>14</v>
      </c>
      <c r="H790" s="10" t="s">
        <v>15</v>
      </c>
      <c r="I790" s="7">
        <v>76</v>
      </c>
      <c r="J790" s="11">
        <v>87</v>
      </c>
      <c r="K790" s="11">
        <f t="shared" si="24"/>
        <v>6612</v>
      </c>
      <c r="L790" s="11">
        <v>5.0000000745058101E-2</v>
      </c>
      <c r="M790" s="11">
        <v>793.43999999999994</v>
      </c>
      <c r="N790" s="11">
        <f t="shared" si="25"/>
        <v>7405.3899999992545</v>
      </c>
    </row>
    <row r="791" spans="3:14" x14ac:dyDescent="0.3">
      <c r="C791" s="6">
        <v>43971</v>
      </c>
      <c r="D791" s="7" t="s">
        <v>188</v>
      </c>
      <c r="E791" s="8">
        <v>2020</v>
      </c>
      <c r="F791" s="9" t="s">
        <v>133</v>
      </c>
      <c r="G791" s="9" t="s">
        <v>42</v>
      </c>
      <c r="H791" s="10" t="s">
        <v>109</v>
      </c>
      <c r="I791" s="7">
        <v>41</v>
      </c>
      <c r="J791" s="11">
        <v>94</v>
      </c>
      <c r="K791" s="11">
        <f t="shared" si="24"/>
        <v>3854</v>
      </c>
      <c r="L791" s="11">
        <v>5.0000000745058101E-2</v>
      </c>
      <c r="M791" s="11">
        <v>462.47999999999996</v>
      </c>
      <c r="N791" s="11">
        <f t="shared" si="25"/>
        <v>4316.4299999992545</v>
      </c>
    </row>
    <row r="792" spans="3:14" x14ac:dyDescent="0.3">
      <c r="C792" s="6">
        <v>43972</v>
      </c>
      <c r="D792" s="7" t="s">
        <v>188</v>
      </c>
      <c r="E792" s="8">
        <v>2020</v>
      </c>
      <c r="F792" s="9" t="s">
        <v>101</v>
      </c>
      <c r="G792" s="9" t="s">
        <v>14</v>
      </c>
      <c r="H792" s="10" t="s">
        <v>74</v>
      </c>
      <c r="I792" s="7">
        <v>77</v>
      </c>
      <c r="J792" s="11">
        <v>61</v>
      </c>
      <c r="K792" s="11">
        <f t="shared" si="24"/>
        <v>4697</v>
      </c>
      <c r="L792" s="11">
        <v>0.15000000596046401</v>
      </c>
      <c r="M792" s="11">
        <v>563.64</v>
      </c>
      <c r="N792" s="11">
        <f t="shared" si="25"/>
        <v>5260.4899999940399</v>
      </c>
    </row>
    <row r="793" spans="3:14" x14ac:dyDescent="0.3">
      <c r="C793" s="6">
        <v>43972</v>
      </c>
      <c r="D793" s="7" t="s">
        <v>188</v>
      </c>
      <c r="E793" s="8">
        <v>2020</v>
      </c>
      <c r="F793" s="9" t="s">
        <v>101</v>
      </c>
      <c r="G793" s="9" t="s">
        <v>16</v>
      </c>
      <c r="H793" s="10" t="s">
        <v>145</v>
      </c>
      <c r="I793" s="7">
        <v>99</v>
      </c>
      <c r="J793" s="11">
        <v>15</v>
      </c>
      <c r="K793" s="11">
        <f t="shared" si="24"/>
        <v>1485</v>
      </c>
      <c r="L793" s="11">
        <v>0.15000000596046401</v>
      </c>
      <c r="M793" s="11">
        <v>178.2</v>
      </c>
      <c r="N793" s="11">
        <f t="shared" si="25"/>
        <v>1663.0499999940396</v>
      </c>
    </row>
    <row r="794" spans="3:14" x14ac:dyDescent="0.3">
      <c r="C794" s="6">
        <v>43972</v>
      </c>
      <c r="D794" s="7" t="s">
        <v>188</v>
      </c>
      <c r="E794" s="8">
        <v>2020</v>
      </c>
      <c r="F794" s="9" t="s">
        <v>122</v>
      </c>
      <c r="G794" s="9" t="s">
        <v>20</v>
      </c>
      <c r="H794" s="10" t="s">
        <v>92</v>
      </c>
      <c r="I794" s="7">
        <v>100</v>
      </c>
      <c r="J794" s="11">
        <v>42</v>
      </c>
      <c r="K794" s="11">
        <f t="shared" si="24"/>
        <v>4200</v>
      </c>
      <c r="L794" s="11">
        <v>0</v>
      </c>
      <c r="M794" s="11">
        <v>504</v>
      </c>
      <c r="N794" s="11">
        <f t="shared" si="25"/>
        <v>4704</v>
      </c>
    </row>
    <row r="795" spans="3:14" x14ac:dyDescent="0.3">
      <c r="C795" s="6">
        <v>43972</v>
      </c>
      <c r="D795" s="7" t="s">
        <v>188</v>
      </c>
      <c r="E795" s="8">
        <v>2020</v>
      </c>
      <c r="F795" s="9" t="s">
        <v>122</v>
      </c>
      <c r="G795" s="9" t="s">
        <v>37</v>
      </c>
      <c r="H795" s="10" t="s">
        <v>103</v>
      </c>
      <c r="I795" s="7">
        <v>21</v>
      </c>
      <c r="J795" s="11">
        <v>64</v>
      </c>
      <c r="K795" s="11">
        <f t="shared" si="24"/>
        <v>1344</v>
      </c>
      <c r="L795" s="11">
        <v>0</v>
      </c>
      <c r="M795" s="11">
        <v>161.28</v>
      </c>
      <c r="N795" s="11">
        <f t="shared" si="25"/>
        <v>1505.28</v>
      </c>
    </row>
    <row r="796" spans="3:14" x14ac:dyDescent="0.3">
      <c r="C796" s="6">
        <v>43973</v>
      </c>
      <c r="D796" s="7" t="s">
        <v>188</v>
      </c>
      <c r="E796" s="8">
        <v>2020</v>
      </c>
      <c r="F796" s="9" t="s">
        <v>182</v>
      </c>
      <c r="G796" s="9" t="s">
        <v>14</v>
      </c>
      <c r="H796" s="10" t="s">
        <v>15</v>
      </c>
      <c r="I796" s="7">
        <v>23</v>
      </c>
      <c r="J796" s="11">
        <v>26</v>
      </c>
      <c r="K796" s="11">
        <f t="shared" si="24"/>
        <v>598</v>
      </c>
      <c r="L796" s="11">
        <v>0</v>
      </c>
      <c r="M796" s="11">
        <v>71.759999999999991</v>
      </c>
      <c r="N796" s="11">
        <f t="shared" si="25"/>
        <v>669.76</v>
      </c>
    </row>
    <row r="797" spans="3:14" x14ac:dyDescent="0.3">
      <c r="C797" s="6">
        <v>43974</v>
      </c>
      <c r="D797" s="7" t="s">
        <v>188</v>
      </c>
      <c r="E797" s="8">
        <v>2020</v>
      </c>
      <c r="F797" s="9" t="s">
        <v>28</v>
      </c>
      <c r="G797" s="9" t="s">
        <v>20</v>
      </c>
      <c r="H797" s="10" t="s">
        <v>67</v>
      </c>
      <c r="I797" s="7">
        <v>93</v>
      </c>
      <c r="J797" s="11">
        <v>49</v>
      </c>
      <c r="K797" s="11">
        <f t="shared" si="24"/>
        <v>4557</v>
      </c>
      <c r="L797" s="11">
        <v>0</v>
      </c>
      <c r="M797" s="11">
        <v>546.84</v>
      </c>
      <c r="N797" s="11">
        <f t="shared" si="25"/>
        <v>5103.84</v>
      </c>
    </row>
    <row r="798" spans="3:14" x14ac:dyDescent="0.3">
      <c r="C798" s="6">
        <v>43974</v>
      </c>
      <c r="D798" s="7" t="s">
        <v>188</v>
      </c>
      <c r="E798" s="8">
        <v>2020</v>
      </c>
      <c r="F798" s="9" t="s">
        <v>28</v>
      </c>
      <c r="G798" s="9" t="s">
        <v>37</v>
      </c>
      <c r="H798" s="10" t="s">
        <v>65</v>
      </c>
      <c r="I798" s="7">
        <v>42</v>
      </c>
      <c r="J798" s="11">
        <v>28</v>
      </c>
      <c r="K798" s="11">
        <f t="shared" si="24"/>
        <v>1176</v>
      </c>
      <c r="L798" s="11">
        <v>0</v>
      </c>
      <c r="M798" s="11">
        <v>141.12</v>
      </c>
      <c r="N798" s="11">
        <f t="shared" si="25"/>
        <v>1317.12</v>
      </c>
    </row>
    <row r="799" spans="3:14" x14ac:dyDescent="0.3">
      <c r="C799" s="6">
        <v>43974</v>
      </c>
      <c r="D799" s="7" t="s">
        <v>188</v>
      </c>
      <c r="E799" s="8">
        <v>2020</v>
      </c>
      <c r="F799" s="9" t="s">
        <v>28</v>
      </c>
      <c r="G799" s="9" t="s">
        <v>32</v>
      </c>
      <c r="H799" s="10" t="s">
        <v>62</v>
      </c>
      <c r="I799" s="7">
        <v>84</v>
      </c>
      <c r="J799" s="11">
        <v>48</v>
      </c>
      <c r="K799" s="11">
        <f t="shared" si="24"/>
        <v>4032</v>
      </c>
      <c r="L799" s="11">
        <v>0</v>
      </c>
      <c r="M799" s="11">
        <v>483.84</v>
      </c>
      <c r="N799" s="11">
        <f t="shared" si="25"/>
        <v>4515.84</v>
      </c>
    </row>
    <row r="800" spans="3:14" x14ac:dyDescent="0.3">
      <c r="C800" s="6">
        <v>43974</v>
      </c>
      <c r="D800" s="7" t="s">
        <v>188</v>
      </c>
      <c r="E800" s="8">
        <v>2020</v>
      </c>
      <c r="F800" s="9" t="s">
        <v>154</v>
      </c>
      <c r="G800" s="9" t="s">
        <v>14</v>
      </c>
      <c r="H800" s="10" t="s">
        <v>57</v>
      </c>
      <c r="I800" s="7">
        <v>18</v>
      </c>
      <c r="J800" s="11">
        <v>48</v>
      </c>
      <c r="K800" s="11">
        <f t="shared" si="24"/>
        <v>864</v>
      </c>
      <c r="L800" s="11">
        <v>0.15000000596046401</v>
      </c>
      <c r="M800" s="11">
        <v>103.67999999999999</v>
      </c>
      <c r="N800" s="11">
        <f t="shared" si="25"/>
        <v>967.52999999403949</v>
      </c>
    </row>
    <row r="801" spans="3:14" x14ac:dyDescent="0.3">
      <c r="C801" s="6">
        <v>43974</v>
      </c>
      <c r="D801" s="7" t="s">
        <v>188</v>
      </c>
      <c r="E801" s="8">
        <v>2020</v>
      </c>
      <c r="F801" s="9" t="s">
        <v>154</v>
      </c>
      <c r="G801" s="9" t="s">
        <v>24</v>
      </c>
      <c r="H801" s="10" t="s">
        <v>48</v>
      </c>
      <c r="I801" s="7">
        <v>59</v>
      </c>
      <c r="J801" s="11">
        <v>11</v>
      </c>
      <c r="K801" s="11">
        <f t="shared" si="24"/>
        <v>649</v>
      </c>
      <c r="L801" s="11">
        <v>0</v>
      </c>
      <c r="M801" s="11">
        <v>77.88</v>
      </c>
      <c r="N801" s="11">
        <f t="shared" si="25"/>
        <v>726.88</v>
      </c>
    </row>
    <row r="802" spans="3:14" x14ac:dyDescent="0.3">
      <c r="C802" s="6">
        <v>43977</v>
      </c>
      <c r="D802" s="7" t="s">
        <v>188</v>
      </c>
      <c r="E802" s="8">
        <v>2020</v>
      </c>
      <c r="F802" s="9" t="s">
        <v>179</v>
      </c>
      <c r="G802" s="9" t="s">
        <v>37</v>
      </c>
      <c r="H802" s="10" t="s">
        <v>106</v>
      </c>
      <c r="I802" s="7">
        <v>23</v>
      </c>
      <c r="J802" s="11">
        <v>13</v>
      </c>
      <c r="K802" s="11">
        <f t="shared" si="24"/>
        <v>299</v>
      </c>
      <c r="L802" s="11">
        <v>0.25</v>
      </c>
      <c r="M802" s="11">
        <v>35.879999999999995</v>
      </c>
      <c r="N802" s="11">
        <f t="shared" si="25"/>
        <v>334.63</v>
      </c>
    </row>
    <row r="803" spans="3:14" x14ac:dyDescent="0.3">
      <c r="C803" s="6">
        <v>43977</v>
      </c>
      <c r="D803" s="7" t="s">
        <v>188</v>
      </c>
      <c r="E803" s="8">
        <v>2020</v>
      </c>
      <c r="F803" s="9" t="s">
        <v>179</v>
      </c>
      <c r="G803" s="9" t="s">
        <v>24</v>
      </c>
      <c r="H803" s="10" t="s">
        <v>25</v>
      </c>
      <c r="I803" s="7">
        <v>87</v>
      </c>
      <c r="J803" s="11">
        <v>11</v>
      </c>
      <c r="K803" s="11">
        <f t="shared" si="24"/>
        <v>957</v>
      </c>
      <c r="L803" s="11">
        <v>0</v>
      </c>
      <c r="M803" s="11">
        <v>114.83999999999999</v>
      </c>
      <c r="N803" s="11">
        <f t="shared" si="25"/>
        <v>1071.8399999999999</v>
      </c>
    </row>
    <row r="804" spans="3:14" x14ac:dyDescent="0.3">
      <c r="C804" s="6">
        <v>43978</v>
      </c>
      <c r="D804" s="7" t="s">
        <v>188</v>
      </c>
      <c r="E804" s="8">
        <v>2020</v>
      </c>
      <c r="F804" s="9" t="s">
        <v>84</v>
      </c>
      <c r="G804" s="9" t="s">
        <v>14</v>
      </c>
      <c r="H804" s="10" t="s">
        <v>36</v>
      </c>
      <c r="I804" s="7">
        <v>3</v>
      </c>
      <c r="J804" s="11">
        <v>53</v>
      </c>
      <c r="K804" s="11">
        <f t="shared" si="24"/>
        <v>159</v>
      </c>
      <c r="L804" s="11">
        <v>0.15000000596046401</v>
      </c>
      <c r="M804" s="11">
        <v>19.079999999999998</v>
      </c>
      <c r="N804" s="11">
        <f t="shared" si="25"/>
        <v>177.92999999403952</v>
      </c>
    </row>
    <row r="805" spans="3:14" x14ac:dyDescent="0.3">
      <c r="C805" s="6">
        <v>43978</v>
      </c>
      <c r="D805" s="7" t="s">
        <v>188</v>
      </c>
      <c r="E805" s="8">
        <v>2020</v>
      </c>
      <c r="F805" s="9" t="s">
        <v>84</v>
      </c>
      <c r="G805" s="9" t="s">
        <v>24</v>
      </c>
      <c r="H805" s="10" t="s">
        <v>165</v>
      </c>
      <c r="I805" s="7">
        <v>84</v>
      </c>
      <c r="J805" s="11">
        <v>47</v>
      </c>
      <c r="K805" s="11">
        <f t="shared" si="24"/>
        <v>3948</v>
      </c>
      <c r="L805" s="11">
        <v>0.15000000596046401</v>
      </c>
      <c r="M805" s="11">
        <v>473.76</v>
      </c>
      <c r="N805" s="11">
        <f t="shared" si="25"/>
        <v>4421.6099999940398</v>
      </c>
    </row>
    <row r="806" spans="3:14" x14ac:dyDescent="0.3">
      <c r="C806" s="6">
        <v>43978</v>
      </c>
      <c r="D806" s="7" t="s">
        <v>188</v>
      </c>
      <c r="E806" s="8">
        <v>2020</v>
      </c>
      <c r="F806" s="9" t="s">
        <v>84</v>
      </c>
      <c r="G806" s="9" t="s">
        <v>20</v>
      </c>
      <c r="H806" s="10" t="s">
        <v>22</v>
      </c>
      <c r="I806" s="7">
        <v>62</v>
      </c>
      <c r="J806" s="11">
        <v>53</v>
      </c>
      <c r="K806" s="11">
        <f t="shared" si="24"/>
        <v>3286</v>
      </c>
      <c r="L806" s="11">
        <v>0.15000000596046401</v>
      </c>
      <c r="M806" s="11">
        <v>394.32</v>
      </c>
      <c r="N806" s="11">
        <f t="shared" si="25"/>
        <v>3680.1699999940397</v>
      </c>
    </row>
    <row r="807" spans="3:14" x14ac:dyDescent="0.3">
      <c r="C807" s="6">
        <v>43979</v>
      </c>
      <c r="D807" s="7" t="s">
        <v>188</v>
      </c>
      <c r="E807" s="8">
        <v>2020</v>
      </c>
      <c r="F807" s="9" t="s">
        <v>121</v>
      </c>
      <c r="G807" s="9" t="s">
        <v>42</v>
      </c>
      <c r="H807" s="10" t="s">
        <v>72</v>
      </c>
      <c r="I807" s="7">
        <v>57</v>
      </c>
      <c r="J807" s="11">
        <v>66</v>
      </c>
      <c r="K807" s="11">
        <f t="shared" si="24"/>
        <v>3762</v>
      </c>
      <c r="L807" s="11">
        <v>0.10000000149011599</v>
      </c>
      <c r="M807" s="11">
        <v>451.44</v>
      </c>
      <c r="N807" s="11">
        <f t="shared" si="25"/>
        <v>4213.3399999985095</v>
      </c>
    </row>
    <row r="808" spans="3:14" x14ac:dyDescent="0.3">
      <c r="C808" s="6">
        <v>43979</v>
      </c>
      <c r="D808" s="7" t="s">
        <v>188</v>
      </c>
      <c r="E808" s="8">
        <v>2020</v>
      </c>
      <c r="F808" s="9" t="s">
        <v>121</v>
      </c>
      <c r="G808" s="9" t="s">
        <v>32</v>
      </c>
      <c r="H808" s="10" t="s">
        <v>100</v>
      </c>
      <c r="I808" s="7">
        <v>31</v>
      </c>
      <c r="J808" s="11">
        <v>55</v>
      </c>
      <c r="K808" s="11">
        <f t="shared" si="24"/>
        <v>1705</v>
      </c>
      <c r="L808" s="11">
        <v>0</v>
      </c>
      <c r="M808" s="11">
        <v>204.6</v>
      </c>
      <c r="N808" s="11">
        <f t="shared" si="25"/>
        <v>1909.6</v>
      </c>
    </row>
    <row r="809" spans="3:14" x14ac:dyDescent="0.3">
      <c r="C809" s="6">
        <v>43979</v>
      </c>
      <c r="D809" s="7" t="s">
        <v>188</v>
      </c>
      <c r="E809" s="8">
        <v>2020</v>
      </c>
      <c r="F809" s="9" t="s">
        <v>121</v>
      </c>
      <c r="G809" s="9" t="s">
        <v>32</v>
      </c>
      <c r="H809" s="10" t="s">
        <v>59</v>
      </c>
      <c r="I809" s="7">
        <v>94</v>
      </c>
      <c r="J809" s="11">
        <v>59</v>
      </c>
      <c r="K809" s="11">
        <f t="shared" si="24"/>
        <v>5546</v>
      </c>
      <c r="L809" s="11">
        <v>0.10000000149011599</v>
      </c>
      <c r="M809" s="11">
        <v>665.52</v>
      </c>
      <c r="N809" s="11">
        <f t="shared" si="25"/>
        <v>6211.4199999985103</v>
      </c>
    </row>
    <row r="810" spans="3:14" x14ac:dyDescent="0.3">
      <c r="C810" s="6">
        <v>43979</v>
      </c>
      <c r="D810" s="7" t="s">
        <v>188</v>
      </c>
      <c r="E810" s="8">
        <v>2020</v>
      </c>
      <c r="F810" s="9" t="s">
        <v>121</v>
      </c>
      <c r="G810" s="9" t="s">
        <v>26</v>
      </c>
      <c r="H810" s="10" t="s">
        <v>173</v>
      </c>
      <c r="I810" s="7">
        <v>63</v>
      </c>
      <c r="J810" s="11">
        <v>87</v>
      </c>
      <c r="K810" s="11">
        <f t="shared" si="24"/>
        <v>5481</v>
      </c>
      <c r="L810" s="11">
        <v>0.10000000149011599</v>
      </c>
      <c r="M810" s="11">
        <v>657.72</v>
      </c>
      <c r="N810" s="11">
        <f t="shared" si="25"/>
        <v>6138.6199999985101</v>
      </c>
    </row>
    <row r="811" spans="3:14" x14ac:dyDescent="0.3">
      <c r="C811" s="6">
        <v>43979</v>
      </c>
      <c r="D811" s="7" t="s">
        <v>188</v>
      </c>
      <c r="E811" s="8">
        <v>2020</v>
      </c>
      <c r="F811" s="9" t="s">
        <v>138</v>
      </c>
      <c r="G811" s="9" t="s">
        <v>32</v>
      </c>
      <c r="H811" s="10" t="s">
        <v>47</v>
      </c>
      <c r="I811" s="7">
        <v>95</v>
      </c>
      <c r="J811" s="11">
        <v>87</v>
      </c>
      <c r="K811" s="11">
        <f t="shared" si="24"/>
        <v>8265</v>
      </c>
      <c r="L811" s="11">
        <v>0.15000000596046401</v>
      </c>
      <c r="M811" s="11">
        <v>991.8</v>
      </c>
      <c r="N811" s="11">
        <f t="shared" si="25"/>
        <v>9256.6499999940388</v>
      </c>
    </row>
    <row r="812" spans="3:14" x14ac:dyDescent="0.3">
      <c r="C812" s="6">
        <v>43979</v>
      </c>
      <c r="D812" s="7" t="s">
        <v>188</v>
      </c>
      <c r="E812" s="8">
        <v>2020</v>
      </c>
      <c r="F812" s="9" t="s">
        <v>138</v>
      </c>
      <c r="G812" s="9" t="s">
        <v>37</v>
      </c>
      <c r="H812" s="10" t="s">
        <v>65</v>
      </c>
      <c r="I812" s="7">
        <v>57</v>
      </c>
      <c r="J812" s="11">
        <v>49</v>
      </c>
      <c r="K812" s="11">
        <f t="shared" si="24"/>
        <v>2793</v>
      </c>
      <c r="L812" s="11">
        <v>0.15000000596046401</v>
      </c>
      <c r="M812" s="11">
        <v>335.15999999999997</v>
      </c>
      <c r="N812" s="11">
        <f t="shared" si="25"/>
        <v>3128.0099999940394</v>
      </c>
    </row>
    <row r="813" spans="3:14" x14ac:dyDescent="0.3">
      <c r="C813" s="6">
        <v>43979</v>
      </c>
      <c r="D813" s="7" t="s">
        <v>188</v>
      </c>
      <c r="E813" s="8">
        <v>2020</v>
      </c>
      <c r="F813" s="9" t="s">
        <v>138</v>
      </c>
      <c r="G813" s="9" t="s">
        <v>26</v>
      </c>
      <c r="H813" s="10" t="s">
        <v>94</v>
      </c>
      <c r="I813" s="7">
        <v>41</v>
      </c>
      <c r="J813" s="11">
        <v>71</v>
      </c>
      <c r="K813" s="11">
        <f t="shared" si="24"/>
        <v>2911</v>
      </c>
      <c r="L813" s="11">
        <v>0</v>
      </c>
      <c r="M813" s="11">
        <v>349.32</v>
      </c>
      <c r="N813" s="11">
        <f t="shared" si="25"/>
        <v>3260.32</v>
      </c>
    </row>
    <row r="814" spans="3:14" x14ac:dyDescent="0.3">
      <c r="C814" s="6">
        <v>43980</v>
      </c>
      <c r="D814" s="7" t="s">
        <v>188</v>
      </c>
      <c r="E814" s="8">
        <v>2020</v>
      </c>
      <c r="F814" s="9" t="s">
        <v>53</v>
      </c>
      <c r="G814" s="9" t="s">
        <v>14</v>
      </c>
      <c r="H814" s="10" t="s">
        <v>117</v>
      </c>
      <c r="I814" s="7">
        <v>57</v>
      </c>
      <c r="J814" s="11">
        <v>84</v>
      </c>
      <c r="K814" s="11">
        <f t="shared" si="24"/>
        <v>4788</v>
      </c>
      <c r="L814" s="11">
        <v>0</v>
      </c>
      <c r="M814" s="11">
        <v>574.55999999999995</v>
      </c>
      <c r="N814" s="11">
        <f t="shared" si="25"/>
        <v>5362.5599999999995</v>
      </c>
    </row>
    <row r="815" spans="3:14" x14ac:dyDescent="0.3">
      <c r="C815" s="6">
        <v>43980</v>
      </c>
      <c r="D815" s="7" t="s">
        <v>188</v>
      </c>
      <c r="E815" s="8">
        <v>2020</v>
      </c>
      <c r="F815" s="9" t="s">
        <v>53</v>
      </c>
      <c r="G815" s="9" t="s">
        <v>37</v>
      </c>
      <c r="H815" s="10" t="s">
        <v>98</v>
      </c>
      <c r="I815" s="7">
        <v>99</v>
      </c>
      <c r="J815" s="11">
        <v>100</v>
      </c>
      <c r="K815" s="11">
        <f t="shared" si="24"/>
        <v>9900</v>
      </c>
      <c r="L815" s="11">
        <v>0</v>
      </c>
      <c r="M815" s="11">
        <v>1188</v>
      </c>
      <c r="N815" s="11">
        <f t="shared" si="25"/>
        <v>11088</v>
      </c>
    </row>
    <row r="816" spans="3:14" x14ac:dyDescent="0.3">
      <c r="C816" s="6">
        <v>43981</v>
      </c>
      <c r="D816" s="7" t="s">
        <v>188</v>
      </c>
      <c r="E816" s="8">
        <v>2020</v>
      </c>
      <c r="F816" s="9" t="s">
        <v>73</v>
      </c>
      <c r="G816" s="9" t="s">
        <v>14</v>
      </c>
      <c r="H816" s="10" t="s">
        <v>15</v>
      </c>
      <c r="I816" s="7">
        <v>61</v>
      </c>
      <c r="J816" s="11">
        <v>40</v>
      </c>
      <c r="K816" s="11">
        <f t="shared" si="24"/>
        <v>2440</v>
      </c>
      <c r="L816" s="11">
        <v>0</v>
      </c>
      <c r="M816" s="11">
        <v>292.8</v>
      </c>
      <c r="N816" s="11">
        <f t="shared" si="25"/>
        <v>2732.8</v>
      </c>
    </row>
    <row r="817" spans="3:14" x14ac:dyDescent="0.3">
      <c r="C817" s="6">
        <v>43981</v>
      </c>
      <c r="D817" s="7" t="s">
        <v>188</v>
      </c>
      <c r="E817" s="8">
        <v>2020</v>
      </c>
      <c r="F817" s="9" t="s">
        <v>73</v>
      </c>
      <c r="G817" s="9" t="s">
        <v>32</v>
      </c>
      <c r="H817" s="10" t="s">
        <v>47</v>
      </c>
      <c r="I817" s="7">
        <v>18</v>
      </c>
      <c r="J817" s="11">
        <v>10</v>
      </c>
      <c r="K817" s="11">
        <f t="shared" si="24"/>
        <v>180</v>
      </c>
      <c r="L817" s="11">
        <v>0</v>
      </c>
      <c r="M817" s="11">
        <v>21.599999999999998</v>
      </c>
      <c r="N817" s="11">
        <f t="shared" si="25"/>
        <v>201.6</v>
      </c>
    </row>
    <row r="818" spans="3:14" x14ac:dyDescent="0.3">
      <c r="C818" s="6">
        <v>43981</v>
      </c>
      <c r="D818" s="7" t="s">
        <v>188</v>
      </c>
      <c r="E818" s="8">
        <v>2020</v>
      </c>
      <c r="F818" s="9" t="s">
        <v>73</v>
      </c>
      <c r="G818" s="9" t="s">
        <v>16</v>
      </c>
      <c r="H818" s="10" t="s">
        <v>29</v>
      </c>
      <c r="I818" s="7">
        <v>97</v>
      </c>
      <c r="J818" s="11">
        <v>89</v>
      </c>
      <c r="K818" s="11">
        <f t="shared" si="24"/>
        <v>8633</v>
      </c>
      <c r="L818" s="11">
        <v>0</v>
      </c>
      <c r="M818" s="11">
        <v>1035.96</v>
      </c>
      <c r="N818" s="11">
        <f t="shared" si="25"/>
        <v>9668.9599999999991</v>
      </c>
    </row>
    <row r="819" spans="3:14" x14ac:dyDescent="0.3">
      <c r="C819" s="6">
        <v>43981</v>
      </c>
      <c r="D819" s="7" t="s">
        <v>188</v>
      </c>
      <c r="E819" s="8">
        <v>2020</v>
      </c>
      <c r="F819" s="9" t="s">
        <v>73</v>
      </c>
      <c r="G819" s="9" t="s">
        <v>14</v>
      </c>
      <c r="H819" s="10" t="s">
        <v>36</v>
      </c>
      <c r="I819" s="7">
        <v>21</v>
      </c>
      <c r="J819" s="11">
        <v>35</v>
      </c>
      <c r="K819" s="11">
        <f t="shared" si="24"/>
        <v>735</v>
      </c>
      <c r="L819" s="11">
        <v>0</v>
      </c>
      <c r="M819" s="11">
        <v>88.2</v>
      </c>
      <c r="N819" s="11">
        <f t="shared" si="25"/>
        <v>823.2</v>
      </c>
    </row>
    <row r="820" spans="3:14" x14ac:dyDescent="0.3">
      <c r="C820" s="6">
        <v>43981</v>
      </c>
      <c r="D820" s="7" t="s">
        <v>188</v>
      </c>
      <c r="E820" s="8">
        <v>2020</v>
      </c>
      <c r="F820" s="9" t="s">
        <v>73</v>
      </c>
      <c r="G820" s="9" t="s">
        <v>37</v>
      </c>
      <c r="H820" s="10" t="s">
        <v>65</v>
      </c>
      <c r="I820" s="7">
        <v>88</v>
      </c>
      <c r="J820" s="11">
        <v>59</v>
      </c>
      <c r="K820" s="11">
        <f t="shared" si="24"/>
        <v>5192</v>
      </c>
      <c r="L820" s="11">
        <v>0</v>
      </c>
      <c r="M820" s="11">
        <v>623.04</v>
      </c>
      <c r="N820" s="11">
        <f t="shared" si="25"/>
        <v>5815.04</v>
      </c>
    </row>
    <row r="821" spans="3:14" x14ac:dyDescent="0.3">
      <c r="C821" s="6">
        <v>43981</v>
      </c>
      <c r="D821" s="7" t="s">
        <v>188</v>
      </c>
      <c r="E821" s="8">
        <v>2020</v>
      </c>
      <c r="F821" s="9" t="s">
        <v>170</v>
      </c>
      <c r="G821" s="9" t="s">
        <v>32</v>
      </c>
      <c r="H821" s="10" t="s">
        <v>47</v>
      </c>
      <c r="I821" s="7">
        <v>55</v>
      </c>
      <c r="J821" s="11">
        <v>59</v>
      </c>
      <c r="K821" s="11">
        <f t="shared" si="24"/>
        <v>3245</v>
      </c>
      <c r="L821" s="11">
        <v>5.0000000745058101E-2</v>
      </c>
      <c r="M821" s="11">
        <v>389.4</v>
      </c>
      <c r="N821" s="11">
        <f t="shared" si="25"/>
        <v>3634.349999999255</v>
      </c>
    </row>
    <row r="822" spans="3:14" x14ac:dyDescent="0.3">
      <c r="C822" s="6">
        <v>43981</v>
      </c>
      <c r="D822" s="7" t="s">
        <v>188</v>
      </c>
      <c r="E822" s="8">
        <v>2020</v>
      </c>
      <c r="F822" s="9" t="s">
        <v>170</v>
      </c>
      <c r="G822" s="9" t="s">
        <v>16</v>
      </c>
      <c r="H822" s="10" t="s">
        <v>145</v>
      </c>
      <c r="I822" s="7">
        <v>50</v>
      </c>
      <c r="J822" s="11">
        <v>41</v>
      </c>
      <c r="K822" s="11">
        <f t="shared" si="24"/>
        <v>2050</v>
      </c>
      <c r="L822" s="11">
        <v>5.0000000745058101E-2</v>
      </c>
      <c r="M822" s="11">
        <v>246</v>
      </c>
      <c r="N822" s="11">
        <f t="shared" si="25"/>
        <v>2295.9499999992549</v>
      </c>
    </row>
    <row r="823" spans="3:14" x14ac:dyDescent="0.3">
      <c r="C823" s="6">
        <v>43981</v>
      </c>
      <c r="D823" s="7" t="s">
        <v>188</v>
      </c>
      <c r="E823" s="8">
        <v>2020</v>
      </c>
      <c r="F823" s="9" t="s">
        <v>170</v>
      </c>
      <c r="G823" s="9" t="s">
        <v>32</v>
      </c>
      <c r="H823" s="10" t="s">
        <v>62</v>
      </c>
      <c r="I823" s="7">
        <v>83</v>
      </c>
      <c r="J823" s="11">
        <v>28</v>
      </c>
      <c r="K823" s="11">
        <f t="shared" si="24"/>
        <v>2324</v>
      </c>
      <c r="L823" s="11">
        <v>5.0000000745058101E-2</v>
      </c>
      <c r="M823" s="11">
        <v>278.88</v>
      </c>
      <c r="N823" s="11">
        <f t="shared" si="25"/>
        <v>2602.8299999992551</v>
      </c>
    </row>
    <row r="824" spans="3:14" x14ac:dyDescent="0.3">
      <c r="C824" s="6">
        <v>43981</v>
      </c>
      <c r="D824" s="7" t="s">
        <v>188</v>
      </c>
      <c r="E824" s="8">
        <v>2020</v>
      </c>
      <c r="F824" s="9" t="s">
        <v>170</v>
      </c>
      <c r="G824" s="9" t="s">
        <v>26</v>
      </c>
      <c r="H824" s="10" t="s">
        <v>52</v>
      </c>
      <c r="I824" s="7">
        <v>73</v>
      </c>
      <c r="J824" s="11">
        <v>74</v>
      </c>
      <c r="K824" s="11">
        <f t="shared" si="24"/>
        <v>5402</v>
      </c>
      <c r="L824" s="11">
        <v>5.0000000745058101E-2</v>
      </c>
      <c r="M824" s="11">
        <v>648.24</v>
      </c>
      <c r="N824" s="11">
        <f t="shared" si="25"/>
        <v>6050.1899999992547</v>
      </c>
    </row>
    <row r="825" spans="3:14" x14ac:dyDescent="0.3">
      <c r="C825" s="6">
        <v>43984</v>
      </c>
      <c r="D825" s="7" t="s">
        <v>191</v>
      </c>
      <c r="E825" s="8">
        <v>2020</v>
      </c>
      <c r="F825" s="9" t="s">
        <v>135</v>
      </c>
      <c r="G825" s="9" t="s">
        <v>20</v>
      </c>
      <c r="H825" s="10" t="s">
        <v>136</v>
      </c>
      <c r="I825" s="7">
        <v>89</v>
      </c>
      <c r="J825" s="11">
        <v>74</v>
      </c>
      <c r="K825" s="11">
        <f t="shared" si="24"/>
        <v>6586</v>
      </c>
      <c r="L825" s="11">
        <v>0.20000000298023199</v>
      </c>
      <c r="M825" s="11">
        <v>790.31999999999994</v>
      </c>
      <c r="N825" s="11">
        <f t="shared" si="25"/>
        <v>7376.1199999970195</v>
      </c>
    </row>
    <row r="826" spans="3:14" x14ac:dyDescent="0.3">
      <c r="C826" s="6">
        <v>43984</v>
      </c>
      <c r="D826" s="7" t="s">
        <v>191</v>
      </c>
      <c r="E826" s="8">
        <v>2020</v>
      </c>
      <c r="F826" s="9" t="s">
        <v>135</v>
      </c>
      <c r="G826" s="9" t="s">
        <v>32</v>
      </c>
      <c r="H826" s="10" t="s">
        <v>100</v>
      </c>
      <c r="I826" s="7">
        <v>91</v>
      </c>
      <c r="J826" s="11">
        <v>26</v>
      </c>
      <c r="K826" s="11">
        <f t="shared" si="24"/>
        <v>2366</v>
      </c>
      <c r="L826" s="11">
        <v>0.20000000298023199</v>
      </c>
      <c r="M826" s="11">
        <v>283.92</v>
      </c>
      <c r="N826" s="11">
        <f t="shared" si="25"/>
        <v>2649.7199999970198</v>
      </c>
    </row>
    <row r="827" spans="3:14" x14ac:dyDescent="0.3">
      <c r="C827" s="6">
        <v>43984</v>
      </c>
      <c r="D827" s="7" t="s">
        <v>191</v>
      </c>
      <c r="E827" s="8">
        <v>2020</v>
      </c>
      <c r="F827" s="9" t="s">
        <v>135</v>
      </c>
      <c r="G827" s="9" t="s">
        <v>37</v>
      </c>
      <c r="H827" s="10" t="s">
        <v>41</v>
      </c>
      <c r="I827" s="7">
        <v>74</v>
      </c>
      <c r="J827" s="11">
        <v>25</v>
      </c>
      <c r="K827" s="11">
        <f t="shared" si="24"/>
        <v>1850</v>
      </c>
      <c r="L827" s="11">
        <v>0.20000000298023199</v>
      </c>
      <c r="M827" s="11">
        <v>222</v>
      </c>
      <c r="N827" s="11">
        <f t="shared" si="25"/>
        <v>2071.7999999970198</v>
      </c>
    </row>
    <row r="828" spans="3:14" x14ac:dyDescent="0.3">
      <c r="C828" s="6">
        <v>43984</v>
      </c>
      <c r="D828" s="7" t="s">
        <v>191</v>
      </c>
      <c r="E828" s="8">
        <v>2020</v>
      </c>
      <c r="F828" s="9" t="s">
        <v>135</v>
      </c>
      <c r="G828" s="9" t="s">
        <v>20</v>
      </c>
      <c r="H828" s="10" t="s">
        <v>22</v>
      </c>
      <c r="I828" s="7">
        <v>9</v>
      </c>
      <c r="J828" s="11">
        <v>63</v>
      </c>
      <c r="K828" s="11">
        <f t="shared" si="24"/>
        <v>567</v>
      </c>
      <c r="L828" s="11">
        <v>0.20000000298023199</v>
      </c>
      <c r="M828" s="11">
        <v>68.039999999999992</v>
      </c>
      <c r="N828" s="11">
        <f t="shared" si="25"/>
        <v>634.83999999701973</v>
      </c>
    </row>
    <row r="829" spans="3:14" x14ac:dyDescent="0.3">
      <c r="C829" s="6">
        <v>43984</v>
      </c>
      <c r="D829" s="7" t="s">
        <v>191</v>
      </c>
      <c r="E829" s="8">
        <v>2020</v>
      </c>
      <c r="F829" s="9" t="s">
        <v>135</v>
      </c>
      <c r="G829" s="9" t="s">
        <v>16</v>
      </c>
      <c r="H829" s="10" t="s">
        <v>68</v>
      </c>
      <c r="I829" s="7">
        <v>6</v>
      </c>
      <c r="J829" s="11">
        <v>35</v>
      </c>
      <c r="K829" s="11">
        <f t="shared" si="24"/>
        <v>210</v>
      </c>
      <c r="L829" s="11">
        <v>0.20000000298023199</v>
      </c>
      <c r="M829" s="11">
        <v>25.2</v>
      </c>
      <c r="N829" s="11">
        <f t="shared" si="25"/>
        <v>234.99999999701976</v>
      </c>
    </row>
    <row r="830" spans="3:14" x14ac:dyDescent="0.3">
      <c r="C830" s="6">
        <v>43985</v>
      </c>
      <c r="D830" s="7" t="s">
        <v>191</v>
      </c>
      <c r="E830" s="8">
        <v>2020</v>
      </c>
      <c r="F830" s="9" t="s">
        <v>146</v>
      </c>
      <c r="G830" s="9" t="s">
        <v>14</v>
      </c>
      <c r="H830" s="10" t="s">
        <v>18</v>
      </c>
      <c r="I830" s="7">
        <v>51</v>
      </c>
      <c r="J830" s="11">
        <v>49</v>
      </c>
      <c r="K830" s="11">
        <f t="shared" si="24"/>
        <v>2499</v>
      </c>
      <c r="L830" s="11">
        <v>0</v>
      </c>
      <c r="M830" s="11">
        <v>299.88</v>
      </c>
      <c r="N830" s="11">
        <f t="shared" si="25"/>
        <v>2798.88</v>
      </c>
    </row>
    <row r="831" spans="3:14" x14ac:dyDescent="0.3">
      <c r="C831" s="6">
        <v>43985</v>
      </c>
      <c r="D831" s="7" t="s">
        <v>191</v>
      </c>
      <c r="E831" s="8">
        <v>2020</v>
      </c>
      <c r="F831" s="9" t="s">
        <v>97</v>
      </c>
      <c r="G831" s="9" t="s">
        <v>16</v>
      </c>
      <c r="H831" s="10" t="s">
        <v>113</v>
      </c>
      <c r="I831" s="7">
        <v>48</v>
      </c>
      <c r="J831" s="11">
        <v>16</v>
      </c>
      <c r="K831" s="11">
        <f t="shared" si="24"/>
        <v>768</v>
      </c>
      <c r="L831" s="11">
        <v>0</v>
      </c>
      <c r="M831" s="11">
        <v>92.16</v>
      </c>
      <c r="N831" s="11">
        <f t="shared" si="25"/>
        <v>860.16</v>
      </c>
    </row>
    <row r="832" spans="3:14" x14ac:dyDescent="0.3">
      <c r="C832" s="6">
        <v>43985</v>
      </c>
      <c r="D832" s="7" t="s">
        <v>191</v>
      </c>
      <c r="E832" s="8">
        <v>2020</v>
      </c>
      <c r="F832" s="9" t="s">
        <v>97</v>
      </c>
      <c r="G832" s="9" t="s">
        <v>37</v>
      </c>
      <c r="H832" s="10" t="s">
        <v>98</v>
      </c>
      <c r="I832" s="7">
        <v>89</v>
      </c>
      <c r="J832" s="11">
        <v>20</v>
      </c>
      <c r="K832" s="11">
        <f t="shared" si="24"/>
        <v>1780</v>
      </c>
      <c r="L832" s="11">
        <v>0</v>
      </c>
      <c r="M832" s="11">
        <v>213.6</v>
      </c>
      <c r="N832" s="11">
        <f t="shared" si="25"/>
        <v>1993.6</v>
      </c>
    </row>
    <row r="833" spans="3:14" x14ac:dyDescent="0.3">
      <c r="C833" s="6">
        <v>43986</v>
      </c>
      <c r="D833" s="7" t="s">
        <v>191</v>
      </c>
      <c r="E833" s="8">
        <v>2020</v>
      </c>
      <c r="F833" s="9" t="s">
        <v>153</v>
      </c>
      <c r="G833" s="9" t="s">
        <v>32</v>
      </c>
      <c r="H833" s="10" t="s">
        <v>143</v>
      </c>
      <c r="I833" s="7">
        <v>85</v>
      </c>
      <c r="J833" s="11">
        <v>60</v>
      </c>
      <c r="K833" s="11">
        <f t="shared" si="24"/>
        <v>5100</v>
      </c>
      <c r="L833" s="11">
        <v>0</v>
      </c>
      <c r="M833" s="11">
        <v>612</v>
      </c>
      <c r="N833" s="11">
        <f t="shared" si="25"/>
        <v>5712</v>
      </c>
    </row>
    <row r="834" spans="3:14" x14ac:dyDescent="0.3">
      <c r="C834" s="6">
        <v>43986</v>
      </c>
      <c r="D834" s="7" t="s">
        <v>191</v>
      </c>
      <c r="E834" s="8">
        <v>2020</v>
      </c>
      <c r="F834" s="9" t="s">
        <v>153</v>
      </c>
      <c r="G834" s="9" t="s">
        <v>20</v>
      </c>
      <c r="H834" s="10" t="s">
        <v>22</v>
      </c>
      <c r="I834" s="7">
        <v>64</v>
      </c>
      <c r="J834" s="11">
        <v>78</v>
      </c>
      <c r="K834" s="11">
        <f t="shared" si="24"/>
        <v>4992</v>
      </c>
      <c r="L834" s="11">
        <v>0</v>
      </c>
      <c r="M834" s="11">
        <v>599.04</v>
      </c>
      <c r="N834" s="11">
        <f t="shared" si="25"/>
        <v>5591.04</v>
      </c>
    </row>
    <row r="835" spans="3:14" x14ac:dyDescent="0.3">
      <c r="C835" s="6">
        <v>43986</v>
      </c>
      <c r="D835" s="7" t="s">
        <v>191</v>
      </c>
      <c r="E835" s="8">
        <v>2020</v>
      </c>
      <c r="F835" s="9" t="s">
        <v>153</v>
      </c>
      <c r="G835" s="9" t="s">
        <v>16</v>
      </c>
      <c r="H835" s="10" t="s">
        <v>132</v>
      </c>
      <c r="I835" s="7">
        <v>48</v>
      </c>
      <c r="J835" s="11">
        <v>28</v>
      </c>
      <c r="K835" s="11">
        <f t="shared" ref="K835:K898" si="26">J835*I835</f>
        <v>1344</v>
      </c>
      <c r="L835" s="11">
        <v>0</v>
      </c>
      <c r="M835" s="11">
        <v>161.28</v>
      </c>
      <c r="N835" s="11">
        <f t="shared" ref="N835:N898" si="27">K835-L835+M835</f>
        <v>1505.28</v>
      </c>
    </row>
    <row r="836" spans="3:14" x14ac:dyDescent="0.3">
      <c r="C836" s="6">
        <v>43986</v>
      </c>
      <c r="D836" s="7" t="s">
        <v>191</v>
      </c>
      <c r="E836" s="8">
        <v>2020</v>
      </c>
      <c r="F836" s="9" t="s">
        <v>153</v>
      </c>
      <c r="G836" s="9" t="s">
        <v>42</v>
      </c>
      <c r="H836" s="10" t="s">
        <v>51</v>
      </c>
      <c r="I836" s="7">
        <v>44</v>
      </c>
      <c r="J836" s="11">
        <v>48</v>
      </c>
      <c r="K836" s="11">
        <f t="shared" si="26"/>
        <v>2112</v>
      </c>
      <c r="L836" s="11">
        <v>0</v>
      </c>
      <c r="M836" s="11">
        <v>253.44</v>
      </c>
      <c r="N836" s="11">
        <f t="shared" si="27"/>
        <v>2365.44</v>
      </c>
    </row>
    <row r="837" spans="3:14" x14ac:dyDescent="0.3">
      <c r="C837" s="6">
        <v>43986</v>
      </c>
      <c r="D837" s="7" t="s">
        <v>191</v>
      </c>
      <c r="E837" s="8">
        <v>2020</v>
      </c>
      <c r="F837" s="9" t="s">
        <v>153</v>
      </c>
      <c r="G837" s="9" t="s">
        <v>24</v>
      </c>
      <c r="H837" s="10" t="s">
        <v>96</v>
      </c>
      <c r="I837" s="7">
        <v>29</v>
      </c>
      <c r="J837" s="11">
        <v>58</v>
      </c>
      <c r="K837" s="11">
        <f t="shared" si="26"/>
        <v>1682</v>
      </c>
      <c r="L837" s="11">
        <v>0</v>
      </c>
      <c r="M837" s="11">
        <v>201.84</v>
      </c>
      <c r="N837" s="11">
        <f t="shared" si="27"/>
        <v>1883.84</v>
      </c>
    </row>
    <row r="838" spans="3:14" x14ac:dyDescent="0.3">
      <c r="C838" s="6">
        <v>43987</v>
      </c>
      <c r="D838" s="7" t="s">
        <v>191</v>
      </c>
      <c r="E838" s="8">
        <v>2020</v>
      </c>
      <c r="F838" s="9" t="s">
        <v>71</v>
      </c>
      <c r="G838" s="9" t="s">
        <v>24</v>
      </c>
      <c r="H838" s="10" t="s">
        <v>25</v>
      </c>
      <c r="I838" s="7">
        <v>80</v>
      </c>
      <c r="J838" s="11">
        <v>57</v>
      </c>
      <c r="K838" s="11">
        <f t="shared" si="26"/>
        <v>4560</v>
      </c>
      <c r="L838" s="11">
        <v>5.0000000745058101E-2</v>
      </c>
      <c r="M838" s="11">
        <v>547.19999999999993</v>
      </c>
      <c r="N838" s="11">
        <f t="shared" si="27"/>
        <v>5107.1499999992548</v>
      </c>
    </row>
    <row r="839" spans="3:14" x14ac:dyDescent="0.3">
      <c r="C839" s="6">
        <v>43987</v>
      </c>
      <c r="D839" s="7" t="s">
        <v>191</v>
      </c>
      <c r="E839" s="8">
        <v>2020</v>
      </c>
      <c r="F839" s="9" t="s">
        <v>71</v>
      </c>
      <c r="G839" s="9" t="s">
        <v>42</v>
      </c>
      <c r="H839" s="10" t="s">
        <v>43</v>
      </c>
      <c r="I839" s="7">
        <v>57</v>
      </c>
      <c r="J839" s="11">
        <v>59</v>
      </c>
      <c r="K839" s="11">
        <f t="shared" si="26"/>
        <v>3363</v>
      </c>
      <c r="L839" s="11">
        <v>5.0000000745058101E-2</v>
      </c>
      <c r="M839" s="11">
        <v>403.56</v>
      </c>
      <c r="N839" s="11">
        <f t="shared" si="27"/>
        <v>3766.5099999992549</v>
      </c>
    </row>
    <row r="840" spans="3:14" x14ac:dyDescent="0.3">
      <c r="C840" s="6">
        <v>43988</v>
      </c>
      <c r="D840" s="7" t="s">
        <v>191</v>
      </c>
      <c r="E840" s="8">
        <v>2020</v>
      </c>
      <c r="F840" s="9" t="s">
        <v>75</v>
      </c>
      <c r="G840" s="9" t="s">
        <v>24</v>
      </c>
      <c r="H840" s="10" t="s">
        <v>69</v>
      </c>
      <c r="I840" s="7">
        <v>17</v>
      </c>
      <c r="J840" s="11">
        <v>74</v>
      </c>
      <c r="K840" s="11">
        <f t="shared" si="26"/>
        <v>1258</v>
      </c>
      <c r="L840" s="11">
        <v>0</v>
      </c>
      <c r="M840" s="11">
        <v>150.96</v>
      </c>
      <c r="N840" s="11">
        <f t="shared" si="27"/>
        <v>1408.96</v>
      </c>
    </row>
    <row r="841" spans="3:14" x14ac:dyDescent="0.3">
      <c r="C841" s="6">
        <v>43988</v>
      </c>
      <c r="D841" s="7" t="s">
        <v>191</v>
      </c>
      <c r="E841" s="8">
        <v>2020</v>
      </c>
      <c r="F841" s="9" t="s">
        <v>75</v>
      </c>
      <c r="G841" s="9" t="s">
        <v>32</v>
      </c>
      <c r="H841" s="10" t="s">
        <v>62</v>
      </c>
      <c r="I841" s="7">
        <v>95</v>
      </c>
      <c r="J841" s="11">
        <v>84</v>
      </c>
      <c r="K841" s="11">
        <f t="shared" si="26"/>
        <v>7980</v>
      </c>
      <c r="L841" s="11">
        <v>0.25</v>
      </c>
      <c r="M841" s="11">
        <v>957.59999999999991</v>
      </c>
      <c r="N841" s="11">
        <f t="shared" si="27"/>
        <v>8937.35</v>
      </c>
    </row>
    <row r="842" spans="3:14" x14ac:dyDescent="0.3">
      <c r="C842" s="6">
        <v>43988</v>
      </c>
      <c r="D842" s="7" t="s">
        <v>191</v>
      </c>
      <c r="E842" s="8">
        <v>2020</v>
      </c>
      <c r="F842" s="9" t="s">
        <v>70</v>
      </c>
      <c r="G842" s="9" t="s">
        <v>26</v>
      </c>
      <c r="H842" s="10" t="s">
        <v>94</v>
      </c>
      <c r="I842" s="7">
        <v>47</v>
      </c>
      <c r="J842" s="11">
        <v>87</v>
      </c>
      <c r="K842" s="11">
        <f t="shared" si="26"/>
        <v>4089</v>
      </c>
      <c r="L842" s="11">
        <v>0</v>
      </c>
      <c r="M842" s="11">
        <v>490.68</v>
      </c>
      <c r="N842" s="11">
        <f t="shared" si="27"/>
        <v>4579.68</v>
      </c>
    </row>
    <row r="843" spans="3:14" x14ac:dyDescent="0.3">
      <c r="C843" s="6">
        <v>43988</v>
      </c>
      <c r="D843" s="7" t="s">
        <v>191</v>
      </c>
      <c r="E843" s="8">
        <v>2020</v>
      </c>
      <c r="F843" s="9" t="s">
        <v>70</v>
      </c>
      <c r="G843" s="9" t="s">
        <v>20</v>
      </c>
      <c r="H843" s="10" t="s">
        <v>22</v>
      </c>
      <c r="I843" s="7">
        <v>45</v>
      </c>
      <c r="J843" s="11">
        <v>15</v>
      </c>
      <c r="K843" s="11">
        <f t="shared" si="26"/>
        <v>675</v>
      </c>
      <c r="L843" s="11">
        <v>0</v>
      </c>
      <c r="M843" s="11">
        <v>81</v>
      </c>
      <c r="N843" s="11">
        <f t="shared" si="27"/>
        <v>756</v>
      </c>
    </row>
    <row r="844" spans="3:14" x14ac:dyDescent="0.3">
      <c r="C844" s="6">
        <v>43991</v>
      </c>
      <c r="D844" s="7" t="s">
        <v>191</v>
      </c>
      <c r="E844" s="8">
        <v>2020</v>
      </c>
      <c r="F844" s="9" t="s">
        <v>108</v>
      </c>
      <c r="G844" s="9" t="s">
        <v>14</v>
      </c>
      <c r="H844" s="10" t="s">
        <v>34</v>
      </c>
      <c r="I844" s="7">
        <v>10</v>
      </c>
      <c r="J844" s="11">
        <v>16</v>
      </c>
      <c r="K844" s="11">
        <f t="shared" si="26"/>
        <v>160</v>
      </c>
      <c r="L844" s="11">
        <v>0.10000000149011599</v>
      </c>
      <c r="M844" s="11">
        <v>19.2</v>
      </c>
      <c r="N844" s="11">
        <f t="shared" si="27"/>
        <v>179.09999999850987</v>
      </c>
    </row>
    <row r="845" spans="3:14" x14ac:dyDescent="0.3">
      <c r="C845" s="6">
        <v>43991</v>
      </c>
      <c r="D845" s="7" t="s">
        <v>191</v>
      </c>
      <c r="E845" s="8">
        <v>2020</v>
      </c>
      <c r="F845" s="9" t="s">
        <v>108</v>
      </c>
      <c r="G845" s="9" t="s">
        <v>32</v>
      </c>
      <c r="H845" s="10" t="s">
        <v>62</v>
      </c>
      <c r="I845" s="7">
        <v>10</v>
      </c>
      <c r="J845" s="11">
        <v>37</v>
      </c>
      <c r="K845" s="11">
        <f t="shared" si="26"/>
        <v>370</v>
      </c>
      <c r="L845" s="11">
        <v>0.10000000149011599</v>
      </c>
      <c r="M845" s="11">
        <v>44.4</v>
      </c>
      <c r="N845" s="11">
        <f t="shared" si="27"/>
        <v>414.29999999850986</v>
      </c>
    </row>
    <row r="846" spans="3:14" x14ac:dyDescent="0.3">
      <c r="C846" s="6">
        <v>43992</v>
      </c>
      <c r="D846" s="7" t="s">
        <v>191</v>
      </c>
      <c r="E846" s="8">
        <v>2020</v>
      </c>
      <c r="F846" s="9" t="s">
        <v>105</v>
      </c>
      <c r="G846" s="9" t="s">
        <v>24</v>
      </c>
      <c r="H846" s="10" t="s">
        <v>48</v>
      </c>
      <c r="I846" s="7">
        <v>5</v>
      </c>
      <c r="J846" s="11">
        <v>45</v>
      </c>
      <c r="K846" s="11">
        <f t="shared" si="26"/>
        <v>225</v>
      </c>
      <c r="L846" s="11">
        <v>0</v>
      </c>
      <c r="M846" s="11">
        <v>27</v>
      </c>
      <c r="N846" s="11">
        <f t="shared" si="27"/>
        <v>252</v>
      </c>
    </row>
    <row r="847" spans="3:14" x14ac:dyDescent="0.3">
      <c r="C847" s="6">
        <v>43992</v>
      </c>
      <c r="D847" s="7" t="s">
        <v>191</v>
      </c>
      <c r="E847" s="8">
        <v>2020</v>
      </c>
      <c r="F847" s="9" t="s">
        <v>105</v>
      </c>
      <c r="G847" s="9" t="s">
        <v>16</v>
      </c>
      <c r="H847" s="10" t="s">
        <v>132</v>
      </c>
      <c r="I847" s="7">
        <v>74</v>
      </c>
      <c r="J847" s="11">
        <v>48</v>
      </c>
      <c r="K847" s="11">
        <f t="shared" si="26"/>
        <v>3552</v>
      </c>
      <c r="L847" s="11">
        <v>0</v>
      </c>
      <c r="M847" s="11">
        <v>426.24</v>
      </c>
      <c r="N847" s="11">
        <f t="shared" si="27"/>
        <v>3978.24</v>
      </c>
    </row>
    <row r="848" spans="3:14" x14ac:dyDescent="0.3">
      <c r="C848" s="6">
        <v>43992</v>
      </c>
      <c r="D848" s="7" t="s">
        <v>191</v>
      </c>
      <c r="E848" s="8">
        <v>2020</v>
      </c>
      <c r="F848" s="9" t="s">
        <v>66</v>
      </c>
      <c r="G848" s="9" t="s">
        <v>42</v>
      </c>
      <c r="H848" s="10" t="s">
        <v>72</v>
      </c>
      <c r="I848" s="7">
        <v>84</v>
      </c>
      <c r="J848" s="11">
        <v>62</v>
      </c>
      <c r="K848" s="11">
        <f t="shared" si="26"/>
        <v>5208</v>
      </c>
      <c r="L848" s="11">
        <v>5.0000000745058101E-2</v>
      </c>
      <c r="M848" s="11">
        <v>624.95999999999992</v>
      </c>
      <c r="N848" s="11">
        <f t="shared" si="27"/>
        <v>5832.909999999255</v>
      </c>
    </row>
    <row r="849" spans="3:14" x14ac:dyDescent="0.3">
      <c r="C849" s="6">
        <v>43992</v>
      </c>
      <c r="D849" s="7" t="s">
        <v>191</v>
      </c>
      <c r="E849" s="8">
        <v>2020</v>
      </c>
      <c r="F849" s="9" t="s">
        <v>66</v>
      </c>
      <c r="G849" s="9" t="s">
        <v>14</v>
      </c>
      <c r="H849" s="10" t="s">
        <v>36</v>
      </c>
      <c r="I849" s="7">
        <v>81</v>
      </c>
      <c r="J849" s="11">
        <v>83</v>
      </c>
      <c r="K849" s="11">
        <f t="shared" si="26"/>
        <v>6723</v>
      </c>
      <c r="L849" s="11">
        <v>5.0000000745058101E-2</v>
      </c>
      <c r="M849" s="11">
        <v>806.76</v>
      </c>
      <c r="N849" s="11">
        <f t="shared" si="27"/>
        <v>7529.7099999992552</v>
      </c>
    </row>
    <row r="850" spans="3:14" x14ac:dyDescent="0.3">
      <c r="C850" s="6">
        <v>43992</v>
      </c>
      <c r="D850" s="7" t="s">
        <v>191</v>
      </c>
      <c r="E850" s="8">
        <v>2020</v>
      </c>
      <c r="F850" s="9" t="s">
        <v>66</v>
      </c>
      <c r="G850" s="9" t="s">
        <v>42</v>
      </c>
      <c r="H850" s="10" t="s">
        <v>43</v>
      </c>
      <c r="I850" s="7">
        <v>12</v>
      </c>
      <c r="J850" s="11">
        <v>35</v>
      </c>
      <c r="K850" s="11">
        <f t="shared" si="26"/>
        <v>420</v>
      </c>
      <c r="L850" s="11">
        <v>5.0000000745058101E-2</v>
      </c>
      <c r="M850" s="11">
        <v>50.4</v>
      </c>
      <c r="N850" s="11">
        <f t="shared" si="27"/>
        <v>470.34999999925492</v>
      </c>
    </row>
    <row r="851" spans="3:14" x14ac:dyDescent="0.3">
      <c r="C851" s="6">
        <v>43993</v>
      </c>
      <c r="D851" s="7" t="s">
        <v>191</v>
      </c>
      <c r="E851" s="8">
        <v>2020</v>
      </c>
      <c r="F851" s="9" t="s">
        <v>142</v>
      </c>
      <c r="G851" s="9" t="s">
        <v>37</v>
      </c>
      <c r="H851" s="10" t="s">
        <v>41</v>
      </c>
      <c r="I851" s="7">
        <v>9</v>
      </c>
      <c r="J851" s="11">
        <v>12</v>
      </c>
      <c r="K851" s="11">
        <f t="shared" si="26"/>
        <v>108</v>
      </c>
      <c r="L851" s="11">
        <v>0.10000000149011599</v>
      </c>
      <c r="M851" s="11">
        <v>12.959999999999999</v>
      </c>
      <c r="N851" s="11">
        <f t="shared" si="27"/>
        <v>120.85999999850988</v>
      </c>
    </row>
    <row r="852" spans="3:14" x14ac:dyDescent="0.3">
      <c r="C852" s="6">
        <v>43993</v>
      </c>
      <c r="D852" s="7" t="s">
        <v>191</v>
      </c>
      <c r="E852" s="8">
        <v>2020</v>
      </c>
      <c r="F852" s="9" t="s">
        <v>142</v>
      </c>
      <c r="G852" s="9" t="s">
        <v>16</v>
      </c>
      <c r="H852" s="10" t="s">
        <v>113</v>
      </c>
      <c r="I852" s="7">
        <v>98</v>
      </c>
      <c r="J852" s="11">
        <v>37</v>
      </c>
      <c r="K852" s="11">
        <f t="shared" si="26"/>
        <v>3626</v>
      </c>
      <c r="L852" s="11">
        <v>0.10000000149011599</v>
      </c>
      <c r="M852" s="11">
        <v>435.12</v>
      </c>
      <c r="N852" s="11">
        <f t="shared" si="27"/>
        <v>4061.0199999985098</v>
      </c>
    </row>
    <row r="853" spans="3:14" x14ac:dyDescent="0.3">
      <c r="C853" s="6">
        <v>43994</v>
      </c>
      <c r="D853" s="7" t="s">
        <v>191</v>
      </c>
      <c r="E853" s="8">
        <v>2020</v>
      </c>
      <c r="F853" s="9" t="s">
        <v>71</v>
      </c>
      <c r="G853" s="9" t="s">
        <v>14</v>
      </c>
      <c r="H853" s="10" t="s">
        <v>15</v>
      </c>
      <c r="I853" s="7">
        <v>54</v>
      </c>
      <c r="J853" s="11">
        <v>65</v>
      </c>
      <c r="K853" s="11">
        <f t="shared" si="26"/>
        <v>3510</v>
      </c>
      <c r="L853" s="11">
        <v>0.15000000596046401</v>
      </c>
      <c r="M853" s="11">
        <v>421.2</v>
      </c>
      <c r="N853" s="11">
        <f t="shared" si="27"/>
        <v>3931.0499999940394</v>
      </c>
    </row>
    <row r="854" spans="3:14" x14ac:dyDescent="0.3">
      <c r="C854" s="6">
        <v>43994</v>
      </c>
      <c r="D854" s="7" t="s">
        <v>191</v>
      </c>
      <c r="E854" s="8">
        <v>2020</v>
      </c>
      <c r="F854" s="9" t="s">
        <v>71</v>
      </c>
      <c r="G854" s="9" t="s">
        <v>24</v>
      </c>
      <c r="H854" s="10" t="s">
        <v>115</v>
      </c>
      <c r="I854" s="7">
        <v>50</v>
      </c>
      <c r="J854" s="11">
        <v>61</v>
      </c>
      <c r="K854" s="11">
        <f t="shared" si="26"/>
        <v>3050</v>
      </c>
      <c r="L854" s="11">
        <v>0.15000000596046401</v>
      </c>
      <c r="M854" s="11">
        <v>366</v>
      </c>
      <c r="N854" s="11">
        <f t="shared" si="27"/>
        <v>3415.8499999940395</v>
      </c>
    </row>
    <row r="855" spans="3:14" x14ac:dyDescent="0.3">
      <c r="C855" s="6">
        <v>43994</v>
      </c>
      <c r="D855" s="7" t="s">
        <v>191</v>
      </c>
      <c r="E855" s="8">
        <v>2020</v>
      </c>
      <c r="F855" s="9" t="s">
        <v>71</v>
      </c>
      <c r="G855" s="9" t="s">
        <v>37</v>
      </c>
      <c r="H855" s="10" t="s">
        <v>77</v>
      </c>
      <c r="I855" s="7">
        <v>6</v>
      </c>
      <c r="J855" s="11">
        <v>66</v>
      </c>
      <c r="K855" s="11">
        <f t="shared" si="26"/>
        <v>396</v>
      </c>
      <c r="L855" s="11">
        <v>0</v>
      </c>
      <c r="M855" s="11">
        <v>47.519999999999996</v>
      </c>
      <c r="N855" s="11">
        <f t="shared" si="27"/>
        <v>443.52</v>
      </c>
    </row>
    <row r="856" spans="3:14" x14ac:dyDescent="0.3">
      <c r="C856" s="6">
        <v>43994</v>
      </c>
      <c r="D856" s="7" t="s">
        <v>191</v>
      </c>
      <c r="E856" s="8">
        <v>2020</v>
      </c>
      <c r="F856" s="9" t="s">
        <v>118</v>
      </c>
      <c r="G856" s="9" t="s">
        <v>14</v>
      </c>
      <c r="H856" s="10" t="s">
        <v>36</v>
      </c>
      <c r="I856" s="7">
        <v>62</v>
      </c>
      <c r="J856" s="11">
        <v>71</v>
      </c>
      <c r="K856" s="11">
        <f t="shared" si="26"/>
        <v>4402</v>
      </c>
      <c r="L856" s="11">
        <v>0.20000000298023199</v>
      </c>
      <c r="M856" s="11">
        <v>528.24</v>
      </c>
      <c r="N856" s="11">
        <f t="shared" si="27"/>
        <v>4930.0399999970195</v>
      </c>
    </row>
    <row r="857" spans="3:14" x14ac:dyDescent="0.3">
      <c r="C857" s="6">
        <v>43994</v>
      </c>
      <c r="D857" s="7" t="s">
        <v>191</v>
      </c>
      <c r="E857" s="8">
        <v>2020</v>
      </c>
      <c r="F857" s="9" t="s">
        <v>118</v>
      </c>
      <c r="G857" s="9" t="s">
        <v>20</v>
      </c>
      <c r="H857" s="10" t="s">
        <v>22</v>
      </c>
      <c r="I857" s="7">
        <v>20</v>
      </c>
      <c r="J857" s="11">
        <v>79</v>
      </c>
      <c r="K857" s="11">
        <f t="shared" si="26"/>
        <v>1580</v>
      </c>
      <c r="L857" s="11">
        <v>0</v>
      </c>
      <c r="M857" s="11">
        <v>189.6</v>
      </c>
      <c r="N857" s="11">
        <f t="shared" si="27"/>
        <v>1769.6</v>
      </c>
    </row>
    <row r="858" spans="3:14" x14ac:dyDescent="0.3">
      <c r="C858" s="6">
        <v>43994</v>
      </c>
      <c r="D858" s="7" t="s">
        <v>191</v>
      </c>
      <c r="E858" s="8">
        <v>2020</v>
      </c>
      <c r="F858" s="9" t="s">
        <v>118</v>
      </c>
      <c r="G858" s="9" t="s">
        <v>14</v>
      </c>
      <c r="H858" s="10" t="s">
        <v>49</v>
      </c>
      <c r="I858" s="7">
        <v>70</v>
      </c>
      <c r="J858" s="11">
        <v>14</v>
      </c>
      <c r="K858" s="11">
        <f t="shared" si="26"/>
        <v>980</v>
      </c>
      <c r="L858" s="11">
        <v>0.20000000298023199</v>
      </c>
      <c r="M858" s="11">
        <v>117.6</v>
      </c>
      <c r="N858" s="11">
        <f t="shared" si="27"/>
        <v>1097.3999999970197</v>
      </c>
    </row>
    <row r="859" spans="3:14" x14ac:dyDescent="0.3">
      <c r="C859" s="6">
        <v>43995</v>
      </c>
      <c r="D859" s="7" t="s">
        <v>191</v>
      </c>
      <c r="E859" s="8">
        <v>2020</v>
      </c>
      <c r="F859" s="9" t="s">
        <v>158</v>
      </c>
      <c r="G859" s="9" t="s">
        <v>24</v>
      </c>
      <c r="H859" s="10" t="s">
        <v>85</v>
      </c>
      <c r="I859" s="7">
        <v>36</v>
      </c>
      <c r="J859" s="11">
        <v>38</v>
      </c>
      <c r="K859" s="11">
        <f t="shared" si="26"/>
        <v>1368</v>
      </c>
      <c r="L859" s="11">
        <v>0</v>
      </c>
      <c r="M859" s="11">
        <v>164.16</v>
      </c>
      <c r="N859" s="11">
        <f t="shared" si="27"/>
        <v>1532.16</v>
      </c>
    </row>
    <row r="860" spans="3:14" x14ac:dyDescent="0.3">
      <c r="C860" s="6">
        <v>43998</v>
      </c>
      <c r="D860" s="7" t="s">
        <v>191</v>
      </c>
      <c r="E860" s="8">
        <v>2020</v>
      </c>
      <c r="F860" s="9" t="s">
        <v>66</v>
      </c>
      <c r="G860" s="9" t="s">
        <v>14</v>
      </c>
      <c r="H860" s="10" t="s">
        <v>36</v>
      </c>
      <c r="I860" s="7">
        <v>47</v>
      </c>
      <c r="J860" s="11">
        <v>58</v>
      </c>
      <c r="K860" s="11">
        <f t="shared" si="26"/>
        <v>2726</v>
      </c>
      <c r="L860" s="11">
        <v>0.20000000298023199</v>
      </c>
      <c r="M860" s="11">
        <v>327.12</v>
      </c>
      <c r="N860" s="11">
        <f t="shared" si="27"/>
        <v>3052.9199999970197</v>
      </c>
    </row>
    <row r="861" spans="3:14" x14ac:dyDescent="0.3">
      <c r="C861" s="6">
        <v>43998</v>
      </c>
      <c r="D861" s="7" t="s">
        <v>191</v>
      </c>
      <c r="E861" s="8">
        <v>2020</v>
      </c>
      <c r="F861" s="9" t="s">
        <v>66</v>
      </c>
      <c r="G861" s="9" t="s">
        <v>37</v>
      </c>
      <c r="H861" s="10" t="s">
        <v>77</v>
      </c>
      <c r="I861" s="7">
        <v>2</v>
      </c>
      <c r="J861" s="11">
        <v>44</v>
      </c>
      <c r="K861" s="11">
        <f t="shared" si="26"/>
        <v>88</v>
      </c>
      <c r="L861" s="11">
        <v>0</v>
      </c>
      <c r="M861" s="11">
        <v>10.559999999999999</v>
      </c>
      <c r="N861" s="11">
        <f t="shared" si="27"/>
        <v>98.56</v>
      </c>
    </row>
    <row r="862" spans="3:14" x14ac:dyDescent="0.3">
      <c r="C862" s="6">
        <v>43999</v>
      </c>
      <c r="D862" s="7" t="s">
        <v>191</v>
      </c>
      <c r="E862" s="8">
        <v>2020</v>
      </c>
      <c r="F862" s="9" t="s">
        <v>142</v>
      </c>
      <c r="G862" s="9" t="s">
        <v>14</v>
      </c>
      <c r="H862" s="10" t="s">
        <v>15</v>
      </c>
      <c r="I862" s="7">
        <v>31</v>
      </c>
      <c r="J862" s="11">
        <v>26</v>
      </c>
      <c r="K862" s="11">
        <f t="shared" si="26"/>
        <v>806</v>
      </c>
      <c r="L862" s="11">
        <v>5.0000000745058101E-2</v>
      </c>
      <c r="M862" s="11">
        <v>96.72</v>
      </c>
      <c r="N862" s="11">
        <f t="shared" si="27"/>
        <v>902.66999999925497</v>
      </c>
    </row>
    <row r="863" spans="3:14" x14ac:dyDescent="0.3">
      <c r="C863" s="6">
        <v>43999</v>
      </c>
      <c r="D863" s="7" t="s">
        <v>191</v>
      </c>
      <c r="E863" s="8">
        <v>2020</v>
      </c>
      <c r="F863" s="9" t="s">
        <v>142</v>
      </c>
      <c r="G863" s="9" t="s">
        <v>16</v>
      </c>
      <c r="H863" s="10" t="s">
        <v>68</v>
      </c>
      <c r="I863" s="7">
        <v>44</v>
      </c>
      <c r="J863" s="11">
        <v>58</v>
      </c>
      <c r="K863" s="11">
        <f t="shared" si="26"/>
        <v>2552</v>
      </c>
      <c r="L863" s="11">
        <v>5.0000000745058101E-2</v>
      </c>
      <c r="M863" s="11">
        <v>306.24</v>
      </c>
      <c r="N863" s="11">
        <f t="shared" si="27"/>
        <v>2858.1899999992547</v>
      </c>
    </row>
    <row r="864" spans="3:14" x14ac:dyDescent="0.3">
      <c r="C864" s="6">
        <v>43999</v>
      </c>
      <c r="D864" s="7" t="s">
        <v>191</v>
      </c>
      <c r="E864" s="8">
        <v>2020</v>
      </c>
      <c r="F864" s="9" t="s">
        <v>55</v>
      </c>
      <c r="G864" s="9" t="s">
        <v>20</v>
      </c>
      <c r="H864" s="10" t="s">
        <v>136</v>
      </c>
      <c r="I864" s="7">
        <v>31</v>
      </c>
      <c r="J864" s="11">
        <v>74</v>
      </c>
      <c r="K864" s="11">
        <f t="shared" si="26"/>
        <v>2294</v>
      </c>
      <c r="L864" s="11">
        <v>0.15000000596046401</v>
      </c>
      <c r="M864" s="11">
        <v>275.27999999999997</v>
      </c>
      <c r="N864" s="11">
        <f t="shared" si="27"/>
        <v>2569.1299999940393</v>
      </c>
    </row>
    <row r="865" spans="3:14" x14ac:dyDescent="0.3">
      <c r="C865" s="6">
        <v>43999</v>
      </c>
      <c r="D865" s="7" t="s">
        <v>191</v>
      </c>
      <c r="E865" s="8">
        <v>2020</v>
      </c>
      <c r="F865" s="9" t="s">
        <v>55</v>
      </c>
      <c r="G865" s="9" t="s">
        <v>16</v>
      </c>
      <c r="H865" s="10" t="s">
        <v>17</v>
      </c>
      <c r="I865" s="7">
        <v>14</v>
      </c>
      <c r="J865" s="11">
        <v>28</v>
      </c>
      <c r="K865" s="11">
        <f t="shared" si="26"/>
        <v>392</v>
      </c>
      <c r="L865" s="11">
        <v>0.15000000596046401</v>
      </c>
      <c r="M865" s="11">
        <v>47.04</v>
      </c>
      <c r="N865" s="11">
        <f t="shared" si="27"/>
        <v>438.88999999403956</v>
      </c>
    </row>
    <row r="866" spans="3:14" x14ac:dyDescent="0.3">
      <c r="C866" s="6">
        <v>44000</v>
      </c>
      <c r="D866" s="7" t="s">
        <v>191</v>
      </c>
      <c r="E866" s="8">
        <v>2020</v>
      </c>
      <c r="F866" s="9" t="s">
        <v>93</v>
      </c>
      <c r="G866" s="9" t="s">
        <v>32</v>
      </c>
      <c r="H866" s="10" t="s">
        <v>47</v>
      </c>
      <c r="I866" s="7">
        <v>16</v>
      </c>
      <c r="J866" s="11">
        <v>23</v>
      </c>
      <c r="K866" s="11">
        <f t="shared" si="26"/>
        <v>368</v>
      </c>
      <c r="L866" s="11">
        <v>0.10000000149011599</v>
      </c>
      <c r="M866" s="11">
        <v>44.16</v>
      </c>
      <c r="N866" s="11">
        <f t="shared" si="27"/>
        <v>412.05999999850985</v>
      </c>
    </row>
    <row r="867" spans="3:14" x14ac:dyDescent="0.3">
      <c r="C867" s="6">
        <v>44000</v>
      </c>
      <c r="D867" s="7" t="s">
        <v>191</v>
      </c>
      <c r="E867" s="8">
        <v>2020</v>
      </c>
      <c r="F867" s="9" t="s">
        <v>93</v>
      </c>
      <c r="G867" s="9" t="s">
        <v>14</v>
      </c>
      <c r="H867" s="10" t="s">
        <v>57</v>
      </c>
      <c r="I867" s="7">
        <v>94</v>
      </c>
      <c r="J867" s="11">
        <v>83</v>
      </c>
      <c r="K867" s="11">
        <f t="shared" si="26"/>
        <v>7802</v>
      </c>
      <c r="L867" s="11">
        <v>0.10000000149011599</v>
      </c>
      <c r="M867" s="11">
        <v>936.24</v>
      </c>
      <c r="N867" s="11">
        <f t="shared" si="27"/>
        <v>8738.1399999985097</v>
      </c>
    </row>
    <row r="868" spans="3:14" x14ac:dyDescent="0.3">
      <c r="C868" s="6">
        <v>44000</v>
      </c>
      <c r="D868" s="7" t="s">
        <v>191</v>
      </c>
      <c r="E868" s="8">
        <v>2020</v>
      </c>
      <c r="F868" s="9" t="s">
        <v>93</v>
      </c>
      <c r="G868" s="9" t="s">
        <v>24</v>
      </c>
      <c r="H868" s="10" t="s">
        <v>76</v>
      </c>
      <c r="I868" s="7">
        <v>15</v>
      </c>
      <c r="J868" s="11">
        <v>77</v>
      </c>
      <c r="K868" s="11">
        <f t="shared" si="26"/>
        <v>1155</v>
      </c>
      <c r="L868" s="11">
        <v>0</v>
      </c>
      <c r="M868" s="11">
        <v>138.6</v>
      </c>
      <c r="N868" s="11">
        <f t="shared" si="27"/>
        <v>1293.5999999999999</v>
      </c>
    </row>
    <row r="869" spans="3:14" x14ac:dyDescent="0.3">
      <c r="C869" s="6">
        <v>44000</v>
      </c>
      <c r="D869" s="7" t="s">
        <v>191</v>
      </c>
      <c r="E869" s="8">
        <v>2020</v>
      </c>
      <c r="F869" s="9" t="s">
        <v>93</v>
      </c>
      <c r="G869" s="9" t="s">
        <v>37</v>
      </c>
      <c r="H869" s="10" t="s">
        <v>98</v>
      </c>
      <c r="I869" s="7">
        <v>13</v>
      </c>
      <c r="J869" s="11">
        <v>47</v>
      </c>
      <c r="K869" s="11">
        <f t="shared" si="26"/>
        <v>611</v>
      </c>
      <c r="L869" s="11">
        <v>0.10000000149011599</v>
      </c>
      <c r="M869" s="11">
        <v>73.319999999999993</v>
      </c>
      <c r="N869" s="11">
        <f t="shared" si="27"/>
        <v>684.21999999850982</v>
      </c>
    </row>
    <row r="870" spans="3:14" x14ac:dyDescent="0.3">
      <c r="C870" s="6">
        <v>44001</v>
      </c>
      <c r="D870" s="7" t="s">
        <v>191</v>
      </c>
      <c r="E870" s="8">
        <v>2020</v>
      </c>
      <c r="F870" s="9" t="s">
        <v>157</v>
      </c>
      <c r="G870" s="9" t="s">
        <v>42</v>
      </c>
      <c r="H870" s="10" t="s">
        <v>72</v>
      </c>
      <c r="I870" s="7">
        <v>23</v>
      </c>
      <c r="J870" s="11">
        <v>93</v>
      </c>
      <c r="K870" s="11">
        <f t="shared" si="26"/>
        <v>2139</v>
      </c>
      <c r="L870" s="11">
        <v>0</v>
      </c>
      <c r="M870" s="11">
        <v>256.68</v>
      </c>
      <c r="N870" s="11">
        <f t="shared" si="27"/>
        <v>2395.6799999999998</v>
      </c>
    </row>
    <row r="871" spans="3:14" x14ac:dyDescent="0.3">
      <c r="C871" s="6">
        <v>44001</v>
      </c>
      <c r="D871" s="7" t="s">
        <v>191</v>
      </c>
      <c r="E871" s="8">
        <v>2020</v>
      </c>
      <c r="F871" s="9" t="s">
        <v>157</v>
      </c>
      <c r="G871" s="9" t="s">
        <v>37</v>
      </c>
      <c r="H871" s="10" t="s">
        <v>106</v>
      </c>
      <c r="I871" s="7">
        <v>65</v>
      </c>
      <c r="J871" s="11">
        <v>42</v>
      </c>
      <c r="K871" s="11">
        <f t="shared" si="26"/>
        <v>2730</v>
      </c>
      <c r="L871" s="11">
        <v>0</v>
      </c>
      <c r="M871" s="11">
        <v>327.59999999999997</v>
      </c>
      <c r="N871" s="11">
        <f t="shared" si="27"/>
        <v>3057.6</v>
      </c>
    </row>
    <row r="872" spans="3:14" x14ac:dyDescent="0.3">
      <c r="C872" s="6">
        <v>44001</v>
      </c>
      <c r="D872" s="7" t="s">
        <v>191</v>
      </c>
      <c r="E872" s="8">
        <v>2020</v>
      </c>
      <c r="F872" s="9" t="s">
        <v>157</v>
      </c>
      <c r="G872" s="9" t="s">
        <v>42</v>
      </c>
      <c r="H872" s="10" t="s">
        <v>51</v>
      </c>
      <c r="I872" s="7">
        <v>81</v>
      </c>
      <c r="J872" s="11">
        <v>20</v>
      </c>
      <c r="K872" s="11">
        <f t="shared" si="26"/>
        <v>1620</v>
      </c>
      <c r="L872" s="11">
        <v>0</v>
      </c>
      <c r="M872" s="11">
        <v>194.4</v>
      </c>
      <c r="N872" s="11">
        <f t="shared" si="27"/>
        <v>1814.4</v>
      </c>
    </row>
    <row r="873" spans="3:14" x14ac:dyDescent="0.3">
      <c r="C873" s="6">
        <v>44001</v>
      </c>
      <c r="D873" s="7" t="s">
        <v>191</v>
      </c>
      <c r="E873" s="8">
        <v>2020</v>
      </c>
      <c r="F873" s="9" t="s">
        <v>192</v>
      </c>
      <c r="G873" s="9" t="s">
        <v>14</v>
      </c>
      <c r="H873" s="10" t="s">
        <v>34</v>
      </c>
      <c r="I873" s="7">
        <v>63</v>
      </c>
      <c r="J873" s="11">
        <v>30</v>
      </c>
      <c r="K873" s="11">
        <f t="shared" si="26"/>
        <v>1890</v>
      </c>
      <c r="L873" s="11">
        <v>0</v>
      </c>
      <c r="M873" s="11">
        <v>226.79999999999998</v>
      </c>
      <c r="N873" s="11">
        <f t="shared" si="27"/>
        <v>2116.8000000000002</v>
      </c>
    </row>
    <row r="874" spans="3:14" x14ac:dyDescent="0.3">
      <c r="C874" s="6">
        <v>44001</v>
      </c>
      <c r="D874" s="7" t="s">
        <v>191</v>
      </c>
      <c r="E874" s="8">
        <v>2020</v>
      </c>
      <c r="F874" s="9" t="s">
        <v>192</v>
      </c>
      <c r="G874" s="9" t="s">
        <v>24</v>
      </c>
      <c r="H874" s="10" t="s">
        <v>76</v>
      </c>
      <c r="I874" s="7">
        <v>69</v>
      </c>
      <c r="J874" s="11">
        <v>48</v>
      </c>
      <c r="K874" s="11">
        <f t="shared" si="26"/>
        <v>3312</v>
      </c>
      <c r="L874" s="11">
        <v>0</v>
      </c>
      <c r="M874" s="11">
        <v>397.44</v>
      </c>
      <c r="N874" s="11">
        <f t="shared" si="27"/>
        <v>3709.44</v>
      </c>
    </row>
    <row r="875" spans="3:14" x14ac:dyDescent="0.3">
      <c r="C875" s="6">
        <v>44001</v>
      </c>
      <c r="D875" s="7" t="s">
        <v>191</v>
      </c>
      <c r="E875" s="8">
        <v>2020</v>
      </c>
      <c r="F875" s="9" t="s">
        <v>192</v>
      </c>
      <c r="G875" s="9" t="s">
        <v>32</v>
      </c>
      <c r="H875" s="10" t="s">
        <v>62</v>
      </c>
      <c r="I875" s="7">
        <v>23</v>
      </c>
      <c r="J875" s="11">
        <v>41</v>
      </c>
      <c r="K875" s="11">
        <f t="shared" si="26"/>
        <v>943</v>
      </c>
      <c r="L875" s="11">
        <v>0</v>
      </c>
      <c r="M875" s="11">
        <v>113.16</v>
      </c>
      <c r="N875" s="11">
        <f t="shared" si="27"/>
        <v>1056.1600000000001</v>
      </c>
    </row>
    <row r="876" spans="3:14" x14ac:dyDescent="0.3">
      <c r="C876" s="6">
        <v>44001</v>
      </c>
      <c r="D876" s="7" t="s">
        <v>191</v>
      </c>
      <c r="E876" s="8">
        <v>2020</v>
      </c>
      <c r="F876" s="9" t="s">
        <v>192</v>
      </c>
      <c r="G876" s="9" t="s">
        <v>16</v>
      </c>
      <c r="H876" s="10" t="s">
        <v>113</v>
      </c>
      <c r="I876" s="7">
        <v>74</v>
      </c>
      <c r="J876" s="11">
        <v>29</v>
      </c>
      <c r="K876" s="11">
        <f t="shared" si="26"/>
        <v>2146</v>
      </c>
      <c r="L876" s="11">
        <v>0</v>
      </c>
      <c r="M876" s="11">
        <v>257.52</v>
      </c>
      <c r="N876" s="11">
        <f t="shared" si="27"/>
        <v>2403.52</v>
      </c>
    </row>
    <row r="877" spans="3:14" x14ac:dyDescent="0.3">
      <c r="C877" s="6">
        <v>44002</v>
      </c>
      <c r="D877" s="7" t="s">
        <v>191</v>
      </c>
      <c r="E877" s="8">
        <v>2020</v>
      </c>
      <c r="F877" s="9" t="s">
        <v>91</v>
      </c>
      <c r="G877" s="9" t="s">
        <v>14</v>
      </c>
      <c r="H877" s="10" t="s">
        <v>49</v>
      </c>
      <c r="I877" s="7">
        <v>66</v>
      </c>
      <c r="J877" s="11">
        <v>24</v>
      </c>
      <c r="K877" s="11">
        <f t="shared" si="26"/>
        <v>1584</v>
      </c>
      <c r="L877" s="11">
        <v>0</v>
      </c>
      <c r="M877" s="11">
        <v>190.07999999999998</v>
      </c>
      <c r="N877" s="11">
        <f t="shared" si="27"/>
        <v>1774.08</v>
      </c>
    </row>
    <row r="878" spans="3:14" x14ac:dyDescent="0.3">
      <c r="C878" s="6">
        <v>44002</v>
      </c>
      <c r="D878" s="7" t="s">
        <v>191</v>
      </c>
      <c r="E878" s="8">
        <v>2020</v>
      </c>
      <c r="F878" s="9" t="s">
        <v>91</v>
      </c>
      <c r="G878" s="9" t="s">
        <v>26</v>
      </c>
      <c r="H878" s="10" t="s">
        <v>95</v>
      </c>
      <c r="I878" s="7">
        <v>65</v>
      </c>
      <c r="J878" s="11">
        <v>53</v>
      </c>
      <c r="K878" s="11">
        <f t="shared" si="26"/>
        <v>3445</v>
      </c>
      <c r="L878" s="11">
        <v>0</v>
      </c>
      <c r="M878" s="11">
        <v>413.4</v>
      </c>
      <c r="N878" s="11">
        <f t="shared" si="27"/>
        <v>3858.4</v>
      </c>
    </row>
    <row r="879" spans="3:14" x14ac:dyDescent="0.3">
      <c r="C879" s="6">
        <v>44002</v>
      </c>
      <c r="D879" s="7" t="s">
        <v>191</v>
      </c>
      <c r="E879" s="8">
        <v>2020</v>
      </c>
      <c r="F879" s="9" t="s">
        <v>91</v>
      </c>
      <c r="G879" s="9" t="s">
        <v>14</v>
      </c>
      <c r="H879" s="10" t="s">
        <v>18</v>
      </c>
      <c r="I879" s="7">
        <v>19</v>
      </c>
      <c r="J879" s="11">
        <v>83</v>
      </c>
      <c r="K879" s="11">
        <f t="shared" si="26"/>
        <v>1577</v>
      </c>
      <c r="L879" s="11">
        <v>0</v>
      </c>
      <c r="M879" s="11">
        <v>189.23999999999998</v>
      </c>
      <c r="N879" s="11">
        <f t="shared" si="27"/>
        <v>1766.24</v>
      </c>
    </row>
    <row r="880" spans="3:14" x14ac:dyDescent="0.3">
      <c r="C880" s="6">
        <v>44002</v>
      </c>
      <c r="D880" s="7" t="s">
        <v>191</v>
      </c>
      <c r="E880" s="8">
        <v>2020</v>
      </c>
      <c r="F880" s="9" t="s">
        <v>91</v>
      </c>
      <c r="G880" s="9" t="s">
        <v>37</v>
      </c>
      <c r="H880" s="10" t="s">
        <v>77</v>
      </c>
      <c r="I880" s="7">
        <v>30</v>
      </c>
      <c r="J880" s="11">
        <v>78</v>
      </c>
      <c r="K880" s="11">
        <f t="shared" si="26"/>
        <v>2340</v>
      </c>
      <c r="L880" s="11">
        <v>0</v>
      </c>
      <c r="M880" s="11">
        <v>280.8</v>
      </c>
      <c r="N880" s="11">
        <f t="shared" si="27"/>
        <v>2620.8000000000002</v>
      </c>
    </row>
    <row r="881" spans="3:14" x14ac:dyDescent="0.3">
      <c r="C881" s="6">
        <v>44005</v>
      </c>
      <c r="D881" s="7" t="s">
        <v>191</v>
      </c>
      <c r="E881" s="8">
        <v>2020</v>
      </c>
      <c r="F881" s="9" t="s">
        <v>89</v>
      </c>
      <c r="G881" s="9" t="s">
        <v>37</v>
      </c>
      <c r="H881" s="10" t="s">
        <v>104</v>
      </c>
      <c r="I881" s="7">
        <v>19</v>
      </c>
      <c r="J881" s="11">
        <v>64</v>
      </c>
      <c r="K881" s="11">
        <f t="shared" si="26"/>
        <v>1216</v>
      </c>
      <c r="L881" s="11">
        <v>0</v>
      </c>
      <c r="M881" s="11">
        <v>145.91999999999999</v>
      </c>
      <c r="N881" s="11">
        <f t="shared" si="27"/>
        <v>1361.92</v>
      </c>
    </row>
    <row r="882" spans="3:14" x14ac:dyDescent="0.3">
      <c r="C882" s="6">
        <v>44005</v>
      </c>
      <c r="D882" s="7" t="s">
        <v>191</v>
      </c>
      <c r="E882" s="8">
        <v>2020</v>
      </c>
      <c r="F882" s="9" t="s">
        <v>89</v>
      </c>
      <c r="G882" s="9" t="s">
        <v>14</v>
      </c>
      <c r="H882" s="10" t="s">
        <v>36</v>
      </c>
      <c r="I882" s="7">
        <v>38</v>
      </c>
      <c r="J882" s="11">
        <v>39</v>
      </c>
      <c r="K882" s="11">
        <f t="shared" si="26"/>
        <v>1482</v>
      </c>
      <c r="L882" s="11">
        <v>0</v>
      </c>
      <c r="M882" s="11">
        <v>177.84</v>
      </c>
      <c r="N882" s="11">
        <f t="shared" si="27"/>
        <v>1659.84</v>
      </c>
    </row>
    <row r="883" spans="3:14" x14ac:dyDescent="0.3">
      <c r="C883" s="6">
        <v>44005</v>
      </c>
      <c r="D883" s="7" t="s">
        <v>191</v>
      </c>
      <c r="E883" s="8">
        <v>2020</v>
      </c>
      <c r="F883" s="9" t="s">
        <v>89</v>
      </c>
      <c r="G883" s="9" t="s">
        <v>26</v>
      </c>
      <c r="H883" s="10" t="s">
        <v>94</v>
      </c>
      <c r="I883" s="7">
        <v>76</v>
      </c>
      <c r="J883" s="11">
        <v>31</v>
      </c>
      <c r="K883" s="11">
        <f t="shared" si="26"/>
        <v>2356</v>
      </c>
      <c r="L883" s="11">
        <v>0</v>
      </c>
      <c r="M883" s="11">
        <v>282.71999999999997</v>
      </c>
      <c r="N883" s="11">
        <f t="shared" si="27"/>
        <v>2638.72</v>
      </c>
    </row>
    <row r="884" spans="3:14" x14ac:dyDescent="0.3">
      <c r="C884" s="6">
        <v>44005</v>
      </c>
      <c r="D884" s="7" t="s">
        <v>191</v>
      </c>
      <c r="E884" s="8">
        <v>2020</v>
      </c>
      <c r="F884" s="9" t="s">
        <v>192</v>
      </c>
      <c r="G884" s="9" t="s">
        <v>37</v>
      </c>
      <c r="H884" s="10" t="s">
        <v>38</v>
      </c>
      <c r="I884" s="7">
        <v>28</v>
      </c>
      <c r="J884" s="11">
        <v>50</v>
      </c>
      <c r="K884" s="11">
        <f t="shared" si="26"/>
        <v>1400</v>
      </c>
      <c r="L884" s="11">
        <v>0</v>
      </c>
      <c r="M884" s="11">
        <v>168</v>
      </c>
      <c r="N884" s="11">
        <f t="shared" si="27"/>
        <v>1568</v>
      </c>
    </row>
    <row r="885" spans="3:14" x14ac:dyDescent="0.3">
      <c r="C885" s="6">
        <v>44005</v>
      </c>
      <c r="D885" s="7" t="s">
        <v>191</v>
      </c>
      <c r="E885" s="8">
        <v>2020</v>
      </c>
      <c r="F885" s="9" t="s">
        <v>192</v>
      </c>
      <c r="G885" s="9" t="s">
        <v>37</v>
      </c>
      <c r="H885" s="10" t="s">
        <v>98</v>
      </c>
      <c r="I885" s="7">
        <v>3</v>
      </c>
      <c r="J885" s="11">
        <v>29</v>
      </c>
      <c r="K885" s="11">
        <f t="shared" si="26"/>
        <v>87</v>
      </c>
      <c r="L885" s="11">
        <v>0</v>
      </c>
      <c r="M885" s="11">
        <v>10.44</v>
      </c>
      <c r="N885" s="11">
        <f t="shared" si="27"/>
        <v>97.44</v>
      </c>
    </row>
    <row r="886" spans="3:14" x14ac:dyDescent="0.3">
      <c r="C886" s="6">
        <v>44005</v>
      </c>
      <c r="D886" s="7" t="s">
        <v>191</v>
      </c>
      <c r="E886" s="8">
        <v>2020</v>
      </c>
      <c r="F886" s="9" t="s">
        <v>192</v>
      </c>
      <c r="G886" s="9" t="s">
        <v>26</v>
      </c>
      <c r="H886" s="10" t="s">
        <v>52</v>
      </c>
      <c r="I886" s="7">
        <v>66</v>
      </c>
      <c r="J886" s="11">
        <v>66</v>
      </c>
      <c r="K886" s="11">
        <f t="shared" si="26"/>
        <v>4356</v>
      </c>
      <c r="L886" s="11">
        <v>0</v>
      </c>
      <c r="M886" s="11">
        <v>522.72</v>
      </c>
      <c r="N886" s="11">
        <f t="shared" si="27"/>
        <v>4878.72</v>
      </c>
    </row>
    <row r="887" spans="3:14" x14ac:dyDescent="0.3">
      <c r="C887" s="6">
        <v>44006</v>
      </c>
      <c r="D887" s="7" t="s">
        <v>191</v>
      </c>
      <c r="E887" s="8">
        <v>2020</v>
      </c>
      <c r="F887" s="9" t="s">
        <v>111</v>
      </c>
      <c r="G887" s="9" t="s">
        <v>37</v>
      </c>
      <c r="H887" s="10" t="s">
        <v>65</v>
      </c>
      <c r="I887" s="7">
        <v>98</v>
      </c>
      <c r="J887" s="11">
        <v>89</v>
      </c>
      <c r="K887" s="11">
        <f t="shared" si="26"/>
        <v>8722</v>
      </c>
      <c r="L887" s="11">
        <v>0</v>
      </c>
      <c r="M887" s="11">
        <v>1046.6399999999999</v>
      </c>
      <c r="N887" s="11">
        <f t="shared" si="27"/>
        <v>9768.64</v>
      </c>
    </row>
    <row r="888" spans="3:14" x14ac:dyDescent="0.3">
      <c r="C888" s="6">
        <v>44006</v>
      </c>
      <c r="D888" s="7" t="s">
        <v>191</v>
      </c>
      <c r="E888" s="8">
        <v>2020</v>
      </c>
      <c r="F888" s="9" t="s">
        <v>111</v>
      </c>
      <c r="G888" s="9" t="s">
        <v>16</v>
      </c>
      <c r="H888" s="10" t="s">
        <v>30</v>
      </c>
      <c r="I888" s="7">
        <v>57</v>
      </c>
      <c r="J888" s="11">
        <v>33</v>
      </c>
      <c r="K888" s="11">
        <f t="shared" si="26"/>
        <v>1881</v>
      </c>
      <c r="L888" s="11">
        <v>0</v>
      </c>
      <c r="M888" s="11">
        <v>225.72</v>
      </c>
      <c r="N888" s="11">
        <f t="shared" si="27"/>
        <v>2106.7199999999998</v>
      </c>
    </row>
    <row r="889" spans="3:14" x14ac:dyDescent="0.3">
      <c r="C889" s="6">
        <v>44007</v>
      </c>
      <c r="D889" s="7" t="s">
        <v>191</v>
      </c>
      <c r="E889" s="8">
        <v>2020</v>
      </c>
      <c r="F889" s="9" t="s">
        <v>193</v>
      </c>
      <c r="G889" s="9" t="s">
        <v>26</v>
      </c>
      <c r="H889" s="10" t="s">
        <v>102</v>
      </c>
      <c r="I889" s="7">
        <v>62</v>
      </c>
      <c r="J889" s="11">
        <v>28</v>
      </c>
      <c r="K889" s="11">
        <f t="shared" si="26"/>
        <v>1736</v>
      </c>
      <c r="L889" s="11">
        <v>0</v>
      </c>
      <c r="M889" s="11">
        <v>208.32</v>
      </c>
      <c r="N889" s="11">
        <f t="shared" si="27"/>
        <v>1944.32</v>
      </c>
    </row>
    <row r="890" spans="3:14" x14ac:dyDescent="0.3">
      <c r="C890" s="6">
        <v>44007</v>
      </c>
      <c r="D890" s="7" t="s">
        <v>191</v>
      </c>
      <c r="E890" s="8">
        <v>2020</v>
      </c>
      <c r="F890" s="9" t="s">
        <v>193</v>
      </c>
      <c r="G890" s="9" t="s">
        <v>37</v>
      </c>
      <c r="H890" s="10" t="s">
        <v>98</v>
      </c>
      <c r="I890" s="7">
        <v>15</v>
      </c>
      <c r="J890" s="11">
        <v>45</v>
      </c>
      <c r="K890" s="11">
        <f t="shared" si="26"/>
        <v>675</v>
      </c>
      <c r="L890" s="11">
        <v>0</v>
      </c>
      <c r="M890" s="11">
        <v>81</v>
      </c>
      <c r="N890" s="11">
        <f t="shared" si="27"/>
        <v>756</v>
      </c>
    </row>
    <row r="891" spans="3:14" x14ac:dyDescent="0.3">
      <c r="C891" s="6">
        <v>44008</v>
      </c>
      <c r="D891" s="7" t="s">
        <v>191</v>
      </c>
      <c r="E891" s="8">
        <v>2020</v>
      </c>
      <c r="F891" s="9" t="s">
        <v>170</v>
      </c>
      <c r="G891" s="9" t="s">
        <v>20</v>
      </c>
      <c r="H891" s="10" t="s">
        <v>136</v>
      </c>
      <c r="I891" s="7">
        <v>44</v>
      </c>
      <c r="J891" s="11">
        <v>59</v>
      </c>
      <c r="K891" s="11">
        <f t="shared" si="26"/>
        <v>2596</v>
      </c>
      <c r="L891" s="11">
        <v>5.0000000745058101E-2</v>
      </c>
      <c r="M891" s="11">
        <v>311.52</v>
      </c>
      <c r="N891" s="11">
        <f t="shared" si="27"/>
        <v>2907.4699999992549</v>
      </c>
    </row>
    <row r="892" spans="3:14" x14ac:dyDescent="0.3">
      <c r="C892" s="6">
        <v>44008</v>
      </c>
      <c r="D892" s="7" t="s">
        <v>191</v>
      </c>
      <c r="E892" s="8">
        <v>2020</v>
      </c>
      <c r="F892" s="9" t="s">
        <v>170</v>
      </c>
      <c r="G892" s="9" t="s">
        <v>24</v>
      </c>
      <c r="H892" s="10" t="s">
        <v>25</v>
      </c>
      <c r="I892" s="7">
        <v>68</v>
      </c>
      <c r="J892" s="11">
        <v>49</v>
      </c>
      <c r="K892" s="11">
        <f t="shared" si="26"/>
        <v>3332</v>
      </c>
      <c r="L892" s="11">
        <v>5.0000000745058101E-2</v>
      </c>
      <c r="M892" s="11">
        <v>399.84</v>
      </c>
      <c r="N892" s="11">
        <f t="shared" si="27"/>
        <v>3731.7899999992551</v>
      </c>
    </row>
    <row r="893" spans="3:14" x14ac:dyDescent="0.3">
      <c r="C893" s="6">
        <v>44008</v>
      </c>
      <c r="D893" s="7" t="s">
        <v>191</v>
      </c>
      <c r="E893" s="8">
        <v>2020</v>
      </c>
      <c r="F893" s="9" t="s">
        <v>170</v>
      </c>
      <c r="G893" s="9" t="s">
        <v>26</v>
      </c>
      <c r="H893" s="10" t="s">
        <v>27</v>
      </c>
      <c r="I893" s="7">
        <v>66</v>
      </c>
      <c r="J893" s="11">
        <v>77</v>
      </c>
      <c r="K893" s="11">
        <f t="shared" si="26"/>
        <v>5082</v>
      </c>
      <c r="L893" s="11">
        <v>5.0000000745058101E-2</v>
      </c>
      <c r="M893" s="11">
        <v>609.84</v>
      </c>
      <c r="N893" s="11">
        <f t="shared" si="27"/>
        <v>5691.7899999992551</v>
      </c>
    </row>
    <row r="894" spans="3:14" x14ac:dyDescent="0.3">
      <c r="C894" s="6">
        <v>44008</v>
      </c>
      <c r="D894" s="7" t="s">
        <v>191</v>
      </c>
      <c r="E894" s="8">
        <v>2020</v>
      </c>
      <c r="F894" s="9" t="s">
        <v>149</v>
      </c>
      <c r="G894" s="9" t="s">
        <v>37</v>
      </c>
      <c r="H894" s="10" t="s">
        <v>98</v>
      </c>
      <c r="I894" s="7">
        <v>68</v>
      </c>
      <c r="J894" s="11">
        <v>21</v>
      </c>
      <c r="K894" s="11">
        <f t="shared" si="26"/>
        <v>1428</v>
      </c>
      <c r="L894" s="11">
        <v>0.20000000298023199</v>
      </c>
      <c r="M894" s="11">
        <v>171.35999999999999</v>
      </c>
      <c r="N894" s="11">
        <f t="shared" si="27"/>
        <v>1599.1599999970197</v>
      </c>
    </row>
    <row r="895" spans="3:14" x14ac:dyDescent="0.3">
      <c r="C895" s="6">
        <v>44009</v>
      </c>
      <c r="D895" s="7" t="s">
        <v>191</v>
      </c>
      <c r="E895" s="8">
        <v>2020</v>
      </c>
      <c r="F895" s="9" t="s">
        <v>185</v>
      </c>
      <c r="G895" s="9" t="s">
        <v>16</v>
      </c>
      <c r="H895" s="10" t="s">
        <v>30</v>
      </c>
      <c r="I895" s="7">
        <v>33</v>
      </c>
      <c r="J895" s="11">
        <v>52</v>
      </c>
      <c r="K895" s="11">
        <f t="shared" si="26"/>
        <v>1716</v>
      </c>
      <c r="L895" s="11">
        <v>0</v>
      </c>
      <c r="M895" s="11">
        <v>205.92</v>
      </c>
      <c r="N895" s="11">
        <f t="shared" si="27"/>
        <v>1921.92</v>
      </c>
    </row>
    <row r="896" spans="3:14" x14ac:dyDescent="0.3">
      <c r="C896" s="6">
        <v>44009</v>
      </c>
      <c r="D896" s="7" t="s">
        <v>191</v>
      </c>
      <c r="E896" s="8">
        <v>2020</v>
      </c>
      <c r="F896" s="9" t="s">
        <v>185</v>
      </c>
      <c r="G896" s="9" t="s">
        <v>37</v>
      </c>
      <c r="H896" s="10" t="s">
        <v>77</v>
      </c>
      <c r="I896" s="7">
        <v>13</v>
      </c>
      <c r="J896" s="11">
        <v>21</v>
      </c>
      <c r="K896" s="11">
        <f t="shared" si="26"/>
        <v>273</v>
      </c>
      <c r="L896" s="11">
        <v>0</v>
      </c>
      <c r="M896" s="11">
        <v>32.76</v>
      </c>
      <c r="N896" s="11">
        <f t="shared" si="27"/>
        <v>305.76</v>
      </c>
    </row>
    <row r="897" spans="3:14" x14ac:dyDescent="0.3">
      <c r="C897" s="6">
        <v>44012</v>
      </c>
      <c r="D897" s="7" t="s">
        <v>191</v>
      </c>
      <c r="E897" s="8">
        <v>2020</v>
      </c>
      <c r="F897" s="9" t="s">
        <v>73</v>
      </c>
      <c r="G897" s="9" t="s">
        <v>42</v>
      </c>
      <c r="H897" s="10" t="s">
        <v>79</v>
      </c>
      <c r="I897" s="7">
        <v>9</v>
      </c>
      <c r="J897" s="11">
        <v>48</v>
      </c>
      <c r="K897" s="11">
        <f t="shared" si="26"/>
        <v>432</v>
      </c>
      <c r="L897" s="11">
        <v>0</v>
      </c>
      <c r="M897" s="11">
        <v>51.839999999999996</v>
      </c>
      <c r="N897" s="11">
        <f t="shared" si="27"/>
        <v>483.84</v>
      </c>
    </row>
    <row r="898" spans="3:14" x14ac:dyDescent="0.3">
      <c r="C898" s="6">
        <v>44012</v>
      </c>
      <c r="D898" s="7" t="s">
        <v>191</v>
      </c>
      <c r="E898" s="8">
        <v>2020</v>
      </c>
      <c r="F898" s="9" t="s">
        <v>73</v>
      </c>
      <c r="G898" s="9" t="s">
        <v>14</v>
      </c>
      <c r="H898" s="10" t="s">
        <v>35</v>
      </c>
      <c r="I898" s="7">
        <v>54</v>
      </c>
      <c r="J898" s="11">
        <v>17</v>
      </c>
      <c r="K898" s="11">
        <f t="shared" si="26"/>
        <v>918</v>
      </c>
      <c r="L898" s="11">
        <v>0.15000000596046401</v>
      </c>
      <c r="M898" s="11">
        <v>110.16</v>
      </c>
      <c r="N898" s="11">
        <f t="shared" si="27"/>
        <v>1028.0099999940396</v>
      </c>
    </row>
    <row r="899" spans="3:14" x14ac:dyDescent="0.3">
      <c r="C899" s="6">
        <v>44012</v>
      </c>
      <c r="D899" s="7" t="s">
        <v>191</v>
      </c>
      <c r="E899" s="8">
        <v>2020</v>
      </c>
      <c r="F899" s="9" t="s">
        <v>73</v>
      </c>
      <c r="G899" s="9" t="s">
        <v>14</v>
      </c>
      <c r="H899" s="10" t="s">
        <v>117</v>
      </c>
      <c r="I899" s="7">
        <v>100</v>
      </c>
      <c r="J899" s="11">
        <v>29</v>
      </c>
      <c r="K899" s="11">
        <f t="shared" ref="K899:K962" si="28">J899*I899</f>
        <v>2900</v>
      </c>
      <c r="L899" s="11">
        <v>0.15000000596046401</v>
      </c>
      <c r="M899" s="11">
        <v>348</v>
      </c>
      <c r="N899" s="11">
        <f t="shared" ref="N899:N962" si="29">K899-L899+M899</f>
        <v>3247.8499999940395</v>
      </c>
    </row>
    <row r="900" spans="3:14" x14ac:dyDescent="0.3">
      <c r="C900" s="6">
        <v>44012</v>
      </c>
      <c r="D900" s="7" t="s">
        <v>191</v>
      </c>
      <c r="E900" s="8">
        <v>2020</v>
      </c>
      <c r="F900" s="9" t="s">
        <v>71</v>
      </c>
      <c r="G900" s="9" t="s">
        <v>14</v>
      </c>
      <c r="H900" s="10" t="s">
        <v>36</v>
      </c>
      <c r="I900" s="7">
        <v>53</v>
      </c>
      <c r="J900" s="11">
        <v>22</v>
      </c>
      <c r="K900" s="11">
        <f t="shared" si="28"/>
        <v>1166</v>
      </c>
      <c r="L900" s="11">
        <v>5.0000000745058101E-2</v>
      </c>
      <c r="M900" s="11">
        <v>139.91999999999999</v>
      </c>
      <c r="N900" s="11">
        <f t="shared" si="29"/>
        <v>1305.869999999255</v>
      </c>
    </row>
    <row r="901" spans="3:14" x14ac:dyDescent="0.3">
      <c r="C901" s="6">
        <v>44013</v>
      </c>
      <c r="D901" s="7" t="s">
        <v>12</v>
      </c>
      <c r="E901" s="8">
        <v>2020</v>
      </c>
      <c r="F901" s="9" t="s">
        <v>50</v>
      </c>
      <c r="G901" s="9" t="s">
        <v>32</v>
      </c>
      <c r="H901" s="10" t="s">
        <v>143</v>
      </c>
      <c r="I901" s="7">
        <v>6</v>
      </c>
      <c r="J901" s="11">
        <v>77</v>
      </c>
      <c r="K901" s="11">
        <f t="shared" si="28"/>
        <v>462</v>
      </c>
      <c r="L901" s="11">
        <v>0</v>
      </c>
      <c r="M901" s="11">
        <v>55.44</v>
      </c>
      <c r="N901" s="11">
        <f t="shared" si="29"/>
        <v>517.44000000000005</v>
      </c>
    </row>
    <row r="902" spans="3:14" x14ac:dyDescent="0.3">
      <c r="C902" s="6">
        <v>44014</v>
      </c>
      <c r="D902" s="7" t="s">
        <v>12</v>
      </c>
      <c r="E902" s="8">
        <v>2020</v>
      </c>
      <c r="F902" s="9" t="s">
        <v>108</v>
      </c>
      <c r="G902" s="9" t="s">
        <v>16</v>
      </c>
      <c r="H902" s="10" t="s">
        <v>132</v>
      </c>
      <c r="I902" s="7">
        <v>2</v>
      </c>
      <c r="J902" s="11">
        <v>29</v>
      </c>
      <c r="K902" s="11">
        <f t="shared" si="28"/>
        <v>58</v>
      </c>
      <c r="L902" s="11">
        <v>0.15000000596046401</v>
      </c>
      <c r="M902" s="11">
        <v>6.96</v>
      </c>
      <c r="N902" s="11">
        <f t="shared" si="29"/>
        <v>64.809999994039529</v>
      </c>
    </row>
    <row r="903" spans="3:14" x14ac:dyDescent="0.3">
      <c r="C903" s="6">
        <v>44014</v>
      </c>
      <c r="D903" s="7" t="s">
        <v>12</v>
      </c>
      <c r="E903" s="8">
        <v>2020</v>
      </c>
      <c r="F903" s="9" t="s">
        <v>64</v>
      </c>
      <c r="G903" s="9" t="s">
        <v>32</v>
      </c>
      <c r="H903" s="10" t="s">
        <v>140</v>
      </c>
      <c r="I903" s="7">
        <v>48</v>
      </c>
      <c r="J903" s="11">
        <v>23</v>
      </c>
      <c r="K903" s="11">
        <f t="shared" si="28"/>
        <v>1104</v>
      </c>
      <c r="L903" s="11">
        <v>0</v>
      </c>
      <c r="M903" s="11">
        <v>132.47999999999999</v>
      </c>
      <c r="N903" s="11">
        <f t="shared" si="29"/>
        <v>1236.48</v>
      </c>
    </row>
    <row r="904" spans="3:14" x14ac:dyDescent="0.3">
      <c r="C904" s="6">
        <v>44014</v>
      </c>
      <c r="D904" s="7" t="s">
        <v>12</v>
      </c>
      <c r="E904" s="8">
        <v>2020</v>
      </c>
      <c r="F904" s="9" t="s">
        <v>64</v>
      </c>
      <c r="G904" s="9" t="s">
        <v>37</v>
      </c>
      <c r="H904" s="10" t="s">
        <v>65</v>
      </c>
      <c r="I904" s="7">
        <v>40</v>
      </c>
      <c r="J904" s="11">
        <v>28</v>
      </c>
      <c r="K904" s="11">
        <f t="shared" si="28"/>
        <v>1120</v>
      </c>
      <c r="L904" s="11">
        <v>0</v>
      </c>
      <c r="M904" s="11">
        <v>134.4</v>
      </c>
      <c r="N904" s="11">
        <f t="shared" si="29"/>
        <v>1254.4000000000001</v>
      </c>
    </row>
    <row r="905" spans="3:14" x14ac:dyDescent="0.3">
      <c r="C905" s="6">
        <v>44014</v>
      </c>
      <c r="D905" s="7" t="s">
        <v>12</v>
      </c>
      <c r="E905" s="8">
        <v>2020</v>
      </c>
      <c r="F905" s="9" t="s">
        <v>64</v>
      </c>
      <c r="G905" s="9" t="s">
        <v>26</v>
      </c>
      <c r="H905" s="10" t="s">
        <v>52</v>
      </c>
      <c r="I905" s="7">
        <v>94</v>
      </c>
      <c r="J905" s="11">
        <v>36</v>
      </c>
      <c r="K905" s="11">
        <f t="shared" si="28"/>
        <v>3384</v>
      </c>
      <c r="L905" s="11">
        <v>0</v>
      </c>
      <c r="M905" s="11">
        <v>406.08</v>
      </c>
      <c r="N905" s="11">
        <f t="shared" si="29"/>
        <v>3790.08</v>
      </c>
    </row>
    <row r="906" spans="3:14" x14ac:dyDescent="0.3">
      <c r="C906" s="6">
        <v>44015</v>
      </c>
      <c r="D906" s="7" t="s">
        <v>12</v>
      </c>
      <c r="E906" s="8">
        <v>2020</v>
      </c>
      <c r="F906" s="9" t="s">
        <v>84</v>
      </c>
      <c r="G906" s="9" t="s">
        <v>24</v>
      </c>
      <c r="H906" s="10" t="s">
        <v>115</v>
      </c>
      <c r="I906" s="7">
        <v>4</v>
      </c>
      <c r="J906" s="11">
        <v>96</v>
      </c>
      <c r="K906" s="11">
        <f t="shared" si="28"/>
        <v>384</v>
      </c>
      <c r="L906" s="11">
        <v>0.20000000298023199</v>
      </c>
      <c r="M906" s="11">
        <v>46.08</v>
      </c>
      <c r="N906" s="11">
        <f t="shared" si="29"/>
        <v>429.87999999701975</v>
      </c>
    </row>
    <row r="907" spans="3:14" x14ac:dyDescent="0.3">
      <c r="C907" s="6">
        <v>44015</v>
      </c>
      <c r="D907" s="7" t="s">
        <v>12</v>
      </c>
      <c r="E907" s="8">
        <v>2020</v>
      </c>
      <c r="F907" s="9" t="s">
        <v>84</v>
      </c>
      <c r="G907" s="9" t="s">
        <v>16</v>
      </c>
      <c r="H907" s="10" t="s">
        <v>17</v>
      </c>
      <c r="I907" s="7">
        <v>73</v>
      </c>
      <c r="J907" s="11">
        <v>64</v>
      </c>
      <c r="K907" s="11">
        <f t="shared" si="28"/>
        <v>4672</v>
      </c>
      <c r="L907" s="11">
        <v>0.20000000298023199</v>
      </c>
      <c r="M907" s="11">
        <v>560.64</v>
      </c>
      <c r="N907" s="11">
        <f t="shared" si="29"/>
        <v>5232.4399999970201</v>
      </c>
    </row>
    <row r="908" spans="3:14" x14ac:dyDescent="0.3">
      <c r="C908" s="6">
        <v>44016</v>
      </c>
      <c r="D908" s="7" t="s">
        <v>12</v>
      </c>
      <c r="E908" s="8">
        <v>2020</v>
      </c>
      <c r="F908" s="9" t="s">
        <v>189</v>
      </c>
      <c r="G908" s="9" t="s">
        <v>37</v>
      </c>
      <c r="H908" s="10" t="s">
        <v>65</v>
      </c>
      <c r="I908" s="7">
        <v>69</v>
      </c>
      <c r="J908" s="11">
        <v>47</v>
      </c>
      <c r="K908" s="11">
        <f t="shared" si="28"/>
        <v>3243</v>
      </c>
      <c r="L908" s="11">
        <v>0</v>
      </c>
      <c r="M908" s="11">
        <v>389.15999999999997</v>
      </c>
      <c r="N908" s="11">
        <f t="shared" si="29"/>
        <v>3632.16</v>
      </c>
    </row>
    <row r="909" spans="3:14" x14ac:dyDescent="0.3">
      <c r="C909" s="6">
        <v>44019</v>
      </c>
      <c r="D909" s="7" t="s">
        <v>12</v>
      </c>
      <c r="E909" s="8">
        <v>2020</v>
      </c>
      <c r="F909" s="9" t="s">
        <v>142</v>
      </c>
      <c r="G909" s="9" t="s">
        <v>37</v>
      </c>
      <c r="H909" s="10" t="s">
        <v>104</v>
      </c>
      <c r="I909" s="7">
        <v>18</v>
      </c>
      <c r="J909" s="11">
        <v>69</v>
      </c>
      <c r="K909" s="11">
        <f t="shared" si="28"/>
        <v>1242</v>
      </c>
      <c r="L909" s="11">
        <v>0</v>
      </c>
      <c r="M909" s="11">
        <v>149.04</v>
      </c>
      <c r="N909" s="11">
        <f t="shared" si="29"/>
        <v>1391.04</v>
      </c>
    </row>
    <row r="910" spans="3:14" x14ac:dyDescent="0.3">
      <c r="C910" s="6">
        <v>44019</v>
      </c>
      <c r="D910" s="7" t="s">
        <v>12</v>
      </c>
      <c r="E910" s="8">
        <v>2020</v>
      </c>
      <c r="F910" s="9" t="s">
        <v>142</v>
      </c>
      <c r="G910" s="9" t="s">
        <v>26</v>
      </c>
      <c r="H910" s="10" t="s">
        <v>52</v>
      </c>
      <c r="I910" s="7">
        <v>27</v>
      </c>
      <c r="J910" s="11">
        <v>11</v>
      </c>
      <c r="K910" s="11">
        <f t="shared" si="28"/>
        <v>297</v>
      </c>
      <c r="L910" s="11">
        <v>5.0000000745058101E-2</v>
      </c>
      <c r="M910" s="11">
        <v>35.64</v>
      </c>
      <c r="N910" s="11">
        <f t="shared" si="29"/>
        <v>332.58999999925493</v>
      </c>
    </row>
    <row r="911" spans="3:14" x14ac:dyDescent="0.3">
      <c r="C911" s="6">
        <v>44019</v>
      </c>
      <c r="D911" s="7" t="s">
        <v>12</v>
      </c>
      <c r="E911" s="8">
        <v>2020</v>
      </c>
      <c r="F911" s="9" t="s">
        <v>159</v>
      </c>
      <c r="G911" s="9" t="s">
        <v>26</v>
      </c>
      <c r="H911" s="10" t="s">
        <v>112</v>
      </c>
      <c r="I911" s="7">
        <v>79</v>
      </c>
      <c r="J911" s="11">
        <v>33</v>
      </c>
      <c r="K911" s="11">
        <f t="shared" si="28"/>
        <v>2607</v>
      </c>
      <c r="L911" s="11">
        <v>0</v>
      </c>
      <c r="M911" s="11">
        <v>312.83999999999997</v>
      </c>
      <c r="N911" s="11">
        <f t="shared" si="29"/>
        <v>2919.84</v>
      </c>
    </row>
    <row r="912" spans="3:14" x14ac:dyDescent="0.3">
      <c r="C912" s="6">
        <v>44019</v>
      </c>
      <c r="D912" s="7" t="s">
        <v>12</v>
      </c>
      <c r="E912" s="8">
        <v>2020</v>
      </c>
      <c r="F912" s="9" t="s">
        <v>159</v>
      </c>
      <c r="G912" s="9" t="s">
        <v>20</v>
      </c>
      <c r="H912" s="10" t="s">
        <v>67</v>
      </c>
      <c r="I912" s="7">
        <v>39</v>
      </c>
      <c r="J912" s="11">
        <v>82</v>
      </c>
      <c r="K912" s="11">
        <f t="shared" si="28"/>
        <v>3198</v>
      </c>
      <c r="L912" s="11">
        <v>0</v>
      </c>
      <c r="M912" s="11">
        <v>383.76</v>
      </c>
      <c r="N912" s="11">
        <f t="shared" si="29"/>
        <v>3581.76</v>
      </c>
    </row>
    <row r="913" spans="3:14" x14ac:dyDescent="0.3">
      <c r="C913" s="6">
        <v>44019</v>
      </c>
      <c r="D913" s="7" t="s">
        <v>12</v>
      </c>
      <c r="E913" s="8">
        <v>2020</v>
      </c>
      <c r="F913" s="9" t="s">
        <v>159</v>
      </c>
      <c r="G913" s="9" t="s">
        <v>42</v>
      </c>
      <c r="H913" s="10" t="s">
        <v>109</v>
      </c>
      <c r="I913" s="7">
        <v>56</v>
      </c>
      <c r="J913" s="11">
        <v>99</v>
      </c>
      <c r="K913" s="11">
        <f t="shared" si="28"/>
        <v>5544</v>
      </c>
      <c r="L913" s="11">
        <v>0</v>
      </c>
      <c r="M913" s="11">
        <v>665.28</v>
      </c>
      <c r="N913" s="11">
        <f t="shared" si="29"/>
        <v>6209.28</v>
      </c>
    </row>
    <row r="914" spans="3:14" x14ac:dyDescent="0.3">
      <c r="C914" s="6">
        <v>44020</v>
      </c>
      <c r="D914" s="7" t="s">
        <v>12</v>
      </c>
      <c r="E914" s="8">
        <v>2020</v>
      </c>
      <c r="F914" s="9" t="s">
        <v>97</v>
      </c>
      <c r="G914" s="9" t="s">
        <v>26</v>
      </c>
      <c r="H914" s="10" t="s">
        <v>102</v>
      </c>
      <c r="I914" s="7">
        <v>5</v>
      </c>
      <c r="J914" s="11">
        <v>17</v>
      </c>
      <c r="K914" s="11">
        <f t="shared" si="28"/>
        <v>85</v>
      </c>
      <c r="L914" s="11">
        <v>5.0000000745058101E-2</v>
      </c>
      <c r="M914" s="11">
        <v>10.199999999999999</v>
      </c>
      <c r="N914" s="11">
        <f t="shared" si="29"/>
        <v>95.149999999254945</v>
      </c>
    </row>
    <row r="915" spans="3:14" x14ac:dyDescent="0.3">
      <c r="C915" s="6">
        <v>44020</v>
      </c>
      <c r="D915" s="7" t="s">
        <v>12</v>
      </c>
      <c r="E915" s="8">
        <v>2020</v>
      </c>
      <c r="F915" s="9" t="s">
        <v>97</v>
      </c>
      <c r="G915" s="9" t="s">
        <v>32</v>
      </c>
      <c r="H915" s="10" t="s">
        <v>140</v>
      </c>
      <c r="I915" s="7">
        <v>73</v>
      </c>
      <c r="J915" s="11">
        <v>94</v>
      </c>
      <c r="K915" s="11">
        <f t="shared" si="28"/>
        <v>6862</v>
      </c>
      <c r="L915" s="11">
        <v>5.0000000745058101E-2</v>
      </c>
      <c r="M915" s="11">
        <v>823.43999999999994</v>
      </c>
      <c r="N915" s="11">
        <f t="shared" si="29"/>
        <v>7685.3899999992545</v>
      </c>
    </row>
    <row r="916" spans="3:14" x14ac:dyDescent="0.3">
      <c r="C916" s="6">
        <v>44021</v>
      </c>
      <c r="D916" s="7" t="s">
        <v>12</v>
      </c>
      <c r="E916" s="8">
        <v>2020</v>
      </c>
      <c r="F916" s="9" t="s">
        <v>97</v>
      </c>
      <c r="G916" s="9" t="s">
        <v>32</v>
      </c>
      <c r="H916" s="10" t="s">
        <v>33</v>
      </c>
      <c r="I916" s="7">
        <v>46</v>
      </c>
      <c r="J916" s="11">
        <v>54</v>
      </c>
      <c r="K916" s="11">
        <f t="shared" si="28"/>
        <v>2484</v>
      </c>
      <c r="L916" s="11">
        <v>0.20000000298023199</v>
      </c>
      <c r="M916" s="11">
        <v>298.08</v>
      </c>
      <c r="N916" s="11">
        <f t="shared" si="29"/>
        <v>2781.8799999970197</v>
      </c>
    </row>
    <row r="917" spans="3:14" x14ac:dyDescent="0.3">
      <c r="C917" s="6">
        <v>44021</v>
      </c>
      <c r="D917" s="7" t="s">
        <v>12</v>
      </c>
      <c r="E917" s="8">
        <v>2020</v>
      </c>
      <c r="F917" s="9" t="s">
        <v>97</v>
      </c>
      <c r="G917" s="9" t="s">
        <v>14</v>
      </c>
      <c r="H917" s="10" t="s">
        <v>117</v>
      </c>
      <c r="I917" s="7">
        <v>51</v>
      </c>
      <c r="J917" s="11">
        <v>95</v>
      </c>
      <c r="K917" s="11">
        <f t="shared" si="28"/>
        <v>4845</v>
      </c>
      <c r="L917" s="11">
        <v>0.20000000298023199</v>
      </c>
      <c r="M917" s="11">
        <v>581.4</v>
      </c>
      <c r="N917" s="11">
        <f t="shared" si="29"/>
        <v>5426.1999999970194</v>
      </c>
    </row>
    <row r="918" spans="3:14" x14ac:dyDescent="0.3">
      <c r="C918" s="6">
        <v>44021</v>
      </c>
      <c r="D918" s="7" t="s">
        <v>12</v>
      </c>
      <c r="E918" s="8">
        <v>2020</v>
      </c>
      <c r="F918" s="9" t="s">
        <v>97</v>
      </c>
      <c r="G918" s="9" t="s">
        <v>37</v>
      </c>
      <c r="H918" s="10" t="s">
        <v>77</v>
      </c>
      <c r="I918" s="7">
        <v>94</v>
      </c>
      <c r="J918" s="11">
        <v>32</v>
      </c>
      <c r="K918" s="11">
        <f t="shared" si="28"/>
        <v>3008</v>
      </c>
      <c r="L918" s="11">
        <v>0.20000000298023199</v>
      </c>
      <c r="M918" s="11">
        <v>360.96</v>
      </c>
      <c r="N918" s="11">
        <f t="shared" si="29"/>
        <v>3368.7599999970198</v>
      </c>
    </row>
    <row r="919" spans="3:14" x14ac:dyDescent="0.3">
      <c r="C919" s="6">
        <v>44021</v>
      </c>
      <c r="D919" s="7" t="s">
        <v>12</v>
      </c>
      <c r="E919" s="8">
        <v>2020</v>
      </c>
      <c r="F919" s="9" t="s">
        <v>61</v>
      </c>
      <c r="G919" s="9" t="s">
        <v>16</v>
      </c>
      <c r="H919" s="10" t="s">
        <v>132</v>
      </c>
      <c r="I919" s="7">
        <v>71</v>
      </c>
      <c r="J919" s="11">
        <v>61</v>
      </c>
      <c r="K919" s="11">
        <f t="shared" si="28"/>
        <v>4331</v>
      </c>
      <c r="L919" s="11">
        <v>0</v>
      </c>
      <c r="M919" s="11">
        <v>519.72</v>
      </c>
      <c r="N919" s="11">
        <f t="shared" si="29"/>
        <v>4850.72</v>
      </c>
    </row>
    <row r="920" spans="3:14" x14ac:dyDescent="0.3">
      <c r="C920" s="6">
        <v>44021</v>
      </c>
      <c r="D920" s="7" t="s">
        <v>12</v>
      </c>
      <c r="E920" s="8">
        <v>2020</v>
      </c>
      <c r="F920" s="9" t="s">
        <v>61</v>
      </c>
      <c r="G920" s="9" t="s">
        <v>24</v>
      </c>
      <c r="H920" s="10" t="s">
        <v>128</v>
      </c>
      <c r="I920" s="7">
        <v>37</v>
      </c>
      <c r="J920" s="11">
        <v>40</v>
      </c>
      <c r="K920" s="11">
        <f t="shared" si="28"/>
        <v>1480</v>
      </c>
      <c r="L920" s="11">
        <v>0</v>
      </c>
      <c r="M920" s="11">
        <v>177.6</v>
      </c>
      <c r="N920" s="11">
        <f t="shared" si="29"/>
        <v>1657.6</v>
      </c>
    </row>
    <row r="921" spans="3:14" x14ac:dyDescent="0.3">
      <c r="C921" s="6">
        <v>44022</v>
      </c>
      <c r="D921" s="7" t="s">
        <v>12</v>
      </c>
      <c r="E921" s="8">
        <v>2020</v>
      </c>
      <c r="F921" s="9" t="s">
        <v>55</v>
      </c>
      <c r="G921" s="9" t="s">
        <v>37</v>
      </c>
      <c r="H921" s="10" t="s">
        <v>65</v>
      </c>
      <c r="I921" s="7">
        <v>92</v>
      </c>
      <c r="J921" s="11">
        <v>63</v>
      </c>
      <c r="K921" s="11">
        <f t="shared" si="28"/>
        <v>5796</v>
      </c>
      <c r="L921" s="11">
        <v>0.25</v>
      </c>
      <c r="M921" s="11">
        <v>695.52</v>
      </c>
      <c r="N921" s="11">
        <f t="shared" si="29"/>
        <v>6491.27</v>
      </c>
    </row>
    <row r="922" spans="3:14" x14ac:dyDescent="0.3">
      <c r="C922" s="6">
        <v>44022</v>
      </c>
      <c r="D922" s="7" t="s">
        <v>12</v>
      </c>
      <c r="E922" s="8">
        <v>2020</v>
      </c>
      <c r="F922" s="9" t="s">
        <v>55</v>
      </c>
      <c r="G922" s="9" t="s">
        <v>26</v>
      </c>
      <c r="H922" s="10" t="s">
        <v>173</v>
      </c>
      <c r="I922" s="7">
        <v>57</v>
      </c>
      <c r="J922" s="11">
        <v>77</v>
      </c>
      <c r="K922" s="11">
        <f t="shared" si="28"/>
        <v>4389</v>
      </c>
      <c r="L922" s="11">
        <v>0.25</v>
      </c>
      <c r="M922" s="11">
        <v>526.67999999999995</v>
      </c>
      <c r="N922" s="11">
        <f t="shared" si="29"/>
        <v>4915.43</v>
      </c>
    </row>
    <row r="923" spans="3:14" x14ac:dyDescent="0.3">
      <c r="C923" s="6">
        <v>44022</v>
      </c>
      <c r="D923" s="7" t="s">
        <v>12</v>
      </c>
      <c r="E923" s="8">
        <v>2020</v>
      </c>
      <c r="F923" s="9" t="s">
        <v>55</v>
      </c>
      <c r="G923" s="9" t="s">
        <v>14</v>
      </c>
      <c r="H923" s="10" t="s">
        <v>117</v>
      </c>
      <c r="I923" s="7">
        <v>29</v>
      </c>
      <c r="J923" s="11">
        <v>41</v>
      </c>
      <c r="K923" s="11">
        <f t="shared" si="28"/>
        <v>1189</v>
      </c>
      <c r="L923" s="11">
        <v>0.25</v>
      </c>
      <c r="M923" s="11">
        <v>142.68</v>
      </c>
      <c r="N923" s="11">
        <f t="shared" si="29"/>
        <v>1331.43</v>
      </c>
    </row>
    <row r="924" spans="3:14" x14ac:dyDescent="0.3">
      <c r="C924" s="6">
        <v>44023</v>
      </c>
      <c r="D924" s="7" t="s">
        <v>12</v>
      </c>
      <c r="E924" s="8">
        <v>2020</v>
      </c>
      <c r="F924" s="9" t="s">
        <v>80</v>
      </c>
      <c r="G924" s="9" t="s">
        <v>16</v>
      </c>
      <c r="H924" s="10" t="s">
        <v>68</v>
      </c>
      <c r="I924" s="7">
        <v>76</v>
      </c>
      <c r="J924" s="11">
        <v>34</v>
      </c>
      <c r="K924" s="11">
        <f t="shared" si="28"/>
        <v>2584</v>
      </c>
      <c r="L924" s="11">
        <v>0.20000000298023199</v>
      </c>
      <c r="M924" s="11">
        <v>310.08</v>
      </c>
      <c r="N924" s="11">
        <f t="shared" si="29"/>
        <v>2893.8799999970197</v>
      </c>
    </row>
    <row r="925" spans="3:14" x14ac:dyDescent="0.3">
      <c r="C925" s="6">
        <v>44023</v>
      </c>
      <c r="D925" s="7" t="s">
        <v>12</v>
      </c>
      <c r="E925" s="8">
        <v>2020</v>
      </c>
      <c r="F925" s="9" t="s">
        <v>80</v>
      </c>
      <c r="G925" s="9" t="s">
        <v>26</v>
      </c>
      <c r="H925" s="10" t="s">
        <v>95</v>
      </c>
      <c r="I925" s="7">
        <v>53</v>
      </c>
      <c r="J925" s="11">
        <v>93</v>
      </c>
      <c r="K925" s="11">
        <f t="shared" si="28"/>
        <v>4929</v>
      </c>
      <c r="L925" s="11">
        <v>0.20000000298023199</v>
      </c>
      <c r="M925" s="11">
        <v>591.48</v>
      </c>
      <c r="N925" s="11">
        <f t="shared" si="29"/>
        <v>5520.2799999970193</v>
      </c>
    </row>
    <row r="926" spans="3:14" x14ac:dyDescent="0.3">
      <c r="C926" s="6">
        <v>44023</v>
      </c>
      <c r="D926" s="7" t="s">
        <v>12</v>
      </c>
      <c r="E926" s="8">
        <v>2020</v>
      </c>
      <c r="F926" s="9" t="s">
        <v>80</v>
      </c>
      <c r="G926" s="9" t="s">
        <v>37</v>
      </c>
      <c r="H926" s="10" t="s">
        <v>98</v>
      </c>
      <c r="I926" s="7">
        <v>12</v>
      </c>
      <c r="J926" s="11">
        <v>42</v>
      </c>
      <c r="K926" s="11">
        <f t="shared" si="28"/>
        <v>504</v>
      </c>
      <c r="L926" s="11">
        <v>0.20000000298023199</v>
      </c>
      <c r="M926" s="11">
        <v>60.48</v>
      </c>
      <c r="N926" s="11">
        <f t="shared" si="29"/>
        <v>564.27999999701979</v>
      </c>
    </row>
    <row r="927" spans="3:14" x14ac:dyDescent="0.3">
      <c r="C927" s="6">
        <v>44023</v>
      </c>
      <c r="D927" s="7" t="s">
        <v>12</v>
      </c>
      <c r="E927" s="8">
        <v>2020</v>
      </c>
      <c r="F927" s="9" t="s">
        <v>152</v>
      </c>
      <c r="G927" s="9" t="s">
        <v>37</v>
      </c>
      <c r="H927" s="10" t="s">
        <v>41</v>
      </c>
      <c r="I927" s="7">
        <v>60</v>
      </c>
      <c r="J927" s="11">
        <v>42</v>
      </c>
      <c r="K927" s="11">
        <f t="shared" si="28"/>
        <v>2520</v>
      </c>
      <c r="L927" s="11">
        <v>0.20000000298023199</v>
      </c>
      <c r="M927" s="11">
        <v>302.39999999999998</v>
      </c>
      <c r="N927" s="11">
        <f t="shared" si="29"/>
        <v>2822.1999999970199</v>
      </c>
    </row>
    <row r="928" spans="3:14" x14ac:dyDescent="0.3">
      <c r="C928" s="6">
        <v>44023</v>
      </c>
      <c r="D928" s="7" t="s">
        <v>12</v>
      </c>
      <c r="E928" s="8">
        <v>2020</v>
      </c>
      <c r="F928" s="9" t="s">
        <v>152</v>
      </c>
      <c r="G928" s="9" t="s">
        <v>16</v>
      </c>
      <c r="H928" s="10" t="s">
        <v>30</v>
      </c>
      <c r="I928" s="7">
        <v>92</v>
      </c>
      <c r="J928" s="11">
        <v>77</v>
      </c>
      <c r="K928" s="11">
        <f t="shared" si="28"/>
        <v>7084</v>
      </c>
      <c r="L928" s="11">
        <v>0</v>
      </c>
      <c r="M928" s="11">
        <v>850.07999999999993</v>
      </c>
      <c r="N928" s="11">
        <f t="shared" si="29"/>
        <v>7934.08</v>
      </c>
    </row>
    <row r="929" spans="3:14" x14ac:dyDescent="0.3">
      <c r="C929" s="6">
        <v>44023</v>
      </c>
      <c r="D929" s="7" t="s">
        <v>12</v>
      </c>
      <c r="E929" s="8">
        <v>2020</v>
      </c>
      <c r="F929" s="9" t="s">
        <v>152</v>
      </c>
      <c r="G929" s="9" t="s">
        <v>26</v>
      </c>
      <c r="H929" s="10" t="s">
        <v>27</v>
      </c>
      <c r="I929" s="7">
        <v>68</v>
      </c>
      <c r="J929" s="11">
        <v>53</v>
      </c>
      <c r="K929" s="11">
        <f t="shared" si="28"/>
        <v>3604</v>
      </c>
      <c r="L929" s="11">
        <v>0.20000000298023199</v>
      </c>
      <c r="M929" s="11">
        <v>432.47999999999996</v>
      </c>
      <c r="N929" s="11">
        <f t="shared" si="29"/>
        <v>4036.2799999970198</v>
      </c>
    </row>
    <row r="930" spans="3:14" x14ac:dyDescent="0.3">
      <c r="C930" s="6">
        <v>44026</v>
      </c>
      <c r="D930" s="7" t="s">
        <v>12</v>
      </c>
      <c r="E930" s="8">
        <v>2020</v>
      </c>
      <c r="F930" s="9" t="s">
        <v>66</v>
      </c>
      <c r="G930" s="9" t="s">
        <v>32</v>
      </c>
      <c r="H930" s="10" t="s">
        <v>54</v>
      </c>
      <c r="I930" s="7">
        <v>95</v>
      </c>
      <c r="J930" s="11">
        <v>40</v>
      </c>
      <c r="K930" s="11">
        <f t="shared" si="28"/>
        <v>3800</v>
      </c>
      <c r="L930" s="11">
        <v>0</v>
      </c>
      <c r="M930" s="11">
        <v>456</v>
      </c>
      <c r="N930" s="11">
        <f t="shared" si="29"/>
        <v>4256</v>
      </c>
    </row>
    <row r="931" spans="3:14" x14ac:dyDescent="0.3">
      <c r="C931" s="6">
        <v>44026</v>
      </c>
      <c r="D931" s="7" t="s">
        <v>12</v>
      </c>
      <c r="E931" s="8">
        <v>2020</v>
      </c>
      <c r="F931" s="9" t="s">
        <v>66</v>
      </c>
      <c r="G931" s="9" t="s">
        <v>14</v>
      </c>
      <c r="H931" s="10" t="s">
        <v>87</v>
      </c>
      <c r="I931" s="7">
        <v>53</v>
      </c>
      <c r="J931" s="11">
        <v>68</v>
      </c>
      <c r="K931" s="11">
        <f t="shared" si="28"/>
        <v>3604</v>
      </c>
      <c r="L931" s="11">
        <v>0</v>
      </c>
      <c r="M931" s="11">
        <v>432.47999999999996</v>
      </c>
      <c r="N931" s="11">
        <f t="shared" si="29"/>
        <v>4036.48</v>
      </c>
    </row>
    <row r="932" spans="3:14" x14ac:dyDescent="0.3">
      <c r="C932" s="6">
        <v>44027</v>
      </c>
      <c r="D932" s="7" t="s">
        <v>12</v>
      </c>
      <c r="E932" s="8">
        <v>2020</v>
      </c>
      <c r="F932" s="9" t="s">
        <v>111</v>
      </c>
      <c r="G932" s="9" t="s">
        <v>32</v>
      </c>
      <c r="H932" s="10" t="s">
        <v>62</v>
      </c>
      <c r="I932" s="7">
        <v>9</v>
      </c>
      <c r="J932" s="11">
        <v>42</v>
      </c>
      <c r="K932" s="11">
        <f t="shared" si="28"/>
        <v>378</v>
      </c>
      <c r="L932" s="11">
        <v>0</v>
      </c>
      <c r="M932" s="11">
        <v>45.36</v>
      </c>
      <c r="N932" s="11">
        <f t="shared" si="29"/>
        <v>423.36</v>
      </c>
    </row>
    <row r="933" spans="3:14" x14ac:dyDescent="0.3">
      <c r="C933" s="6">
        <v>44028</v>
      </c>
      <c r="D933" s="7" t="s">
        <v>12</v>
      </c>
      <c r="E933" s="8">
        <v>2020</v>
      </c>
      <c r="F933" s="9" t="s">
        <v>163</v>
      </c>
      <c r="G933" s="9" t="s">
        <v>42</v>
      </c>
      <c r="H933" s="10" t="s">
        <v>109</v>
      </c>
      <c r="I933" s="7">
        <v>20</v>
      </c>
      <c r="J933" s="11">
        <v>49</v>
      </c>
      <c r="K933" s="11">
        <f t="shared" si="28"/>
        <v>980</v>
      </c>
      <c r="L933" s="11">
        <v>0</v>
      </c>
      <c r="M933" s="11">
        <v>117.6</v>
      </c>
      <c r="N933" s="11">
        <f t="shared" si="29"/>
        <v>1097.5999999999999</v>
      </c>
    </row>
    <row r="934" spans="3:14" x14ac:dyDescent="0.3">
      <c r="C934" s="6">
        <v>44028</v>
      </c>
      <c r="D934" s="7" t="s">
        <v>12</v>
      </c>
      <c r="E934" s="8">
        <v>2020</v>
      </c>
      <c r="F934" s="9" t="s">
        <v>163</v>
      </c>
      <c r="G934" s="9" t="s">
        <v>24</v>
      </c>
      <c r="H934" s="10" t="s">
        <v>96</v>
      </c>
      <c r="I934" s="7">
        <v>53</v>
      </c>
      <c r="J934" s="11">
        <v>100</v>
      </c>
      <c r="K934" s="11">
        <f t="shared" si="28"/>
        <v>5300</v>
      </c>
      <c r="L934" s="11">
        <v>0</v>
      </c>
      <c r="M934" s="11">
        <v>636</v>
      </c>
      <c r="N934" s="11">
        <f t="shared" si="29"/>
        <v>5936</v>
      </c>
    </row>
    <row r="935" spans="3:14" x14ac:dyDescent="0.3">
      <c r="C935" s="6">
        <v>44028</v>
      </c>
      <c r="D935" s="7" t="s">
        <v>12</v>
      </c>
      <c r="E935" s="8">
        <v>2020</v>
      </c>
      <c r="F935" s="9" t="s">
        <v>53</v>
      </c>
      <c r="G935" s="9" t="s">
        <v>24</v>
      </c>
      <c r="H935" s="10" t="s">
        <v>90</v>
      </c>
      <c r="I935" s="7">
        <v>28</v>
      </c>
      <c r="J935" s="11">
        <v>12</v>
      </c>
      <c r="K935" s="11">
        <f t="shared" si="28"/>
        <v>336</v>
      </c>
      <c r="L935" s="11">
        <v>0</v>
      </c>
      <c r="M935" s="11">
        <v>40.32</v>
      </c>
      <c r="N935" s="11">
        <f t="shared" si="29"/>
        <v>376.32</v>
      </c>
    </row>
    <row r="936" spans="3:14" x14ac:dyDescent="0.3">
      <c r="C936" s="6">
        <v>44028</v>
      </c>
      <c r="D936" s="7" t="s">
        <v>12</v>
      </c>
      <c r="E936" s="8">
        <v>2020</v>
      </c>
      <c r="F936" s="9" t="s">
        <v>53</v>
      </c>
      <c r="G936" s="9" t="s">
        <v>14</v>
      </c>
      <c r="H936" s="10" t="s">
        <v>49</v>
      </c>
      <c r="I936" s="7">
        <v>19</v>
      </c>
      <c r="J936" s="11">
        <v>83</v>
      </c>
      <c r="K936" s="11">
        <f t="shared" si="28"/>
        <v>1577</v>
      </c>
      <c r="L936" s="11">
        <v>0</v>
      </c>
      <c r="M936" s="11">
        <v>189.23999999999998</v>
      </c>
      <c r="N936" s="11">
        <f t="shared" si="29"/>
        <v>1766.24</v>
      </c>
    </row>
    <row r="937" spans="3:14" x14ac:dyDescent="0.3">
      <c r="C937" s="6">
        <v>44029</v>
      </c>
      <c r="D937" s="7" t="s">
        <v>12</v>
      </c>
      <c r="E937" s="8">
        <v>2020</v>
      </c>
      <c r="F937" s="9" t="s">
        <v>159</v>
      </c>
      <c r="G937" s="9" t="s">
        <v>26</v>
      </c>
      <c r="H937" s="10" t="s">
        <v>52</v>
      </c>
      <c r="I937" s="7">
        <v>87</v>
      </c>
      <c r="J937" s="11">
        <v>27</v>
      </c>
      <c r="K937" s="11">
        <f t="shared" si="28"/>
        <v>2349</v>
      </c>
      <c r="L937" s="11">
        <v>0.25</v>
      </c>
      <c r="M937" s="11">
        <v>281.88</v>
      </c>
      <c r="N937" s="11">
        <f t="shared" si="29"/>
        <v>2630.63</v>
      </c>
    </row>
    <row r="938" spans="3:14" x14ac:dyDescent="0.3">
      <c r="C938" s="6">
        <v>44030</v>
      </c>
      <c r="D938" s="7" t="s">
        <v>12</v>
      </c>
      <c r="E938" s="8">
        <v>2020</v>
      </c>
      <c r="F938" s="9" t="s">
        <v>135</v>
      </c>
      <c r="G938" s="9" t="s">
        <v>16</v>
      </c>
      <c r="H938" s="10" t="s">
        <v>29</v>
      </c>
      <c r="I938" s="7">
        <v>43</v>
      </c>
      <c r="J938" s="11">
        <v>88</v>
      </c>
      <c r="K938" s="11">
        <f t="shared" si="28"/>
        <v>3784</v>
      </c>
      <c r="L938" s="11">
        <v>0</v>
      </c>
      <c r="M938" s="11">
        <v>454.08</v>
      </c>
      <c r="N938" s="11">
        <f t="shared" si="29"/>
        <v>4238.08</v>
      </c>
    </row>
    <row r="939" spans="3:14" x14ac:dyDescent="0.3">
      <c r="C939" s="6">
        <v>44030</v>
      </c>
      <c r="D939" s="7" t="s">
        <v>12</v>
      </c>
      <c r="E939" s="8">
        <v>2020</v>
      </c>
      <c r="F939" s="9" t="s">
        <v>135</v>
      </c>
      <c r="G939" s="9" t="s">
        <v>32</v>
      </c>
      <c r="H939" s="10" t="s">
        <v>39</v>
      </c>
      <c r="I939" s="7">
        <v>66</v>
      </c>
      <c r="J939" s="11">
        <v>32</v>
      </c>
      <c r="K939" s="11">
        <f t="shared" si="28"/>
        <v>2112</v>
      </c>
      <c r="L939" s="11">
        <v>5.0000000745058101E-2</v>
      </c>
      <c r="M939" s="11">
        <v>253.44</v>
      </c>
      <c r="N939" s="11">
        <f t="shared" si="29"/>
        <v>2365.389999999255</v>
      </c>
    </row>
    <row r="940" spans="3:14" x14ac:dyDescent="0.3">
      <c r="C940" s="6">
        <v>44030</v>
      </c>
      <c r="D940" s="7" t="s">
        <v>12</v>
      </c>
      <c r="E940" s="8">
        <v>2020</v>
      </c>
      <c r="F940" s="9" t="s">
        <v>138</v>
      </c>
      <c r="G940" s="9" t="s">
        <v>32</v>
      </c>
      <c r="H940" s="10" t="s">
        <v>168</v>
      </c>
      <c r="I940" s="7">
        <v>66</v>
      </c>
      <c r="J940" s="11">
        <v>88</v>
      </c>
      <c r="K940" s="11">
        <f t="shared" si="28"/>
        <v>5808</v>
      </c>
      <c r="L940" s="11">
        <v>0.10000000149011599</v>
      </c>
      <c r="M940" s="11">
        <v>696.95999999999992</v>
      </c>
      <c r="N940" s="11">
        <f t="shared" si="29"/>
        <v>6504.8599999985099</v>
      </c>
    </row>
    <row r="941" spans="3:14" x14ac:dyDescent="0.3">
      <c r="C941" s="6">
        <v>44030</v>
      </c>
      <c r="D941" s="7" t="s">
        <v>12</v>
      </c>
      <c r="E941" s="8">
        <v>2020</v>
      </c>
      <c r="F941" s="9" t="s">
        <v>138</v>
      </c>
      <c r="G941" s="9" t="s">
        <v>37</v>
      </c>
      <c r="H941" s="10" t="s">
        <v>77</v>
      </c>
      <c r="I941" s="7">
        <v>64</v>
      </c>
      <c r="J941" s="11">
        <v>34</v>
      </c>
      <c r="K941" s="11">
        <f t="shared" si="28"/>
        <v>2176</v>
      </c>
      <c r="L941" s="11">
        <v>0.10000000149011599</v>
      </c>
      <c r="M941" s="11">
        <v>261.12</v>
      </c>
      <c r="N941" s="11">
        <f t="shared" si="29"/>
        <v>2437.0199999985098</v>
      </c>
    </row>
    <row r="942" spans="3:14" x14ac:dyDescent="0.3">
      <c r="C942" s="6">
        <v>44033</v>
      </c>
      <c r="D942" s="7" t="s">
        <v>12</v>
      </c>
      <c r="E942" s="8">
        <v>2020</v>
      </c>
      <c r="F942" s="9" t="s">
        <v>142</v>
      </c>
      <c r="G942" s="9" t="s">
        <v>32</v>
      </c>
      <c r="H942" s="10" t="s">
        <v>47</v>
      </c>
      <c r="I942" s="7">
        <v>72</v>
      </c>
      <c r="J942" s="11">
        <v>60</v>
      </c>
      <c r="K942" s="11">
        <f t="shared" si="28"/>
        <v>4320</v>
      </c>
      <c r="L942" s="11">
        <v>5.0000000745058101E-2</v>
      </c>
      <c r="M942" s="11">
        <v>518.4</v>
      </c>
      <c r="N942" s="11">
        <f t="shared" si="29"/>
        <v>4838.3499999992546</v>
      </c>
    </row>
    <row r="943" spans="3:14" x14ac:dyDescent="0.3">
      <c r="C943" s="6">
        <v>44033</v>
      </c>
      <c r="D943" s="7" t="s">
        <v>12</v>
      </c>
      <c r="E943" s="8">
        <v>2020</v>
      </c>
      <c r="F943" s="9" t="s">
        <v>142</v>
      </c>
      <c r="G943" s="9" t="s">
        <v>14</v>
      </c>
      <c r="H943" s="10" t="s">
        <v>49</v>
      </c>
      <c r="I943" s="7">
        <v>83</v>
      </c>
      <c r="J943" s="11">
        <v>36</v>
      </c>
      <c r="K943" s="11">
        <f t="shared" si="28"/>
        <v>2988</v>
      </c>
      <c r="L943" s="11">
        <v>5.0000000745058101E-2</v>
      </c>
      <c r="M943" s="11">
        <v>358.56</v>
      </c>
      <c r="N943" s="11">
        <f t="shared" si="29"/>
        <v>3346.5099999992549</v>
      </c>
    </row>
    <row r="944" spans="3:14" x14ac:dyDescent="0.3">
      <c r="C944" s="6">
        <v>44033</v>
      </c>
      <c r="D944" s="7" t="s">
        <v>12</v>
      </c>
      <c r="E944" s="8">
        <v>2020</v>
      </c>
      <c r="F944" s="9" t="s">
        <v>142</v>
      </c>
      <c r="G944" s="9" t="s">
        <v>14</v>
      </c>
      <c r="H944" s="10" t="s">
        <v>35</v>
      </c>
      <c r="I944" s="7">
        <v>1</v>
      </c>
      <c r="J944" s="11">
        <v>13</v>
      </c>
      <c r="K944" s="11">
        <f t="shared" si="28"/>
        <v>13</v>
      </c>
      <c r="L944" s="11">
        <v>5.0000000745058101E-2</v>
      </c>
      <c r="M944" s="11">
        <v>1.56</v>
      </c>
      <c r="N944" s="11">
        <f t="shared" si="29"/>
        <v>14.509999999254942</v>
      </c>
    </row>
    <row r="945" spans="3:14" x14ac:dyDescent="0.3">
      <c r="C945" s="6">
        <v>44033</v>
      </c>
      <c r="D945" s="7" t="s">
        <v>12</v>
      </c>
      <c r="E945" s="8">
        <v>2020</v>
      </c>
      <c r="F945" s="9" t="s">
        <v>142</v>
      </c>
      <c r="G945" s="9" t="s">
        <v>14</v>
      </c>
      <c r="H945" s="10" t="s">
        <v>87</v>
      </c>
      <c r="I945" s="7">
        <v>9</v>
      </c>
      <c r="J945" s="11">
        <v>67</v>
      </c>
      <c r="K945" s="11">
        <f t="shared" si="28"/>
        <v>603</v>
      </c>
      <c r="L945" s="11">
        <v>5.0000000745058101E-2</v>
      </c>
      <c r="M945" s="11">
        <v>72.36</v>
      </c>
      <c r="N945" s="11">
        <f t="shared" si="29"/>
        <v>675.30999999925496</v>
      </c>
    </row>
    <row r="946" spans="3:14" x14ac:dyDescent="0.3">
      <c r="C946" s="6">
        <v>44034</v>
      </c>
      <c r="D946" s="7" t="s">
        <v>12</v>
      </c>
      <c r="E946" s="8">
        <v>2020</v>
      </c>
      <c r="F946" s="9" t="s">
        <v>19</v>
      </c>
      <c r="G946" s="9" t="s">
        <v>26</v>
      </c>
      <c r="H946" s="10" t="s">
        <v>124</v>
      </c>
      <c r="I946" s="7">
        <v>47</v>
      </c>
      <c r="J946" s="11">
        <v>69</v>
      </c>
      <c r="K946" s="11">
        <f t="shared" si="28"/>
        <v>3243</v>
      </c>
      <c r="L946" s="11">
        <v>0.20000000298023199</v>
      </c>
      <c r="M946" s="11">
        <v>389.15999999999997</v>
      </c>
      <c r="N946" s="11">
        <f t="shared" si="29"/>
        <v>3631.9599999970196</v>
      </c>
    </row>
    <row r="947" spans="3:14" x14ac:dyDescent="0.3">
      <c r="C947" s="6">
        <v>44034</v>
      </c>
      <c r="D947" s="7" t="s">
        <v>12</v>
      </c>
      <c r="E947" s="8">
        <v>2020</v>
      </c>
      <c r="F947" s="9" t="s">
        <v>19</v>
      </c>
      <c r="G947" s="9" t="s">
        <v>42</v>
      </c>
      <c r="H947" s="10" t="s">
        <v>43</v>
      </c>
      <c r="I947" s="7">
        <v>71</v>
      </c>
      <c r="J947" s="11">
        <v>67</v>
      </c>
      <c r="K947" s="11">
        <f t="shared" si="28"/>
        <v>4757</v>
      </c>
      <c r="L947" s="11">
        <v>0.20000000298023199</v>
      </c>
      <c r="M947" s="11">
        <v>570.84</v>
      </c>
      <c r="N947" s="11">
        <f t="shared" si="29"/>
        <v>5327.6399999970199</v>
      </c>
    </row>
    <row r="948" spans="3:14" x14ac:dyDescent="0.3">
      <c r="C948" s="6">
        <v>44034</v>
      </c>
      <c r="D948" s="7" t="s">
        <v>12</v>
      </c>
      <c r="E948" s="8">
        <v>2020</v>
      </c>
      <c r="F948" s="9" t="s">
        <v>19</v>
      </c>
      <c r="G948" s="9" t="s">
        <v>32</v>
      </c>
      <c r="H948" s="10" t="s">
        <v>62</v>
      </c>
      <c r="I948" s="7">
        <v>11</v>
      </c>
      <c r="J948" s="11">
        <v>86</v>
      </c>
      <c r="K948" s="11">
        <f t="shared" si="28"/>
        <v>946</v>
      </c>
      <c r="L948" s="11">
        <v>0.20000000298023199</v>
      </c>
      <c r="M948" s="11">
        <v>113.52</v>
      </c>
      <c r="N948" s="11">
        <f t="shared" si="29"/>
        <v>1059.3199999970197</v>
      </c>
    </row>
    <row r="949" spans="3:14" x14ac:dyDescent="0.3">
      <c r="C949" s="6">
        <v>44034</v>
      </c>
      <c r="D949" s="7" t="s">
        <v>12</v>
      </c>
      <c r="E949" s="8">
        <v>2020</v>
      </c>
      <c r="F949" s="9" t="s">
        <v>135</v>
      </c>
      <c r="G949" s="9" t="s">
        <v>20</v>
      </c>
      <c r="H949" s="10" t="s">
        <v>67</v>
      </c>
      <c r="I949" s="7">
        <v>94</v>
      </c>
      <c r="J949" s="11">
        <v>94</v>
      </c>
      <c r="K949" s="11">
        <f t="shared" si="28"/>
        <v>8836</v>
      </c>
      <c r="L949" s="11">
        <v>0</v>
      </c>
      <c r="M949" s="11">
        <v>1060.32</v>
      </c>
      <c r="N949" s="11">
        <f t="shared" si="29"/>
        <v>9896.32</v>
      </c>
    </row>
    <row r="950" spans="3:14" x14ac:dyDescent="0.3">
      <c r="C950" s="6">
        <v>44034</v>
      </c>
      <c r="D950" s="7" t="s">
        <v>12</v>
      </c>
      <c r="E950" s="8">
        <v>2020</v>
      </c>
      <c r="F950" s="9" t="s">
        <v>135</v>
      </c>
      <c r="G950" s="9" t="s">
        <v>42</v>
      </c>
      <c r="H950" s="10" t="s">
        <v>72</v>
      </c>
      <c r="I950" s="7">
        <v>43</v>
      </c>
      <c r="J950" s="11">
        <v>31</v>
      </c>
      <c r="K950" s="11">
        <f t="shared" si="28"/>
        <v>1333</v>
      </c>
      <c r="L950" s="11">
        <v>0</v>
      </c>
      <c r="M950" s="11">
        <v>159.96</v>
      </c>
      <c r="N950" s="11">
        <f t="shared" si="29"/>
        <v>1492.96</v>
      </c>
    </row>
    <row r="951" spans="3:14" x14ac:dyDescent="0.3">
      <c r="C951" s="6">
        <v>44034</v>
      </c>
      <c r="D951" s="7" t="s">
        <v>12</v>
      </c>
      <c r="E951" s="8">
        <v>2020</v>
      </c>
      <c r="F951" s="9" t="s">
        <v>135</v>
      </c>
      <c r="G951" s="9" t="s">
        <v>14</v>
      </c>
      <c r="H951" s="10" t="s">
        <v>34</v>
      </c>
      <c r="I951" s="7">
        <v>93</v>
      </c>
      <c r="J951" s="11">
        <v>41</v>
      </c>
      <c r="K951" s="11">
        <f t="shared" si="28"/>
        <v>3813</v>
      </c>
      <c r="L951" s="11">
        <v>0</v>
      </c>
      <c r="M951" s="11">
        <v>457.56</v>
      </c>
      <c r="N951" s="11">
        <f t="shared" si="29"/>
        <v>4270.5600000000004</v>
      </c>
    </row>
    <row r="952" spans="3:14" x14ac:dyDescent="0.3">
      <c r="C952" s="6">
        <v>44034</v>
      </c>
      <c r="D952" s="7" t="s">
        <v>12</v>
      </c>
      <c r="E952" s="8">
        <v>2020</v>
      </c>
      <c r="F952" s="9" t="s">
        <v>135</v>
      </c>
      <c r="G952" s="9" t="s">
        <v>24</v>
      </c>
      <c r="H952" s="10" t="s">
        <v>76</v>
      </c>
      <c r="I952" s="7">
        <v>16</v>
      </c>
      <c r="J952" s="11">
        <v>30</v>
      </c>
      <c r="K952" s="11">
        <f t="shared" si="28"/>
        <v>480</v>
      </c>
      <c r="L952" s="11">
        <v>0</v>
      </c>
      <c r="M952" s="11">
        <v>57.599999999999994</v>
      </c>
      <c r="N952" s="11">
        <f t="shared" si="29"/>
        <v>537.6</v>
      </c>
    </row>
    <row r="953" spans="3:14" x14ac:dyDescent="0.3">
      <c r="C953" s="6">
        <v>44034</v>
      </c>
      <c r="D953" s="7" t="s">
        <v>12</v>
      </c>
      <c r="E953" s="8">
        <v>2020</v>
      </c>
      <c r="F953" s="9" t="s">
        <v>135</v>
      </c>
      <c r="G953" s="9" t="s">
        <v>14</v>
      </c>
      <c r="H953" s="10" t="s">
        <v>18</v>
      </c>
      <c r="I953" s="7">
        <v>43</v>
      </c>
      <c r="J953" s="11">
        <v>66</v>
      </c>
      <c r="K953" s="11">
        <f t="shared" si="28"/>
        <v>2838</v>
      </c>
      <c r="L953" s="11">
        <v>0</v>
      </c>
      <c r="M953" s="11">
        <v>340.56</v>
      </c>
      <c r="N953" s="11">
        <f t="shared" si="29"/>
        <v>3178.56</v>
      </c>
    </row>
    <row r="954" spans="3:14" x14ac:dyDescent="0.3">
      <c r="C954" s="6">
        <v>44035</v>
      </c>
      <c r="D954" s="7" t="s">
        <v>12</v>
      </c>
      <c r="E954" s="8">
        <v>2020</v>
      </c>
      <c r="F954" s="9" t="s">
        <v>179</v>
      </c>
      <c r="G954" s="9" t="s">
        <v>16</v>
      </c>
      <c r="H954" s="10" t="s">
        <v>68</v>
      </c>
      <c r="I954" s="7">
        <v>19</v>
      </c>
      <c r="J954" s="11">
        <v>78</v>
      </c>
      <c r="K954" s="11">
        <f t="shared" si="28"/>
        <v>1482</v>
      </c>
      <c r="L954" s="11">
        <v>0</v>
      </c>
      <c r="M954" s="11">
        <v>177.84</v>
      </c>
      <c r="N954" s="11">
        <f t="shared" si="29"/>
        <v>1659.84</v>
      </c>
    </row>
    <row r="955" spans="3:14" x14ac:dyDescent="0.3">
      <c r="C955" s="6">
        <v>44036</v>
      </c>
      <c r="D955" s="7" t="s">
        <v>12</v>
      </c>
      <c r="E955" s="8">
        <v>2020</v>
      </c>
      <c r="F955" s="9" t="s">
        <v>127</v>
      </c>
      <c r="G955" s="9" t="s">
        <v>37</v>
      </c>
      <c r="H955" s="10" t="s">
        <v>104</v>
      </c>
      <c r="I955" s="7">
        <v>17</v>
      </c>
      <c r="J955" s="11">
        <v>23</v>
      </c>
      <c r="K955" s="11">
        <f t="shared" si="28"/>
        <v>391</v>
      </c>
      <c r="L955" s="11">
        <v>0</v>
      </c>
      <c r="M955" s="11">
        <v>46.92</v>
      </c>
      <c r="N955" s="11">
        <f t="shared" si="29"/>
        <v>437.92</v>
      </c>
    </row>
    <row r="956" spans="3:14" x14ac:dyDescent="0.3">
      <c r="C956" s="6">
        <v>44036</v>
      </c>
      <c r="D956" s="7" t="s">
        <v>12</v>
      </c>
      <c r="E956" s="8">
        <v>2020</v>
      </c>
      <c r="F956" s="9" t="s">
        <v>127</v>
      </c>
      <c r="G956" s="9" t="s">
        <v>24</v>
      </c>
      <c r="H956" s="10" t="s">
        <v>85</v>
      </c>
      <c r="I956" s="7">
        <v>5</v>
      </c>
      <c r="J956" s="11">
        <v>27</v>
      </c>
      <c r="K956" s="11">
        <f t="shared" si="28"/>
        <v>135</v>
      </c>
      <c r="L956" s="11">
        <v>0</v>
      </c>
      <c r="M956" s="11">
        <v>16.2</v>
      </c>
      <c r="N956" s="11">
        <f t="shared" si="29"/>
        <v>151.19999999999999</v>
      </c>
    </row>
    <row r="957" spans="3:14" x14ac:dyDescent="0.3">
      <c r="C957" s="6">
        <v>44036</v>
      </c>
      <c r="D957" s="7" t="s">
        <v>12</v>
      </c>
      <c r="E957" s="8">
        <v>2020</v>
      </c>
      <c r="F957" s="9" t="s">
        <v>127</v>
      </c>
      <c r="G957" s="9" t="s">
        <v>32</v>
      </c>
      <c r="H957" s="10" t="s">
        <v>59</v>
      </c>
      <c r="I957" s="7">
        <v>36</v>
      </c>
      <c r="J957" s="11">
        <v>35</v>
      </c>
      <c r="K957" s="11">
        <f t="shared" si="28"/>
        <v>1260</v>
      </c>
      <c r="L957" s="11">
        <v>0</v>
      </c>
      <c r="M957" s="11">
        <v>151.19999999999999</v>
      </c>
      <c r="N957" s="11">
        <f t="shared" si="29"/>
        <v>1411.2</v>
      </c>
    </row>
    <row r="958" spans="3:14" x14ac:dyDescent="0.3">
      <c r="C958" s="6">
        <v>44037</v>
      </c>
      <c r="D958" s="7" t="s">
        <v>12</v>
      </c>
      <c r="E958" s="8">
        <v>2020</v>
      </c>
      <c r="F958" s="9" t="s">
        <v>150</v>
      </c>
      <c r="G958" s="9" t="s">
        <v>24</v>
      </c>
      <c r="H958" s="10" t="s">
        <v>48</v>
      </c>
      <c r="I958" s="7">
        <v>45</v>
      </c>
      <c r="J958" s="11">
        <v>21</v>
      </c>
      <c r="K958" s="11">
        <f t="shared" si="28"/>
        <v>945</v>
      </c>
      <c r="L958" s="11">
        <v>0.25</v>
      </c>
      <c r="M958" s="11">
        <v>113.39999999999999</v>
      </c>
      <c r="N958" s="11">
        <f t="shared" si="29"/>
        <v>1058.1500000000001</v>
      </c>
    </row>
    <row r="959" spans="3:14" x14ac:dyDescent="0.3">
      <c r="C959" s="6">
        <v>44037</v>
      </c>
      <c r="D959" s="7" t="s">
        <v>12</v>
      </c>
      <c r="E959" s="8">
        <v>2020</v>
      </c>
      <c r="F959" s="9" t="s">
        <v>162</v>
      </c>
      <c r="G959" s="9" t="s">
        <v>37</v>
      </c>
      <c r="H959" s="10" t="s">
        <v>104</v>
      </c>
      <c r="I959" s="7">
        <v>17</v>
      </c>
      <c r="J959" s="11">
        <v>42</v>
      </c>
      <c r="K959" s="11">
        <f t="shared" si="28"/>
        <v>714</v>
      </c>
      <c r="L959" s="11">
        <v>0</v>
      </c>
      <c r="M959" s="11">
        <v>85.679999999999993</v>
      </c>
      <c r="N959" s="11">
        <f t="shared" si="29"/>
        <v>799.68</v>
      </c>
    </row>
    <row r="960" spans="3:14" x14ac:dyDescent="0.3">
      <c r="C960" s="6">
        <v>44037</v>
      </c>
      <c r="D960" s="7" t="s">
        <v>12</v>
      </c>
      <c r="E960" s="8">
        <v>2020</v>
      </c>
      <c r="F960" s="9" t="s">
        <v>162</v>
      </c>
      <c r="G960" s="9" t="s">
        <v>37</v>
      </c>
      <c r="H960" s="10" t="s">
        <v>46</v>
      </c>
      <c r="I960" s="7">
        <v>26</v>
      </c>
      <c r="J960" s="11">
        <v>55</v>
      </c>
      <c r="K960" s="11">
        <f t="shared" si="28"/>
        <v>1430</v>
      </c>
      <c r="L960" s="11">
        <v>0</v>
      </c>
      <c r="M960" s="11">
        <v>171.6</v>
      </c>
      <c r="N960" s="11">
        <f t="shared" si="29"/>
        <v>1601.6</v>
      </c>
    </row>
    <row r="961" spans="3:14" x14ac:dyDescent="0.3">
      <c r="C961" s="6">
        <v>44037</v>
      </c>
      <c r="D961" s="7" t="s">
        <v>12</v>
      </c>
      <c r="E961" s="8">
        <v>2020</v>
      </c>
      <c r="F961" s="9" t="s">
        <v>162</v>
      </c>
      <c r="G961" s="9" t="s">
        <v>14</v>
      </c>
      <c r="H961" s="10" t="s">
        <v>35</v>
      </c>
      <c r="I961" s="7">
        <v>90</v>
      </c>
      <c r="J961" s="11">
        <v>47</v>
      </c>
      <c r="K961" s="11">
        <f t="shared" si="28"/>
        <v>4230</v>
      </c>
      <c r="L961" s="11">
        <v>0</v>
      </c>
      <c r="M961" s="11">
        <v>507.59999999999997</v>
      </c>
      <c r="N961" s="11">
        <f t="shared" si="29"/>
        <v>4737.6000000000004</v>
      </c>
    </row>
    <row r="962" spans="3:14" x14ac:dyDescent="0.3">
      <c r="C962" s="6">
        <v>44040</v>
      </c>
      <c r="D962" s="7" t="s">
        <v>12</v>
      </c>
      <c r="E962" s="8">
        <v>2020</v>
      </c>
      <c r="F962" s="9" t="s">
        <v>135</v>
      </c>
      <c r="G962" s="9" t="s">
        <v>24</v>
      </c>
      <c r="H962" s="10" t="s">
        <v>85</v>
      </c>
      <c r="I962" s="7">
        <v>95</v>
      </c>
      <c r="J962" s="11">
        <v>28</v>
      </c>
      <c r="K962" s="11">
        <f t="shared" si="28"/>
        <v>2660</v>
      </c>
      <c r="L962" s="11">
        <v>0</v>
      </c>
      <c r="M962" s="11">
        <v>319.2</v>
      </c>
      <c r="N962" s="11">
        <f t="shared" si="29"/>
        <v>2979.2</v>
      </c>
    </row>
    <row r="963" spans="3:14" x14ac:dyDescent="0.3">
      <c r="C963" s="6">
        <v>44040</v>
      </c>
      <c r="D963" s="7" t="s">
        <v>12</v>
      </c>
      <c r="E963" s="8">
        <v>2020</v>
      </c>
      <c r="F963" s="9" t="s">
        <v>135</v>
      </c>
      <c r="G963" s="9" t="s">
        <v>24</v>
      </c>
      <c r="H963" s="10" t="s">
        <v>48</v>
      </c>
      <c r="I963" s="7">
        <v>68</v>
      </c>
      <c r="J963" s="11">
        <v>30</v>
      </c>
      <c r="K963" s="11">
        <f t="shared" ref="K963:K1026" si="30">J963*I963</f>
        <v>2040</v>
      </c>
      <c r="L963" s="11">
        <v>0</v>
      </c>
      <c r="M963" s="11">
        <v>244.79999999999998</v>
      </c>
      <c r="N963" s="11">
        <f t="shared" ref="N963:N1026" si="31">K963-L963+M963</f>
        <v>2284.8000000000002</v>
      </c>
    </row>
    <row r="964" spans="3:14" x14ac:dyDescent="0.3">
      <c r="C964" s="6">
        <v>44040</v>
      </c>
      <c r="D964" s="7" t="s">
        <v>12</v>
      </c>
      <c r="E964" s="8">
        <v>2020</v>
      </c>
      <c r="F964" s="9" t="s">
        <v>135</v>
      </c>
      <c r="G964" s="9" t="s">
        <v>32</v>
      </c>
      <c r="H964" s="10" t="s">
        <v>39</v>
      </c>
      <c r="I964" s="7">
        <v>78</v>
      </c>
      <c r="J964" s="11">
        <v>32</v>
      </c>
      <c r="K964" s="11">
        <f t="shared" si="30"/>
        <v>2496</v>
      </c>
      <c r="L964" s="11">
        <v>0</v>
      </c>
      <c r="M964" s="11">
        <v>299.52</v>
      </c>
      <c r="N964" s="11">
        <f t="shared" si="31"/>
        <v>2795.52</v>
      </c>
    </row>
    <row r="965" spans="3:14" x14ac:dyDescent="0.3">
      <c r="C965" s="6">
        <v>44040</v>
      </c>
      <c r="D965" s="7" t="s">
        <v>12</v>
      </c>
      <c r="E965" s="8">
        <v>2020</v>
      </c>
      <c r="F965" s="9" t="s">
        <v>135</v>
      </c>
      <c r="G965" s="9" t="s">
        <v>14</v>
      </c>
      <c r="H965" s="10" t="s">
        <v>35</v>
      </c>
      <c r="I965" s="7">
        <v>4</v>
      </c>
      <c r="J965" s="11">
        <v>16</v>
      </c>
      <c r="K965" s="11">
        <f t="shared" si="30"/>
        <v>64</v>
      </c>
      <c r="L965" s="11">
        <v>0</v>
      </c>
      <c r="M965" s="11">
        <v>7.68</v>
      </c>
      <c r="N965" s="11">
        <f t="shared" si="31"/>
        <v>71.680000000000007</v>
      </c>
    </row>
    <row r="966" spans="3:14" x14ac:dyDescent="0.3">
      <c r="C966" s="6">
        <v>44040</v>
      </c>
      <c r="D966" s="7" t="s">
        <v>12</v>
      </c>
      <c r="E966" s="8">
        <v>2020</v>
      </c>
      <c r="F966" s="9" t="s">
        <v>135</v>
      </c>
      <c r="G966" s="9" t="s">
        <v>37</v>
      </c>
      <c r="H966" s="10" t="s">
        <v>77</v>
      </c>
      <c r="I966" s="7">
        <v>81</v>
      </c>
      <c r="J966" s="11">
        <v>17</v>
      </c>
      <c r="K966" s="11">
        <f t="shared" si="30"/>
        <v>1377</v>
      </c>
      <c r="L966" s="11">
        <v>0</v>
      </c>
      <c r="M966" s="11">
        <v>165.23999999999998</v>
      </c>
      <c r="N966" s="11">
        <f t="shared" si="31"/>
        <v>1542.24</v>
      </c>
    </row>
    <row r="967" spans="3:14" x14ac:dyDescent="0.3">
      <c r="C967" s="6">
        <v>44041</v>
      </c>
      <c r="D967" s="7" t="s">
        <v>12</v>
      </c>
      <c r="E967" s="8">
        <v>2020</v>
      </c>
      <c r="F967" s="9" t="s">
        <v>53</v>
      </c>
      <c r="G967" s="9" t="s">
        <v>24</v>
      </c>
      <c r="H967" s="10" t="s">
        <v>90</v>
      </c>
      <c r="I967" s="7">
        <v>94</v>
      </c>
      <c r="J967" s="11">
        <v>90</v>
      </c>
      <c r="K967" s="11">
        <f t="shared" si="30"/>
        <v>8460</v>
      </c>
      <c r="L967" s="11">
        <v>0.10000000149011599</v>
      </c>
      <c r="M967" s="11">
        <v>1015.1999999999999</v>
      </c>
      <c r="N967" s="11">
        <f t="shared" si="31"/>
        <v>9475.0999999985106</v>
      </c>
    </row>
    <row r="968" spans="3:14" x14ac:dyDescent="0.3">
      <c r="C968" s="6">
        <v>44041</v>
      </c>
      <c r="D968" s="7" t="s">
        <v>12</v>
      </c>
      <c r="E968" s="8">
        <v>2020</v>
      </c>
      <c r="F968" s="9" t="s">
        <v>53</v>
      </c>
      <c r="G968" s="9" t="s">
        <v>37</v>
      </c>
      <c r="H968" s="10" t="s">
        <v>98</v>
      </c>
      <c r="I968" s="7">
        <v>85</v>
      </c>
      <c r="J968" s="11">
        <v>57</v>
      </c>
      <c r="K968" s="11">
        <f t="shared" si="30"/>
        <v>4845</v>
      </c>
      <c r="L968" s="11">
        <v>0</v>
      </c>
      <c r="M968" s="11">
        <v>581.4</v>
      </c>
      <c r="N968" s="11">
        <f t="shared" si="31"/>
        <v>5426.4</v>
      </c>
    </row>
    <row r="969" spans="3:14" x14ac:dyDescent="0.3">
      <c r="C969" s="6">
        <v>44041</v>
      </c>
      <c r="D969" s="7" t="s">
        <v>12</v>
      </c>
      <c r="E969" s="8">
        <v>2020</v>
      </c>
      <c r="F969" s="9" t="s">
        <v>185</v>
      </c>
      <c r="G969" s="9" t="s">
        <v>14</v>
      </c>
      <c r="H969" s="10" t="s">
        <v>15</v>
      </c>
      <c r="I969" s="7">
        <v>55</v>
      </c>
      <c r="J969" s="11">
        <v>62</v>
      </c>
      <c r="K969" s="11">
        <f t="shared" si="30"/>
        <v>3410</v>
      </c>
      <c r="L969" s="11">
        <v>0</v>
      </c>
      <c r="M969" s="11">
        <v>409.2</v>
      </c>
      <c r="N969" s="11">
        <f t="shared" si="31"/>
        <v>3819.2</v>
      </c>
    </row>
    <row r="970" spans="3:14" x14ac:dyDescent="0.3">
      <c r="C970" s="6">
        <v>44041</v>
      </c>
      <c r="D970" s="7" t="s">
        <v>12</v>
      </c>
      <c r="E970" s="8">
        <v>2020</v>
      </c>
      <c r="F970" s="9" t="s">
        <v>185</v>
      </c>
      <c r="G970" s="9" t="s">
        <v>32</v>
      </c>
      <c r="H970" s="10" t="s">
        <v>59</v>
      </c>
      <c r="I970" s="7">
        <v>25</v>
      </c>
      <c r="J970" s="11">
        <v>11</v>
      </c>
      <c r="K970" s="11">
        <f t="shared" si="30"/>
        <v>275</v>
      </c>
      <c r="L970" s="11">
        <v>0</v>
      </c>
      <c r="M970" s="11">
        <v>33</v>
      </c>
      <c r="N970" s="11">
        <f t="shared" si="31"/>
        <v>308</v>
      </c>
    </row>
    <row r="971" spans="3:14" x14ac:dyDescent="0.3">
      <c r="C971" s="6">
        <v>44041</v>
      </c>
      <c r="D971" s="7" t="s">
        <v>12</v>
      </c>
      <c r="E971" s="8">
        <v>2020</v>
      </c>
      <c r="F971" s="9" t="s">
        <v>185</v>
      </c>
      <c r="G971" s="9" t="s">
        <v>37</v>
      </c>
      <c r="H971" s="10" t="s">
        <v>38</v>
      </c>
      <c r="I971" s="7">
        <v>72</v>
      </c>
      <c r="J971" s="11">
        <v>33</v>
      </c>
      <c r="K971" s="11">
        <f t="shared" si="30"/>
        <v>2376</v>
      </c>
      <c r="L971" s="11">
        <v>0</v>
      </c>
      <c r="M971" s="11">
        <v>285.12</v>
      </c>
      <c r="N971" s="11">
        <f t="shared" si="31"/>
        <v>2661.12</v>
      </c>
    </row>
    <row r="972" spans="3:14" x14ac:dyDescent="0.3">
      <c r="C972" s="6">
        <v>44042</v>
      </c>
      <c r="D972" s="7" t="s">
        <v>12</v>
      </c>
      <c r="E972" s="8">
        <v>2020</v>
      </c>
      <c r="F972" s="9" t="s">
        <v>13</v>
      </c>
      <c r="G972" s="9" t="s">
        <v>42</v>
      </c>
      <c r="H972" s="10" t="s">
        <v>43</v>
      </c>
      <c r="I972" s="7">
        <v>10</v>
      </c>
      <c r="J972" s="11">
        <v>66</v>
      </c>
      <c r="K972" s="11">
        <f t="shared" si="30"/>
        <v>660</v>
      </c>
      <c r="L972" s="11">
        <v>0</v>
      </c>
      <c r="M972" s="11">
        <v>79.2</v>
      </c>
      <c r="N972" s="11">
        <f t="shared" si="31"/>
        <v>739.2</v>
      </c>
    </row>
    <row r="973" spans="3:14" x14ac:dyDescent="0.3">
      <c r="C973" s="6">
        <v>44043</v>
      </c>
      <c r="D973" s="7" t="s">
        <v>12</v>
      </c>
      <c r="E973" s="8">
        <v>2020</v>
      </c>
      <c r="F973" s="9" t="s">
        <v>189</v>
      </c>
      <c r="G973" s="9" t="s">
        <v>37</v>
      </c>
      <c r="H973" s="10" t="s">
        <v>139</v>
      </c>
      <c r="I973" s="7">
        <v>48</v>
      </c>
      <c r="J973" s="11">
        <v>49</v>
      </c>
      <c r="K973" s="11">
        <f t="shared" si="30"/>
        <v>2352</v>
      </c>
      <c r="L973" s="11">
        <v>5.0000000745058101E-2</v>
      </c>
      <c r="M973" s="11">
        <v>282.24</v>
      </c>
      <c r="N973" s="11">
        <f t="shared" si="31"/>
        <v>2634.1899999992547</v>
      </c>
    </row>
    <row r="974" spans="3:14" x14ac:dyDescent="0.3">
      <c r="C974" s="6">
        <v>44043</v>
      </c>
      <c r="D974" s="7" t="s">
        <v>12</v>
      </c>
      <c r="E974" s="8">
        <v>2020</v>
      </c>
      <c r="F974" s="9" t="s">
        <v>189</v>
      </c>
      <c r="G974" s="9" t="s">
        <v>16</v>
      </c>
      <c r="H974" s="10" t="s">
        <v>68</v>
      </c>
      <c r="I974" s="7">
        <v>35</v>
      </c>
      <c r="J974" s="11">
        <v>85</v>
      </c>
      <c r="K974" s="11">
        <f t="shared" si="30"/>
        <v>2975</v>
      </c>
      <c r="L974" s="11">
        <v>0</v>
      </c>
      <c r="M974" s="11">
        <v>357</v>
      </c>
      <c r="N974" s="11">
        <f t="shared" si="31"/>
        <v>3332</v>
      </c>
    </row>
    <row r="975" spans="3:14" x14ac:dyDescent="0.3">
      <c r="C975" s="6">
        <v>44043</v>
      </c>
      <c r="D975" s="7" t="s">
        <v>12</v>
      </c>
      <c r="E975" s="8">
        <v>2020</v>
      </c>
      <c r="F975" s="9" t="s">
        <v>189</v>
      </c>
      <c r="G975" s="9" t="s">
        <v>37</v>
      </c>
      <c r="H975" s="10" t="s">
        <v>63</v>
      </c>
      <c r="I975" s="7">
        <v>64</v>
      </c>
      <c r="J975" s="11">
        <v>79</v>
      </c>
      <c r="K975" s="11">
        <f t="shared" si="30"/>
        <v>5056</v>
      </c>
      <c r="L975" s="11">
        <v>5.0000000745058101E-2</v>
      </c>
      <c r="M975" s="11">
        <v>606.72</v>
      </c>
      <c r="N975" s="11">
        <f t="shared" si="31"/>
        <v>5662.6699999992552</v>
      </c>
    </row>
    <row r="976" spans="3:14" x14ac:dyDescent="0.3">
      <c r="C976" s="6">
        <v>44043</v>
      </c>
      <c r="D976" s="7" t="s">
        <v>12</v>
      </c>
      <c r="E976" s="8">
        <v>2020</v>
      </c>
      <c r="F976" s="9" t="s">
        <v>189</v>
      </c>
      <c r="G976" s="9" t="s">
        <v>14</v>
      </c>
      <c r="H976" s="10" t="s">
        <v>87</v>
      </c>
      <c r="I976" s="7">
        <v>46</v>
      </c>
      <c r="J976" s="11">
        <v>31</v>
      </c>
      <c r="K976" s="11">
        <f t="shared" si="30"/>
        <v>1426</v>
      </c>
      <c r="L976" s="11">
        <v>5.0000000745058101E-2</v>
      </c>
      <c r="M976" s="11">
        <v>171.12</v>
      </c>
      <c r="N976" s="11">
        <f t="shared" si="31"/>
        <v>1597.0699999992548</v>
      </c>
    </row>
    <row r="977" spans="3:14" x14ac:dyDescent="0.3">
      <c r="C977" s="6">
        <v>44043</v>
      </c>
      <c r="D977" s="7" t="s">
        <v>12</v>
      </c>
      <c r="E977" s="8">
        <v>2020</v>
      </c>
      <c r="F977" s="9" t="s">
        <v>189</v>
      </c>
      <c r="G977" s="9" t="s">
        <v>14</v>
      </c>
      <c r="H977" s="10" t="s">
        <v>49</v>
      </c>
      <c r="I977" s="7">
        <v>50</v>
      </c>
      <c r="J977" s="11">
        <v>63</v>
      </c>
      <c r="K977" s="11">
        <f t="shared" si="30"/>
        <v>3150</v>
      </c>
      <c r="L977" s="11">
        <v>0.15000000596046401</v>
      </c>
      <c r="M977" s="11">
        <v>378</v>
      </c>
      <c r="N977" s="11">
        <f t="shared" si="31"/>
        <v>3527.8499999940395</v>
      </c>
    </row>
    <row r="978" spans="3:14" x14ac:dyDescent="0.3">
      <c r="C978" s="6">
        <v>44044</v>
      </c>
      <c r="D978" s="7" t="s">
        <v>81</v>
      </c>
      <c r="E978" s="8">
        <v>2020</v>
      </c>
      <c r="F978" s="9" t="s">
        <v>142</v>
      </c>
      <c r="G978" s="9" t="s">
        <v>26</v>
      </c>
      <c r="H978" s="10" t="s">
        <v>125</v>
      </c>
      <c r="I978" s="7">
        <v>16</v>
      </c>
      <c r="J978" s="11">
        <v>68</v>
      </c>
      <c r="K978" s="11">
        <f t="shared" si="30"/>
        <v>1088</v>
      </c>
      <c r="L978" s="11">
        <v>0</v>
      </c>
      <c r="M978" s="11">
        <v>130.56</v>
      </c>
      <c r="N978" s="11">
        <f t="shared" si="31"/>
        <v>1218.56</v>
      </c>
    </row>
    <row r="979" spans="3:14" x14ac:dyDescent="0.3">
      <c r="C979" s="6">
        <v>44044</v>
      </c>
      <c r="D979" s="7" t="s">
        <v>81</v>
      </c>
      <c r="E979" s="8">
        <v>2020</v>
      </c>
      <c r="F979" s="9" t="s">
        <v>142</v>
      </c>
      <c r="G979" s="9" t="s">
        <v>16</v>
      </c>
      <c r="H979" s="10" t="s">
        <v>68</v>
      </c>
      <c r="I979" s="7">
        <v>28</v>
      </c>
      <c r="J979" s="11">
        <v>30</v>
      </c>
      <c r="K979" s="11">
        <f t="shared" si="30"/>
        <v>840</v>
      </c>
      <c r="L979" s="11">
        <v>0</v>
      </c>
      <c r="M979" s="11">
        <v>100.8</v>
      </c>
      <c r="N979" s="11">
        <f t="shared" si="31"/>
        <v>940.8</v>
      </c>
    </row>
    <row r="980" spans="3:14" x14ac:dyDescent="0.3">
      <c r="C980" s="6">
        <v>44044</v>
      </c>
      <c r="D980" s="7" t="s">
        <v>81</v>
      </c>
      <c r="E980" s="8">
        <v>2020</v>
      </c>
      <c r="F980" s="9" t="s">
        <v>142</v>
      </c>
      <c r="G980" s="9" t="s">
        <v>32</v>
      </c>
      <c r="H980" s="10" t="s">
        <v>110</v>
      </c>
      <c r="I980" s="7">
        <v>91</v>
      </c>
      <c r="J980" s="11">
        <v>27</v>
      </c>
      <c r="K980" s="11">
        <f t="shared" si="30"/>
        <v>2457</v>
      </c>
      <c r="L980" s="11">
        <v>0</v>
      </c>
      <c r="M980" s="11">
        <v>294.83999999999997</v>
      </c>
      <c r="N980" s="11">
        <f t="shared" si="31"/>
        <v>2751.84</v>
      </c>
    </row>
    <row r="981" spans="3:14" x14ac:dyDescent="0.3">
      <c r="C981" s="6">
        <v>44047</v>
      </c>
      <c r="D981" s="7" t="s">
        <v>81</v>
      </c>
      <c r="E981" s="8">
        <v>2020</v>
      </c>
      <c r="F981" s="9" t="s">
        <v>142</v>
      </c>
      <c r="G981" s="9" t="s">
        <v>32</v>
      </c>
      <c r="H981" s="10" t="s">
        <v>59</v>
      </c>
      <c r="I981" s="7">
        <v>23</v>
      </c>
      <c r="J981" s="11">
        <v>55</v>
      </c>
      <c r="K981" s="11">
        <f t="shared" si="30"/>
        <v>1265</v>
      </c>
      <c r="L981" s="11">
        <v>0</v>
      </c>
      <c r="M981" s="11">
        <v>151.79999999999998</v>
      </c>
      <c r="N981" s="11">
        <f t="shared" si="31"/>
        <v>1416.8</v>
      </c>
    </row>
    <row r="982" spans="3:14" x14ac:dyDescent="0.3">
      <c r="C982" s="6">
        <v>44047</v>
      </c>
      <c r="D982" s="7" t="s">
        <v>81</v>
      </c>
      <c r="E982" s="8">
        <v>2020</v>
      </c>
      <c r="F982" s="9" t="s">
        <v>142</v>
      </c>
      <c r="G982" s="9" t="s">
        <v>16</v>
      </c>
      <c r="H982" s="10" t="s">
        <v>29</v>
      </c>
      <c r="I982" s="7">
        <v>70</v>
      </c>
      <c r="J982" s="11">
        <v>48</v>
      </c>
      <c r="K982" s="11">
        <f t="shared" si="30"/>
        <v>3360</v>
      </c>
      <c r="L982" s="11">
        <v>0</v>
      </c>
      <c r="M982" s="11">
        <v>403.2</v>
      </c>
      <c r="N982" s="11">
        <f t="shared" si="31"/>
        <v>3763.2</v>
      </c>
    </row>
    <row r="983" spans="3:14" x14ac:dyDescent="0.3">
      <c r="C983" s="6">
        <v>44048</v>
      </c>
      <c r="D983" s="7" t="s">
        <v>81</v>
      </c>
      <c r="E983" s="8">
        <v>2020</v>
      </c>
      <c r="F983" s="9" t="s">
        <v>184</v>
      </c>
      <c r="G983" s="9" t="s">
        <v>37</v>
      </c>
      <c r="H983" s="10" t="s">
        <v>41</v>
      </c>
      <c r="I983" s="7">
        <v>87</v>
      </c>
      <c r="J983" s="11">
        <v>60</v>
      </c>
      <c r="K983" s="11">
        <f t="shared" si="30"/>
        <v>5220</v>
      </c>
      <c r="L983" s="11">
        <v>0</v>
      </c>
      <c r="M983" s="11">
        <v>626.4</v>
      </c>
      <c r="N983" s="11">
        <f t="shared" si="31"/>
        <v>5846.4</v>
      </c>
    </row>
    <row r="984" spans="3:14" x14ac:dyDescent="0.3">
      <c r="C984" s="6">
        <v>44048</v>
      </c>
      <c r="D984" s="7" t="s">
        <v>81</v>
      </c>
      <c r="E984" s="8">
        <v>2020</v>
      </c>
      <c r="F984" s="9" t="s">
        <v>184</v>
      </c>
      <c r="G984" s="9" t="s">
        <v>16</v>
      </c>
      <c r="H984" s="10" t="s">
        <v>132</v>
      </c>
      <c r="I984" s="7">
        <v>4</v>
      </c>
      <c r="J984" s="11">
        <v>34</v>
      </c>
      <c r="K984" s="11">
        <f t="shared" si="30"/>
        <v>136</v>
      </c>
      <c r="L984" s="11">
        <v>0</v>
      </c>
      <c r="M984" s="11">
        <v>16.32</v>
      </c>
      <c r="N984" s="11">
        <f t="shared" si="31"/>
        <v>152.32</v>
      </c>
    </row>
    <row r="985" spans="3:14" x14ac:dyDescent="0.3">
      <c r="C985" s="6">
        <v>44048</v>
      </c>
      <c r="D985" s="7" t="s">
        <v>81</v>
      </c>
      <c r="E985" s="8">
        <v>2020</v>
      </c>
      <c r="F985" s="9" t="s">
        <v>129</v>
      </c>
      <c r="G985" s="9" t="s">
        <v>32</v>
      </c>
      <c r="H985" s="10" t="s">
        <v>100</v>
      </c>
      <c r="I985" s="7">
        <v>50</v>
      </c>
      <c r="J985" s="11">
        <v>69</v>
      </c>
      <c r="K985" s="11">
        <f t="shared" si="30"/>
        <v>3450</v>
      </c>
      <c r="L985" s="11">
        <v>0</v>
      </c>
      <c r="M985" s="11">
        <v>414</v>
      </c>
      <c r="N985" s="11">
        <f t="shared" si="31"/>
        <v>3864</v>
      </c>
    </row>
    <row r="986" spans="3:14" x14ac:dyDescent="0.3">
      <c r="C986" s="6">
        <v>44048</v>
      </c>
      <c r="D986" s="7" t="s">
        <v>81</v>
      </c>
      <c r="E986" s="8">
        <v>2020</v>
      </c>
      <c r="F986" s="9" t="s">
        <v>129</v>
      </c>
      <c r="G986" s="9" t="s">
        <v>16</v>
      </c>
      <c r="H986" s="10" t="s">
        <v>145</v>
      </c>
      <c r="I986" s="7">
        <v>23</v>
      </c>
      <c r="J986" s="11">
        <v>56</v>
      </c>
      <c r="K986" s="11">
        <f t="shared" si="30"/>
        <v>1288</v>
      </c>
      <c r="L986" s="11">
        <v>0</v>
      </c>
      <c r="M986" s="11">
        <v>154.56</v>
      </c>
      <c r="N986" s="11">
        <f t="shared" si="31"/>
        <v>1442.56</v>
      </c>
    </row>
    <row r="987" spans="3:14" x14ac:dyDescent="0.3">
      <c r="C987" s="6">
        <v>44048</v>
      </c>
      <c r="D987" s="7" t="s">
        <v>81</v>
      </c>
      <c r="E987" s="8">
        <v>2020</v>
      </c>
      <c r="F987" s="9" t="s">
        <v>129</v>
      </c>
      <c r="G987" s="9" t="s">
        <v>37</v>
      </c>
      <c r="H987" s="10" t="s">
        <v>63</v>
      </c>
      <c r="I987" s="7">
        <v>26</v>
      </c>
      <c r="J987" s="11">
        <v>64</v>
      </c>
      <c r="K987" s="11">
        <f t="shared" si="30"/>
        <v>1664</v>
      </c>
      <c r="L987" s="11">
        <v>0</v>
      </c>
      <c r="M987" s="11">
        <v>199.68</v>
      </c>
      <c r="N987" s="11">
        <f t="shared" si="31"/>
        <v>1863.68</v>
      </c>
    </row>
    <row r="988" spans="3:14" x14ac:dyDescent="0.3">
      <c r="C988" s="6">
        <v>44048</v>
      </c>
      <c r="D988" s="7" t="s">
        <v>81</v>
      </c>
      <c r="E988" s="8">
        <v>2020</v>
      </c>
      <c r="F988" s="9" t="s">
        <v>129</v>
      </c>
      <c r="G988" s="9" t="s">
        <v>14</v>
      </c>
      <c r="H988" s="10" t="s">
        <v>87</v>
      </c>
      <c r="I988" s="7">
        <v>33</v>
      </c>
      <c r="J988" s="11">
        <v>60</v>
      </c>
      <c r="K988" s="11">
        <f t="shared" si="30"/>
        <v>1980</v>
      </c>
      <c r="L988" s="11">
        <v>0</v>
      </c>
      <c r="M988" s="11">
        <v>237.6</v>
      </c>
      <c r="N988" s="11">
        <f t="shared" si="31"/>
        <v>2217.6</v>
      </c>
    </row>
    <row r="989" spans="3:14" x14ac:dyDescent="0.3">
      <c r="C989" s="6">
        <v>44049</v>
      </c>
      <c r="D989" s="7" t="s">
        <v>81</v>
      </c>
      <c r="E989" s="8">
        <v>2020</v>
      </c>
      <c r="F989" s="9" t="s">
        <v>105</v>
      </c>
      <c r="G989" s="9" t="s">
        <v>37</v>
      </c>
      <c r="H989" s="10" t="s">
        <v>46</v>
      </c>
      <c r="I989" s="7">
        <v>2</v>
      </c>
      <c r="J989" s="11">
        <v>85</v>
      </c>
      <c r="K989" s="11">
        <f t="shared" si="30"/>
        <v>170</v>
      </c>
      <c r="L989" s="11">
        <v>0</v>
      </c>
      <c r="M989" s="11">
        <v>20.399999999999999</v>
      </c>
      <c r="N989" s="11">
        <f t="shared" si="31"/>
        <v>190.4</v>
      </c>
    </row>
    <row r="990" spans="3:14" x14ac:dyDescent="0.3">
      <c r="C990" s="6">
        <v>44049</v>
      </c>
      <c r="D990" s="7" t="s">
        <v>81</v>
      </c>
      <c r="E990" s="8">
        <v>2020</v>
      </c>
      <c r="F990" s="9" t="s">
        <v>105</v>
      </c>
      <c r="G990" s="9" t="s">
        <v>32</v>
      </c>
      <c r="H990" s="10" t="s">
        <v>110</v>
      </c>
      <c r="I990" s="7">
        <v>12</v>
      </c>
      <c r="J990" s="11">
        <v>14</v>
      </c>
      <c r="K990" s="11">
        <f t="shared" si="30"/>
        <v>168</v>
      </c>
      <c r="L990" s="11">
        <v>0.20000000298023199</v>
      </c>
      <c r="M990" s="11">
        <v>20.16</v>
      </c>
      <c r="N990" s="11">
        <f t="shared" si="31"/>
        <v>187.95999999701976</v>
      </c>
    </row>
    <row r="991" spans="3:14" x14ac:dyDescent="0.3">
      <c r="C991" s="6">
        <v>44050</v>
      </c>
      <c r="D991" s="7" t="s">
        <v>81</v>
      </c>
      <c r="E991" s="8">
        <v>2020</v>
      </c>
      <c r="F991" s="9" t="s">
        <v>75</v>
      </c>
      <c r="G991" s="9" t="s">
        <v>20</v>
      </c>
      <c r="H991" s="10" t="s">
        <v>136</v>
      </c>
      <c r="I991" s="7">
        <v>52</v>
      </c>
      <c r="J991" s="11">
        <v>43</v>
      </c>
      <c r="K991" s="11">
        <f t="shared" si="30"/>
        <v>2236</v>
      </c>
      <c r="L991" s="11">
        <v>0</v>
      </c>
      <c r="M991" s="11">
        <v>268.32</v>
      </c>
      <c r="N991" s="11">
        <f t="shared" si="31"/>
        <v>2504.3200000000002</v>
      </c>
    </row>
    <row r="992" spans="3:14" x14ac:dyDescent="0.3">
      <c r="C992" s="6">
        <v>44050</v>
      </c>
      <c r="D992" s="7" t="s">
        <v>81</v>
      </c>
      <c r="E992" s="8">
        <v>2020</v>
      </c>
      <c r="F992" s="9" t="s">
        <v>75</v>
      </c>
      <c r="G992" s="9" t="s">
        <v>32</v>
      </c>
      <c r="H992" s="10" t="s">
        <v>100</v>
      </c>
      <c r="I992" s="7">
        <v>87</v>
      </c>
      <c r="J992" s="11">
        <v>68</v>
      </c>
      <c r="K992" s="11">
        <f t="shared" si="30"/>
        <v>5916</v>
      </c>
      <c r="L992" s="11">
        <v>0.10000000149011599</v>
      </c>
      <c r="M992" s="11">
        <v>709.92</v>
      </c>
      <c r="N992" s="11">
        <f t="shared" si="31"/>
        <v>6625.81999999851</v>
      </c>
    </row>
    <row r="993" spans="3:14" x14ac:dyDescent="0.3">
      <c r="C993" s="6">
        <v>44050</v>
      </c>
      <c r="D993" s="7" t="s">
        <v>81</v>
      </c>
      <c r="E993" s="8">
        <v>2020</v>
      </c>
      <c r="F993" s="9" t="s">
        <v>75</v>
      </c>
      <c r="G993" s="9" t="s">
        <v>32</v>
      </c>
      <c r="H993" s="10" t="s">
        <v>59</v>
      </c>
      <c r="I993" s="7">
        <v>47</v>
      </c>
      <c r="J993" s="11">
        <v>56</v>
      </c>
      <c r="K993" s="11">
        <f t="shared" si="30"/>
        <v>2632</v>
      </c>
      <c r="L993" s="11">
        <v>0.10000000149011599</v>
      </c>
      <c r="M993" s="11">
        <v>315.83999999999997</v>
      </c>
      <c r="N993" s="11">
        <f t="shared" si="31"/>
        <v>2947.73999999851</v>
      </c>
    </row>
    <row r="994" spans="3:14" x14ac:dyDescent="0.3">
      <c r="C994" s="6">
        <v>44050</v>
      </c>
      <c r="D994" s="7" t="s">
        <v>81</v>
      </c>
      <c r="E994" s="8">
        <v>2020</v>
      </c>
      <c r="F994" s="9" t="s">
        <v>75</v>
      </c>
      <c r="G994" s="9" t="s">
        <v>37</v>
      </c>
      <c r="H994" s="10" t="s">
        <v>41</v>
      </c>
      <c r="I994" s="7">
        <v>75</v>
      </c>
      <c r="J994" s="11">
        <v>100</v>
      </c>
      <c r="K994" s="11">
        <f t="shared" si="30"/>
        <v>7500</v>
      </c>
      <c r="L994" s="11">
        <v>0</v>
      </c>
      <c r="M994" s="11">
        <v>900</v>
      </c>
      <c r="N994" s="11">
        <f t="shared" si="31"/>
        <v>8400</v>
      </c>
    </row>
    <row r="995" spans="3:14" x14ac:dyDescent="0.3">
      <c r="C995" s="6">
        <v>44050</v>
      </c>
      <c r="D995" s="7" t="s">
        <v>81</v>
      </c>
      <c r="E995" s="8">
        <v>2020</v>
      </c>
      <c r="F995" s="9" t="s">
        <v>75</v>
      </c>
      <c r="G995" s="9" t="s">
        <v>37</v>
      </c>
      <c r="H995" s="10" t="s">
        <v>65</v>
      </c>
      <c r="I995" s="7">
        <v>33</v>
      </c>
      <c r="J995" s="11">
        <v>93</v>
      </c>
      <c r="K995" s="11">
        <f t="shared" si="30"/>
        <v>3069</v>
      </c>
      <c r="L995" s="11">
        <v>0.10000000149011599</v>
      </c>
      <c r="M995" s="11">
        <v>368.28</v>
      </c>
      <c r="N995" s="11">
        <f t="shared" si="31"/>
        <v>3437.1799999985096</v>
      </c>
    </row>
    <row r="996" spans="3:14" x14ac:dyDescent="0.3">
      <c r="C996" s="6">
        <v>44050</v>
      </c>
      <c r="D996" s="7" t="s">
        <v>81</v>
      </c>
      <c r="E996" s="8">
        <v>2020</v>
      </c>
      <c r="F996" s="9" t="s">
        <v>194</v>
      </c>
      <c r="G996" s="9" t="s">
        <v>20</v>
      </c>
      <c r="H996" s="10" t="s">
        <v>92</v>
      </c>
      <c r="I996" s="7">
        <v>46</v>
      </c>
      <c r="J996" s="11">
        <v>21</v>
      </c>
      <c r="K996" s="11">
        <f t="shared" si="30"/>
        <v>966</v>
      </c>
      <c r="L996" s="11">
        <v>0</v>
      </c>
      <c r="M996" s="11">
        <v>115.92</v>
      </c>
      <c r="N996" s="11">
        <f t="shared" si="31"/>
        <v>1081.92</v>
      </c>
    </row>
    <row r="997" spans="3:14" x14ac:dyDescent="0.3">
      <c r="C997" s="6">
        <v>44050</v>
      </c>
      <c r="D997" s="7" t="s">
        <v>81</v>
      </c>
      <c r="E997" s="8">
        <v>2020</v>
      </c>
      <c r="F997" s="9" t="s">
        <v>194</v>
      </c>
      <c r="G997" s="9" t="s">
        <v>42</v>
      </c>
      <c r="H997" s="10" t="s">
        <v>79</v>
      </c>
      <c r="I997" s="7">
        <v>61</v>
      </c>
      <c r="J997" s="11">
        <v>59</v>
      </c>
      <c r="K997" s="11">
        <f t="shared" si="30"/>
        <v>3599</v>
      </c>
      <c r="L997" s="11">
        <v>0</v>
      </c>
      <c r="M997" s="11">
        <v>431.88</v>
      </c>
      <c r="N997" s="11">
        <f t="shared" si="31"/>
        <v>4030.88</v>
      </c>
    </row>
    <row r="998" spans="3:14" x14ac:dyDescent="0.3">
      <c r="C998" s="6">
        <v>44050</v>
      </c>
      <c r="D998" s="7" t="s">
        <v>81</v>
      </c>
      <c r="E998" s="8">
        <v>2020</v>
      </c>
      <c r="F998" s="9" t="s">
        <v>194</v>
      </c>
      <c r="G998" s="9" t="s">
        <v>26</v>
      </c>
      <c r="H998" s="10" t="s">
        <v>94</v>
      </c>
      <c r="I998" s="7">
        <v>74</v>
      </c>
      <c r="J998" s="11">
        <v>85</v>
      </c>
      <c r="K998" s="11">
        <f t="shared" si="30"/>
        <v>6290</v>
      </c>
      <c r="L998" s="11">
        <v>0</v>
      </c>
      <c r="M998" s="11">
        <v>754.8</v>
      </c>
      <c r="N998" s="11">
        <f t="shared" si="31"/>
        <v>7044.8</v>
      </c>
    </row>
    <row r="999" spans="3:14" x14ac:dyDescent="0.3">
      <c r="C999" s="6">
        <v>44051</v>
      </c>
      <c r="D999" s="7" t="s">
        <v>81</v>
      </c>
      <c r="E999" s="8">
        <v>2020</v>
      </c>
      <c r="F999" s="9" t="s">
        <v>123</v>
      </c>
      <c r="G999" s="9" t="s">
        <v>20</v>
      </c>
      <c r="H999" s="10" t="s">
        <v>136</v>
      </c>
      <c r="I999" s="7">
        <v>37</v>
      </c>
      <c r="J999" s="11">
        <v>57</v>
      </c>
      <c r="K999" s="11">
        <f t="shared" si="30"/>
        <v>2109</v>
      </c>
      <c r="L999" s="11">
        <v>0</v>
      </c>
      <c r="M999" s="11">
        <v>253.07999999999998</v>
      </c>
      <c r="N999" s="11">
        <f t="shared" si="31"/>
        <v>2362.08</v>
      </c>
    </row>
    <row r="1000" spans="3:14" x14ac:dyDescent="0.3">
      <c r="C1000" s="6">
        <v>44051</v>
      </c>
      <c r="D1000" s="7" t="s">
        <v>81</v>
      </c>
      <c r="E1000" s="8">
        <v>2020</v>
      </c>
      <c r="F1000" s="9" t="s">
        <v>123</v>
      </c>
      <c r="G1000" s="9" t="s">
        <v>16</v>
      </c>
      <c r="H1000" s="10" t="s">
        <v>17</v>
      </c>
      <c r="I1000" s="7">
        <v>73</v>
      </c>
      <c r="J1000" s="11">
        <v>46</v>
      </c>
      <c r="K1000" s="11">
        <f t="shared" si="30"/>
        <v>3358</v>
      </c>
      <c r="L1000" s="11">
        <v>0</v>
      </c>
      <c r="M1000" s="11">
        <v>402.96</v>
      </c>
      <c r="N1000" s="11">
        <f t="shared" si="31"/>
        <v>3760.96</v>
      </c>
    </row>
    <row r="1001" spans="3:14" x14ac:dyDescent="0.3">
      <c r="C1001" s="6">
        <v>44051</v>
      </c>
      <c r="D1001" s="7" t="s">
        <v>81</v>
      </c>
      <c r="E1001" s="8">
        <v>2020</v>
      </c>
      <c r="F1001" s="9" t="s">
        <v>123</v>
      </c>
      <c r="G1001" s="9" t="s">
        <v>14</v>
      </c>
      <c r="H1001" s="10" t="s">
        <v>35</v>
      </c>
      <c r="I1001" s="7">
        <v>83</v>
      </c>
      <c r="J1001" s="11">
        <v>68</v>
      </c>
      <c r="K1001" s="11">
        <f t="shared" si="30"/>
        <v>5644</v>
      </c>
      <c r="L1001" s="11">
        <v>0</v>
      </c>
      <c r="M1001" s="11">
        <v>677.28</v>
      </c>
      <c r="N1001" s="11">
        <f t="shared" si="31"/>
        <v>6321.28</v>
      </c>
    </row>
    <row r="1002" spans="3:14" x14ac:dyDescent="0.3">
      <c r="C1002" s="6">
        <v>44054</v>
      </c>
      <c r="D1002" s="7" t="s">
        <v>81</v>
      </c>
      <c r="E1002" s="8">
        <v>2020</v>
      </c>
      <c r="F1002" s="9" t="s">
        <v>93</v>
      </c>
      <c r="G1002" s="9" t="s">
        <v>42</v>
      </c>
      <c r="H1002" s="10" t="s">
        <v>51</v>
      </c>
      <c r="I1002" s="7">
        <v>75</v>
      </c>
      <c r="J1002" s="11">
        <v>16</v>
      </c>
      <c r="K1002" s="11">
        <f t="shared" si="30"/>
        <v>1200</v>
      </c>
      <c r="L1002" s="11">
        <v>0</v>
      </c>
      <c r="M1002" s="11">
        <v>144</v>
      </c>
      <c r="N1002" s="11">
        <f t="shared" si="31"/>
        <v>1344</v>
      </c>
    </row>
    <row r="1003" spans="3:14" x14ac:dyDescent="0.3">
      <c r="C1003" s="6">
        <v>44054</v>
      </c>
      <c r="D1003" s="7" t="s">
        <v>81</v>
      </c>
      <c r="E1003" s="8">
        <v>2020</v>
      </c>
      <c r="F1003" s="9" t="s">
        <v>93</v>
      </c>
      <c r="G1003" s="9" t="s">
        <v>14</v>
      </c>
      <c r="H1003" s="10" t="s">
        <v>35</v>
      </c>
      <c r="I1003" s="7">
        <v>46</v>
      </c>
      <c r="J1003" s="11">
        <v>77</v>
      </c>
      <c r="K1003" s="11">
        <f t="shared" si="30"/>
        <v>3542</v>
      </c>
      <c r="L1003" s="11">
        <v>0</v>
      </c>
      <c r="M1003" s="11">
        <v>425.03999999999996</v>
      </c>
      <c r="N1003" s="11">
        <f t="shared" si="31"/>
        <v>3967.04</v>
      </c>
    </row>
    <row r="1004" spans="3:14" x14ac:dyDescent="0.3">
      <c r="C1004" s="6">
        <v>44054</v>
      </c>
      <c r="D1004" s="7" t="s">
        <v>81</v>
      </c>
      <c r="E1004" s="8">
        <v>2020</v>
      </c>
      <c r="F1004" s="9" t="s">
        <v>93</v>
      </c>
      <c r="G1004" s="9" t="s">
        <v>14</v>
      </c>
      <c r="H1004" s="10" t="s">
        <v>87</v>
      </c>
      <c r="I1004" s="7">
        <v>38</v>
      </c>
      <c r="J1004" s="11">
        <v>38</v>
      </c>
      <c r="K1004" s="11">
        <f t="shared" si="30"/>
        <v>1444</v>
      </c>
      <c r="L1004" s="11">
        <v>0</v>
      </c>
      <c r="M1004" s="11">
        <v>173.28</v>
      </c>
      <c r="N1004" s="11">
        <f t="shared" si="31"/>
        <v>1617.28</v>
      </c>
    </row>
    <row r="1005" spans="3:14" x14ac:dyDescent="0.3">
      <c r="C1005" s="6">
        <v>44054</v>
      </c>
      <c r="D1005" s="7" t="s">
        <v>81</v>
      </c>
      <c r="E1005" s="8">
        <v>2020</v>
      </c>
      <c r="F1005" s="9" t="s">
        <v>135</v>
      </c>
      <c r="G1005" s="9" t="s">
        <v>32</v>
      </c>
      <c r="H1005" s="10" t="s">
        <v>62</v>
      </c>
      <c r="I1005" s="7">
        <v>55</v>
      </c>
      <c r="J1005" s="11">
        <v>87</v>
      </c>
      <c r="K1005" s="11">
        <f t="shared" si="30"/>
        <v>4785</v>
      </c>
      <c r="L1005" s="11">
        <v>0</v>
      </c>
      <c r="M1005" s="11">
        <v>574.19999999999993</v>
      </c>
      <c r="N1005" s="11">
        <f t="shared" si="31"/>
        <v>5359.2</v>
      </c>
    </row>
    <row r="1006" spans="3:14" x14ac:dyDescent="0.3">
      <c r="C1006" s="6">
        <v>44054</v>
      </c>
      <c r="D1006" s="7" t="s">
        <v>81</v>
      </c>
      <c r="E1006" s="8">
        <v>2020</v>
      </c>
      <c r="F1006" s="9" t="s">
        <v>135</v>
      </c>
      <c r="G1006" s="9" t="s">
        <v>24</v>
      </c>
      <c r="H1006" s="10" t="s">
        <v>96</v>
      </c>
      <c r="I1006" s="7">
        <v>20</v>
      </c>
      <c r="J1006" s="11">
        <v>21</v>
      </c>
      <c r="K1006" s="11">
        <f t="shared" si="30"/>
        <v>420</v>
      </c>
      <c r="L1006" s="11">
        <v>0.15000000596046401</v>
      </c>
      <c r="M1006" s="11">
        <v>50.4</v>
      </c>
      <c r="N1006" s="11">
        <f t="shared" si="31"/>
        <v>470.24999999403951</v>
      </c>
    </row>
    <row r="1007" spans="3:14" x14ac:dyDescent="0.3">
      <c r="C1007" s="6">
        <v>44055</v>
      </c>
      <c r="D1007" s="7" t="s">
        <v>81</v>
      </c>
      <c r="E1007" s="8">
        <v>2020</v>
      </c>
      <c r="F1007" s="9" t="s">
        <v>71</v>
      </c>
      <c r="G1007" s="9" t="s">
        <v>37</v>
      </c>
      <c r="H1007" s="10" t="s">
        <v>104</v>
      </c>
      <c r="I1007" s="7">
        <v>73</v>
      </c>
      <c r="J1007" s="11">
        <v>96</v>
      </c>
      <c r="K1007" s="11">
        <f t="shared" si="30"/>
        <v>7008</v>
      </c>
      <c r="L1007" s="11">
        <v>0</v>
      </c>
      <c r="M1007" s="11">
        <v>840.95999999999992</v>
      </c>
      <c r="N1007" s="11">
        <f t="shared" si="31"/>
        <v>7848.96</v>
      </c>
    </row>
    <row r="1008" spans="3:14" x14ac:dyDescent="0.3">
      <c r="C1008" s="6">
        <v>44055</v>
      </c>
      <c r="D1008" s="7" t="s">
        <v>81</v>
      </c>
      <c r="E1008" s="8">
        <v>2020</v>
      </c>
      <c r="F1008" s="9" t="s">
        <v>121</v>
      </c>
      <c r="G1008" s="9" t="s">
        <v>42</v>
      </c>
      <c r="H1008" s="10" t="s">
        <v>79</v>
      </c>
      <c r="I1008" s="7">
        <v>64</v>
      </c>
      <c r="J1008" s="11">
        <v>78</v>
      </c>
      <c r="K1008" s="11">
        <f t="shared" si="30"/>
        <v>4992</v>
      </c>
      <c r="L1008" s="11">
        <v>0</v>
      </c>
      <c r="M1008" s="11">
        <v>599.04</v>
      </c>
      <c r="N1008" s="11">
        <f t="shared" si="31"/>
        <v>5591.04</v>
      </c>
    </row>
    <row r="1009" spans="3:14" x14ac:dyDescent="0.3">
      <c r="C1009" s="6">
        <v>44055</v>
      </c>
      <c r="D1009" s="7" t="s">
        <v>81</v>
      </c>
      <c r="E1009" s="8">
        <v>2020</v>
      </c>
      <c r="F1009" s="9" t="s">
        <v>121</v>
      </c>
      <c r="G1009" s="9" t="s">
        <v>16</v>
      </c>
      <c r="H1009" s="10" t="s">
        <v>113</v>
      </c>
      <c r="I1009" s="7">
        <v>50</v>
      </c>
      <c r="J1009" s="11">
        <v>39</v>
      </c>
      <c r="K1009" s="11">
        <f t="shared" si="30"/>
        <v>1950</v>
      </c>
      <c r="L1009" s="11">
        <v>0</v>
      </c>
      <c r="M1009" s="11">
        <v>234</v>
      </c>
      <c r="N1009" s="11">
        <f t="shared" si="31"/>
        <v>2184</v>
      </c>
    </row>
    <row r="1010" spans="3:14" x14ac:dyDescent="0.3">
      <c r="C1010" s="6">
        <v>44056</v>
      </c>
      <c r="D1010" s="7" t="s">
        <v>81</v>
      </c>
      <c r="E1010" s="8">
        <v>2020</v>
      </c>
      <c r="F1010" s="9" t="s">
        <v>133</v>
      </c>
      <c r="G1010" s="9" t="s">
        <v>42</v>
      </c>
      <c r="H1010" s="10" t="s">
        <v>43</v>
      </c>
      <c r="I1010" s="7">
        <v>24</v>
      </c>
      <c r="J1010" s="11">
        <v>40</v>
      </c>
      <c r="K1010" s="11">
        <f t="shared" si="30"/>
        <v>960</v>
      </c>
      <c r="L1010" s="11">
        <v>5.0000000745058101E-2</v>
      </c>
      <c r="M1010" s="11">
        <v>115.19999999999999</v>
      </c>
      <c r="N1010" s="11">
        <f t="shared" si="31"/>
        <v>1075.149999999255</v>
      </c>
    </row>
    <row r="1011" spans="3:14" x14ac:dyDescent="0.3">
      <c r="C1011" s="6">
        <v>44056</v>
      </c>
      <c r="D1011" s="7" t="s">
        <v>81</v>
      </c>
      <c r="E1011" s="8">
        <v>2020</v>
      </c>
      <c r="F1011" s="9" t="s">
        <v>133</v>
      </c>
      <c r="G1011" s="9" t="s">
        <v>37</v>
      </c>
      <c r="H1011" s="10" t="s">
        <v>77</v>
      </c>
      <c r="I1011" s="7">
        <v>90</v>
      </c>
      <c r="J1011" s="11">
        <v>57</v>
      </c>
      <c r="K1011" s="11">
        <f t="shared" si="30"/>
        <v>5130</v>
      </c>
      <c r="L1011" s="11">
        <v>0</v>
      </c>
      <c r="M1011" s="11">
        <v>615.6</v>
      </c>
      <c r="N1011" s="11">
        <f t="shared" si="31"/>
        <v>5745.6</v>
      </c>
    </row>
    <row r="1012" spans="3:14" x14ac:dyDescent="0.3">
      <c r="C1012" s="6">
        <v>44057</v>
      </c>
      <c r="D1012" s="7" t="s">
        <v>81</v>
      </c>
      <c r="E1012" s="8">
        <v>2020</v>
      </c>
      <c r="F1012" s="9" t="s">
        <v>150</v>
      </c>
      <c r="G1012" s="9" t="s">
        <v>37</v>
      </c>
      <c r="H1012" s="10" t="s">
        <v>98</v>
      </c>
      <c r="I1012" s="7">
        <v>21</v>
      </c>
      <c r="J1012" s="11">
        <v>76</v>
      </c>
      <c r="K1012" s="11">
        <f t="shared" si="30"/>
        <v>1596</v>
      </c>
      <c r="L1012" s="11">
        <v>0.10000000149011599</v>
      </c>
      <c r="M1012" s="11">
        <v>191.51999999999998</v>
      </c>
      <c r="N1012" s="11">
        <f t="shared" si="31"/>
        <v>1787.4199999985099</v>
      </c>
    </row>
    <row r="1013" spans="3:14" x14ac:dyDescent="0.3">
      <c r="C1013" s="6">
        <v>44057</v>
      </c>
      <c r="D1013" s="7" t="s">
        <v>81</v>
      </c>
      <c r="E1013" s="8">
        <v>2020</v>
      </c>
      <c r="F1013" s="9" t="s">
        <v>120</v>
      </c>
      <c r="G1013" s="9" t="s">
        <v>37</v>
      </c>
      <c r="H1013" s="10" t="s">
        <v>46</v>
      </c>
      <c r="I1013" s="7">
        <v>47</v>
      </c>
      <c r="J1013" s="11">
        <v>60</v>
      </c>
      <c r="K1013" s="11">
        <f t="shared" si="30"/>
        <v>2820</v>
      </c>
      <c r="L1013" s="11">
        <v>5.0000000745058101E-2</v>
      </c>
      <c r="M1013" s="11">
        <v>338.4</v>
      </c>
      <c r="N1013" s="11">
        <f t="shared" si="31"/>
        <v>3158.349999999255</v>
      </c>
    </row>
    <row r="1014" spans="3:14" x14ac:dyDescent="0.3">
      <c r="C1014" s="6">
        <v>44057</v>
      </c>
      <c r="D1014" s="7" t="s">
        <v>81</v>
      </c>
      <c r="E1014" s="8">
        <v>2020</v>
      </c>
      <c r="F1014" s="9" t="s">
        <v>120</v>
      </c>
      <c r="G1014" s="9" t="s">
        <v>14</v>
      </c>
      <c r="H1014" s="10" t="s">
        <v>34</v>
      </c>
      <c r="I1014" s="7">
        <v>23</v>
      </c>
      <c r="J1014" s="11">
        <v>79</v>
      </c>
      <c r="K1014" s="11">
        <f t="shared" si="30"/>
        <v>1817</v>
      </c>
      <c r="L1014" s="11">
        <v>5.0000000745058101E-2</v>
      </c>
      <c r="M1014" s="11">
        <v>218.04</v>
      </c>
      <c r="N1014" s="11">
        <f t="shared" si="31"/>
        <v>2034.9899999992549</v>
      </c>
    </row>
    <row r="1015" spans="3:14" x14ac:dyDescent="0.3">
      <c r="C1015" s="6">
        <v>44058</v>
      </c>
      <c r="D1015" s="7" t="s">
        <v>81</v>
      </c>
      <c r="E1015" s="8">
        <v>2020</v>
      </c>
      <c r="F1015" s="9" t="s">
        <v>55</v>
      </c>
      <c r="G1015" s="9" t="s">
        <v>14</v>
      </c>
      <c r="H1015" s="10" t="s">
        <v>74</v>
      </c>
      <c r="I1015" s="7">
        <v>37</v>
      </c>
      <c r="J1015" s="11">
        <v>29</v>
      </c>
      <c r="K1015" s="11">
        <f t="shared" si="30"/>
        <v>1073</v>
      </c>
      <c r="L1015" s="11">
        <v>0.15000000596046401</v>
      </c>
      <c r="M1015" s="11">
        <v>128.76</v>
      </c>
      <c r="N1015" s="11">
        <f t="shared" si="31"/>
        <v>1201.6099999940395</v>
      </c>
    </row>
    <row r="1016" spans="3:14" x14ac:dyDescent="0.3">
      <c r="C1016" s="6">
        <v>44058</v>
      </c>
      <c r="D1016" s="7" t="s">
        <v>81</v>
      </c>
      <c r="E1016" s="8">
        <v>2020</v>
      </c>
      <c r="F1016" s="9" t="s">
        <v>55</v>
      </c>
      <c r="G1016" s="9" t="s">
        <v>24</v>
      </c>
      <c r="H1016" s="10" t="s">
        <v>90</v>
      </c>
      <c r="I1016" s="7">
        <v>50</v>
      </c>
      <c r="J1016" s="11">
        <v>42</v>
      </c>
      <c r="K1016" s="11">
        <f t="shared" si="30"/>
        <v>2100</v>
      </c>
      <c r="L1016" s="11">
        <v>0.15000000596046401</v>
      </c>
      <c r="M1016" s="11">
        <v>252</v>
      </c>
      <c r="N1016" s="11">
        <f t="shared" si="31"/>
        <v>2351.8499999940395</v>
      </c>
    </row>
    <row r="1017" spans="3:14" x14ac:dyDescent="0.3">
      <c r="C1017" s="6">
        <v>44058</v>
      </c>
      <c r="D1017" s="7" t="s">
        <v>81</v>
      </c>
      <c r="E1017" s="8">
        <v>2020</v>
      </c>
      <c r="F1017" s="9" t="s">
        <v>55</v>
      </c>
      <c r="G1017" s="9" t="s">
        <v>32</v>
      </c>
      <c r="H1017" s="10" t="s">
        <v>140</v>
      </c>
      <c r="I1017" s="7">
        <v>45</v>
      </c>
      <c r="J1017" s="11">
        <v>86</v>
      </c>
      <c r="K1017" s="11">
        <f t="shared" si="30"/>
        <v>3870</v>
      </c>
      <c r="L1017" s="11">
        <v>0.15000000596046401</v>
      </c>
      <c r="M1017" s="11">
        <v>464.4</v>
      </c>
      <c r="N1017" s="11">
        <f t="shared" si="31"/>
        <v>4334.2499999940392</v>
      </c>
    </row>
    <row r="1018" spans="3:14" x14ac:dyDescent="0.3">
      <c r="C1018" s="6">
        <v>44058</v>
      </c>
      <c r="D1018" s="7" t="s">
        <v>81</v>
      </c>
      <c r="E1018" s="8">
        <v>2020</v>
      </c>
      <c r="F1018" s="9" t="s">
        <v>55</v>
      </c>
      <c r="G1018" s="9" t="s">
        <v>32</v>
      </c>
      <c r="H1018" s="10" t="s">
        <v>62</v>
      </c>
      <c r="I1018" s="7">
        <v>66</v>
      </c>
      <c r="J1018" s="11">
        <v>78</v>
      </c>
      <c r="K1018" s="11">
        <f t="shared" si="30"/>
        <v>5148</v>
      </c>
      <c r="L1018" s="11">
        <v>0.15000000596046401</v>
      </c>
      <c r="M1018" s="11">
        <v>617.76</v>
      </c>
      <c r="N1018" s="11">
        <f t="shared" si="31"/>
        <v>5765.6099999940398</v>
      </c>
    </row>
    <row r="1019" spans="3:14" x14ac:dyDescent="0.3">
      <c r="C1019" s="6">
        <v>44058</v>
      </c>
      <c r="D1019" s="7" t="s">
        <v>81</v>
      </c>
      <c r="E1019" s="8">
        <v>2020</v>
      </c>
      <c r="F1019" s="9" t="s">
        <v>171</v>
      </c>
      <c r="G1019" s="9" t="s">
        <v>20</v>
      </c>
      <c r="H1019" s="10" t="s">
        <v>67</v>
      </c>
      <c r="I1019" s="7">
        <v>62</v>
      </c>
      <c r="J1019" s="11">
        <v>88</v>
      </c>
      <c r="K1019" s="11">
        <f t="shared" si="30"/>
        <v>5456</v>
      </c>
      <c r="L1019" s="11">
        <v>0</v>
      </c>
      <c r="M1019" s="11">
        <v>654.72</v>
      </c>
      <c r="N1019" s="11">
        <f t="shared" si="31"/>
        <v>6110.72</v>
      </c>
    </row>
    <row r="1020" spans="3:14" x14ac:dyDescent="0.3">
      <c r="C1020" s="6">
        <v>44058</v>
      </c>
      <c r="D1020" s="7" t="s">
        <v>81</v>
      </c>
      <c r="E1020" s="8">
        <v>2020</v>
      </c>
      <c r="F1020" s="9" t="s">
        <v>171</v>
      </c>
      <c r="G1020" s="9" t="s">
        <v>24</v>
      </c>
      <c r="H1020" s="10" t="s">
        <v>115</v>
      </c>
      <c r="I1020" s="7">
        <v>77</v>
      </c>
      <c r="J1020" s="11">
        <v>92</v>
      </c>
      <c r="K1020" s="11">
        <f t="shared" si="30"/>
        <v>7084</v>
      </c>
      <c r="L1020" s="11">
        <v>0</v>
      </c>
      <c r="M1020" s="11">
        <v>850.07999999999993</v>
      </c>
      <c r="N1020" s="11">
        <f t="shared" si="31"/>
        <v>7934.08</v>
      </c>
    </row>
    <row r="1021" spans="3:14" x14ac:dyDescent="0.3">
      <c r="C1021" s="6">
        <v>44058</v>
      </c>
      <c r="D1021" s="7" t="s">
        <v>81</v>
      </c>
      <c r="E1021" s="8">
        <v>2020</v>
      </c>
      <c r="F1021" s="9" t="s">
        <v>171</v>
      </c>
      <c r="G1021" s="9" t="s">
        <v>20</v>
      </c>
      <c r="H1021" s="10" t="s">
        <v>22</v>
      </c>
      <c r="I1021" s="7">
        <v>20</v>
      </c>
      <c r="J1021" s="11">
        <v>32</v>
      </c>
      <c r="K1021" s="11">
        <f t="shared" si="30"/>
        <v>640</v>
      </c>
      <c r="L1021" s="11">
        <v>0</v>
      </c>
      <c r="M1021" s="11">
        <v>76.8</v>
      </c>
      <c r="N1021" s="11">
        <f t="shared" si="31"/>
        <v>716.8</v>
      </c>
    </row>
    <row r="1022" spans="3:14" x14ac:dyDescent="0.3">
      <c r="C1022" s="6">
        <v>44058</v>
      </c>
      <c r="D1022" s="7" t="s">
        <v>81</v>
      </c>
      <c r="E1022" s="8">
        <v>2020</v>
      </c>
      <c r="F1022" s="9" t="s">
        <v>171</v>
      </c>
      <c r="G1022" s="9" t="s">
        <v>37</v>
      </c>
      <c r="H1022" s="10" t="s">
        <v>98</v>
      </c>
      <c r="I1022" s="7">
        <v>63</v>
      </c>
      <c r="J1022" s="11">
        <v>38</v>
      </c>
      <c r="K1022" s="11">
        <f t="shared" si="30"/>
        <v>2394</v>
      </c>
      <c r="L1022" s="11">
        <v>0</v>
      </c>
      <c r="M1022" s="11">
        <v>287.27999999999997</v>
      </c>
      <c r="N1022" s="11">
        <f t="shared" si="31"/>
        <v>2681.2799999999997</v>
      </c>
    </row>
    <row r="1023" spans="3:14" x14ac:dyDescent="0.3">
      <c r="C1023" s="6">
        <v>44061</v>
      </c>
      <c r="D1023" s="7" t="s">
        <v>81</v>
      </c>
      <c r="E1023" s="8">
        <v>2020</v>
      </c>
      <c r="F1023" s="9" t="s">
        <v>88</v>
      </c>
      <c r="G1023" s="9" t="s">
        <v>26</v>
      </c>
      <c r="H1023" s="10" t="s">
        <v>124</v>
      </c>
      <c r="I1023" s="7">
        <v>43</v>
      </c>
      <c r="J1023" s="11">
        <v>97</v>
      </c>
      <c r="K1023" s="11">
        <f t="shared" si="30"/>
        <v>4171</v>
      </c>
      <c r="L1023" s="11">
        <v>0.10000000149011599</v>
      </c>
      <c r="M1023" s="11">
        <v>500.52</v>
      </c>
      <c r="N1023" s="11">
        <f t="shared" si="31"/>
        <v>4671.4199999985103</v>
      </c>
    </row>
    <row r="1024" spans="3:14" x14ac:dyDescent="0.3">
      <c r="C1024" s="6">
        <v>44061</v>
      </c>
      <c r="D1024" s="7" t="s">
        <v>81</v>
      </c>
      <c r="E1024" s="8">
        <v>2020</v>
      </c>
      <c r="F1024" s="9" t="s">
        <v>88</v>
      </c>
      <c r="G1024" s="9" t="s">
        <v>26</v>
      </c>
      <c r="H1024" s="10" t="s">
        <v>56</v>
      </c>
      <c r="I1024" s="7">
        <v>19</v>
      </c>
      <c r="J1024" s="11">
        <v>20</v>
      </c>
      <c r="K1024" s="11">
        <f t="shared" si="30"/>
        <v>380</v>
      </c>
      <c r="L1024" s="11">
        <v>0.10000000149011599</v>
      </c>
      <c r="M1024" s="11">
        <v>45.6</v>
      </c>
      <c r="N1024" s="11">
        <f t="shared" si="31"/>
        <v>425.49999999850991</v>
      </c>
    </row>
    <row r="1025" spans="3:14" x14ac:dyDescent="0.3">
      <c r="C1025" s="6">
        <v>44061</v>
      </c>
      <c r="D1025" s="7" t="s">
        <v>81</v>
      </c>
      <c r="E1025" s="8">
        <v>2020</v>
      </c>
      <c r="F1025" s="9" t="s">
        <v>88</v>
      </c>
      <c r="G1025" s="9" t="s">
        <v>16</v>
      </c>
      <c r="H1025" s="10" t="s">
        <v>29</v>
      </c>
      <c r="I1025" s="7">
        <v>66</v>
      </c>
      <c r="J1025" s="11">
        <v>43</v>
      </c>
      <c r="K1025" s="11">
        <f t="shared" si="30"/>
        <v>2838</v>
      </c>
      <c r="L1025" s="11">
        <v>0</v>
      </c>
      <c r="M1025" s="11">
        <v>340.56</v>
      </c>
      <c r="N1025" s="11">
        <f t="shared" si="31"/>
        <v>3178.56</v>
      </c>
    </row>
    <row r="1026" spans="3:14" x14ac:dyDescent="0.3">
      <c r="C1026" s="6">
        <v>44062</v>
      </c>
      <c r="D1026" s="7" t="s">
        <v>81</v>
      </c>
      <c r="E1026" s="8">
        <v>2020</v>
      </c>
      <c r="F1026" s="9" t="s">
        <v>73</v>
      </c>
      <c r="G1026" s="9" t="s">
        <v>26</v>
      </c>
      <c r="H1026" s="10" t="s">
        <v>124</v>
      </c>
      <c r="I1026" s="7">
        <v>17</v>
      </c>
      <c r="J1026" s="11">
        <v>49</v>
      </c>
      <c r="K1026" s="11">
        <f t="shared" si="30"/>
        <v>833</v>
      </c>
      <c r="L1026" s="11">
        <v>0</v>
      </c>
      <c r="M1026" s="11">
        <v>99.96</v>
      </c>
      <c r="N1026" s="11">
        <f t="shared" si="31"/>
        <v>932.96</v>
      </c>
    </row>
    <row r="1027" spans="3:14" x14ac:dyDescent="0.3">
      <c r="C1027" s="6">
        <v>44062</v>
      </c>
      <c r="D1027" s="7" t="s">
        <v>81</v>
      </c>
      <c r="E1027" s="8">
        <v>2020</v>
      </c>
      <c r="F1027" s="9" t="s">
        <v>73</v>
      </c>
      <c r="G1027" s="9" t="s">
        <v>24</v>
      </c>
      <c r="H1027" s="10" t="s">
        <v>128</v>
      </c>
      <c r="I1027" s="7">
        <v>100</v>
      </c>
      <c r="J1027" s="11">
        <v>45</v>
      </c>
      <c r="K1027" s="11">
        <f t="shared" ref="K1027:K1090" si="32">J1027*I1027</f>
        <v>4500</v>
      </c>
      <c r="L1027" s="11">
        <v>0</v>
      </c>
      <c r="M1027" s="11">
        <v>540</v>
      </c>
      <c r="N1027" s="11">
        <f t="shared" ref="N1027:N1090" si="33">K1027-L1027+M1027</f>
        <v>5040</v>
      </c>
    </row>
    <row r="1028" spans="3:14" x14ac:dyDescent="0.3">
      <c r="C1028" s="6">
        <v>44062</v>
      </c>
      <c r="D1028" s="7" t="s">
        <v>81</v>
      </c>
      <c r="E1028" s="8">
        <v>2020</v>
      </c>
      <c r="F1028" s="9" t="s">
        <v>161</v>
      </c>
      <c r="G1028" s="9" t="s">
        <v>14</v>
      </c>
      <c r="H1028" s="10" t="s">
        <v>15</v>
      </c>
      <c r="I1028" s="7">
        <v>30</v>
      </c>
      <c r="J1028" s="11">
        <v>18</v>
      </c>
      <c r="K1028" s="11">
        <f t="shared" si="32"/>
        <v>540</v>
      </c>
      <c r="L1028" s="11">
        <v>0</v>
      </c>
      <c r="M1028" s="11">
        <v>64.8</v>
      </c>
      <c r="N1028" s="11">
        <f t="shared" si="33"/>
        <v>604.79999999999995</v>
      </c>
    </row>
    <row r="1029" spans="3:14" x14ac:dyDescent="0.3">
      <c r="C1029" s="6">
        <v>44062</v>
      </c>
      <c r="D1029" s="7" t="s">
        <v>81</v>
      </c>
      <c r="E1029" s="8">
        <v>2020</v>
      </c>
      <c r="F1029" s="9" t="s">
        <v>161</v>
      </c>
      <c r="G1029" s="9" t="s">
        <v>32</v>
      </c>
      <c r="H1029" s="10" t="s">
        <v>151</v>
      </c>
      <c r="I1029" s="7">
        <v>53</v>
      </c>
      <c r="J1029" s="11">
        <v>35</v>
      </c>
      <c r="K1029" s="11">
        <f t="shared" si="32"/>
        <v>1855</v>
      </c>
      <c r="L1029" s="11">
        <v>5.0000000745058101E-2</v>
      </c>
      <c r="M1029" s="11">
        <v>222.6</v>
      </c>
      <c r="N1029" s="11">
        <f t="shared" si="33"/>
        <v>2077.5499999992549</v>
      </c>
    </row>
    <row r="1030" spans="3:14" x14ac:dyDescent="0.3">
      <c r="C1030" s="6">
        <v>44062</v>
      </c>
      <c r="D1030" s="7" t="s">
        <v>81</v>
      </c>
      <c r="E1030" s="8">
        <v>2020</v>
      </c>
      <c r="F1030" s="9" t="s">
        <v>161</v>
      </c>
      <c r="G1030" s="9" t="s">
        <v>16</v>
      </c>
      <c r="H1030" s="10" t="s">
        <v>68</v>
      </c>
      <c r="I1030" s="7">
        <v>28</v>
      </c>
      <c r="J1030" s="11">
        <v>64</v>
      </c>
      <c r="K1030" s="11">
        <f t="shared" si="32"/>
        <v>1792</v>
      </c>
      <c r="L1030" s="11">
        <v>5.0000000745058101E-2</v>
      </c>
      <c r="M1030" s="11">
        <v>215.04</v>
      </c>
      <c r="N1030" s="11">
        <f t="shared" si="33"/>
        <v>2006.9899999992549</v>
      </c>
    </row>
    <row r="1031" spans="3:14" x14ac:dyDescent="0.3">
      <c r="C1031" s="6">
        <v>44063</v>
      </c>
      <c r="D1031" s="7" t="s">
        <v>81</v>
      </c>
      <c r="E1031" s="8">
        <v>2020</v>
      </c>
      <c r="F1031" s="9" t="s">
        <v>169</v>
      </c>
      <c r="G1031" s="9" t="s">
        <v>24</v>
      </c>
      <c r="H1031" s="10" t="s">
        <v>165</v>
      </c>
      <c r="I1031" s="7">
        <v>27</v>
      </c>
      <c r="J1031" s="11">
        <v>60</v>
      </c>
      <c r="K1031" s="11">
        <f t="shared" si="32"/>
        <v>1620</v>
      </c>
      <c r="L1031" s="11">
        <v>0</v>
      </c>
      <c r="M1031" s="11">
        <v>194.4</v>
      </c>
      <c r="N1031" s="11">
        <f t="shared" si="33"/>
        <v>1814.4</v>
      </c>
    </row>
    <row r="1032" spans="3:14" x14ac:dyDescent="0.3">
      <c r="C1032" s="6">
        <v>44063</v>
      </c>
      <c r="D1032" s="7" t="s">
        <v>81</v>
      </c>
      <c r="E1032" s="8">
        <v>2020</v>
      </c>
      <c r="F1032" s="9" t="s">
        <v>169</v>
      </c>
      <c r="G1032" s="9" t="s">
        <v>26</v>
      </c>
      <c r="H1032" s="10" t="s">
        <v>27</v>
      </c>
      <c r="I1032" s="7">
        <v>12</v>
      </c>
      <c r="J1032" s="11">
        <v>64</v>
      </c>
      <c r="K1032" s="11">
        <f t="shared" si="32"/>
        <v>768</v>
      </c>
      <c r="L1032" s="11">
        <v>0</v>
      </c>
      <c r="M1032" s="11">
        <v>92.16</v>
      </c>
      <c r="N1032" s="11">
        <f t="shared" si="33"/>
        <v>860.16</v>
      </c>
    </row>
    <row r="1033" spans="3:14" x14ac:dyDescent="0.3">
      <c r="C1033" s="6">
        <v>44063</v>
      </c>
      <c r="D1033" s="7" t="s">
        <v>81</v>
      </c>
      <c r="E1033" s="8">
        <v>2020</v>
      </c>
      <c r="F1033" s="9" t="s">
        <v>169</v>
      </c>
      <c r="G1033" s="9" t="s">
        <v>14</v>
      </c>
      <c r="H1033" s="10" t="s">
        <v>18</v>
      </c>
      <c r="I1033" s="7">
        <v>9</v>
      </c>
      <c r="J1033" s="11">
        <v>18</v>
      </c>
      <c r="K1033" s="11">
        <f t="shared" si="32"/>
        <v>162</v>
      </c>
      <c r="L1033" s="11">
        <v>0</v>
      </c>
      <c r="M1033" s="11">
        <v>19.439999999999998</v>
      </c>
      <c r="N1033" s="11">
        <f t="shared" si="33"/>
        <v>181.44</v>
      </c>
    </row>
    <row r="1034" spans="3:14" x14ac:dyDescent="0.3">
      <c r="C1034" s="6">
        <v>44063</v>
      </c>
      <c r="D1034" s="7" t="s">
        <v>81</v>
      </c>
      <c r="E1034" s="8">
        <v>2020</v>
      </c>
      <c r="F1034" s="9" t="s">
        <v>164</v>
      </c>
      <c r="G1034" s="9" t="s">
        <v>24</v>
      </c>
      <c r="H1034" s="10" t="s">
        <v>115</v>
      </c>
      <c r="I1034" s="7">
        <v>59</v>
      </c>
      <c r="J1034" s="11">
        <v>61</v>
      </c>
      <c r="K1034" s="11">
        <f t="shared" si="32"/>
        <v>3599</v>
      </c>
      <c r="L1034" s="11">
        <v>0</v>
      </c>
      <c r="M1034" s="11">
        <v>431.88</v>
      </c>
      <c r="N1034" s="11">
        <f t="shared" si="33"/>
        <v>4030.88</v>
      </c>
    </row>
    <row r="1035" spans="3:14" x14ac:dyDescent="0.3">
      <c r="C1035" s="6">
        <v>44064</v>
      </c>
      <c r="D1035" s="7" t="s">
        <v>81</v>
      </c>
      <c r="E1035" s="8">
        <v>2020</v>
      </c>
      <c r="F1035" s="9" t="s">
        <v>120</v>
      </c>
      <c r="G1035" s="9" t="s">
        <v>14</v>
      </c>
      <c r="H1035" s="10" t="s">
        <v>117</v>
      </c>
      <c r="I1035" s="7">
        <v>3</v>
      </c>
      <c r="J1035" s="11">
        <v>13</v>
      </c>
      <c r="K1035" s="11">
        <f t="shared" si="32"/>
        <v>39</v>
      </c>
      <c r="L1035" s="11">
        <v>0.25</v>
      </c>
      <c r="M1035" s="11">
        <v>4.68</v>
      </c>
      <c r="N1035" s="11">
        <f t="shared" si="33"/>
        <v>43.43</v>
      </c>
    </row>
    <row r="1036" spans="3:14" x14ac:dyDescent="0.3">
      <c r="C1036" s="6">
        <v>44064</v>
      </c>
      <c r="D1036" s="7" t="s">
        <v>81</v>
      </c>
      <c r="E1036" s="8">
        <v>2020</v>
      </c>
      <c r="F1036" s="9" t="s">
        <v>120</v>
      </c>
      <c r="G1036" s="9" t="s">
        <v>37</v>
      </c>
      <c r="H1036" s="10" t="s">
        <v>63</v>
      </c>
      <c r="I1036" s="7">
        <v>80</v>
      </c>
      <c r="J1036" s="11">
        <v>44</v>
      </c>
      <c r="K1036" s="11">
        <f t="shared" si="32"/>
        <v>3520</v>
      </c>
      <c r="L1036" s="11">
        <v>0.25</v>
      </c>
      <c r="M1036" s="11">
        <v>422.4</v>
      </c>
      <c r="N1036" s="11">
        <f t="shared" si="33"/>
        <v>3942.15</v>
      </c>
    </row>
    <row r="1037" spans="3:14" x14ac:dyDescent="0.3">
      <c r="C1037" s="6">
        <v>44065</v>
      </c>
      <c r="D1037" s="7" t="s">
        <v>81</v>
      </c>
      <c r="E1037" s="8">
        <v>2020</v>
      </c>
      <c r="F1037" s="9" t="s">
        <v>53</v>
      </c>
      <c r="G1037" s="9" t="s">
        <v>37</v>
      </c>
      <c r="H1037" s="10" t="s">
        <v>46</v>
      </c>
      <c r="I1037" s="7">
        <v>18</v>
      </c>
      <c r="J1037" s="11">
        <v>96</v>
      </c>
      <c r="K1037" s="11">
        <f t="shared" si="32"/>
        <v>1728</v>
      </c>
      <c r="L1037" s="11">
        <v>0</v>
      </c>
      <c r="M1037" s="11">
        <v>207.35999999999999</v>
      </c>
      <c r="N1037" s="11">
        <f t="shared" si="33"/>
        <v>1935.36</v>
      </c>
    </row>
    <row r="1038" spans="3:14" x14ac:dyDescent="0.3">
      <c r="C1038" s="6">
        <v>44065</v>
      </c>
      <c r="D1038" s="7" t="s">
        <v>81</v>
      </c>
      <c r="E1038" s="8">
        <v>2020</v>
      </c>
      <c r="F1038" s="9" t="s">
        <v>53</v>
      </c>
      <c r="G1038" s="9" t="s">
        <v>24</v>
      </c>
      <c r="H1038" s="10" t="s">
        <v>76</v>
      </c>
      <c r="I1038" s="7">
        <v>10</v>
      </c>
      <c r="J1038" s="11">
        <v>26</v>
      </c>
      <c r="K1038" s="11">
        <f t="shared" si="32"/>
        <v>260</v>
      </c>
      <c r="L1038" s="11">
        <v>0</v>
      </c>
      <c r="M1038" s="11">
        <v>31.2</v>
      </c>
      <c r="N1038" s="11">
        <f t="shared" si="33"/>
        <v>291.2</v>
      </c>
    </row>
    <row r="1039" spans="3:14" x14ac:dyDescent="0.3">
      <c r="C1039" s="6">
        <v>44065</v>
      </c>
      <c r="D1039" s="7" t="s">
        <v>81</v>
      </c>
      <c r="E1039" s="8">
        <v>2020</v>
      </c>
      <c r="F1039" s="9" t="s">
        <v>146</v>
      </c>
      <c r="G1039" s="9" t="s">
        <v>32</v>
      </c>
      <c r="H1039" s="10" t="s">
        <v>59</v>
      </c>
      <c r="I1039" s="7">
        <v>92</v>
      </c>
      <c r="J1039" s="11">
        <v>82</v>
      </c>
      <c r="K1039" s="11">
        <f t="shared" si="32"/>
        <v>7544</v>
      </c>
      <c r="L1039" s="11">
        <v>0.20000000298023199</v>
      </c>
      <c r="M1039" s="11">
        <v>905.28</v>
      </c>
      <c r="N1039" s="11">
        <f t="shared" si="33"/>
        <v>8449.0799999970204</v>
      </c>
    </row>
    <row r="1040" spans="3:14" x14ac:dyDescent="0.3">
      <c r="C1040" s="6">
        <v>44065</v>
      </c>
      <c r="D1040" s="7" t="s">
        <v>81</v>
      </c>
      <c r="E1040" s="8">
        <v>2020</v>
      </c>
      <c r="F1040" s="9" t="s">
        <v>146</v>
      </c>
      <c r="G1040" s="9" t="s">
        <v>26</v>
      </c>
      <c r="H1040" s="10" t="s">
        <v>173</v>
      </c>
      <c r="I1040" s="7">
        <v>26</v>
      </c>
      <c r="J1040" s="11">
        <v>44</v>
      </c>
      <c r="K1040" s="11">
        <f t="shared" si="32"/>
        <v>1144</v>
      </c>
      <c r="L1040" s="11">
        <v>0.20000000298023199</v>
      </c>
      <c r="M1040" s="11">
        <v>137.28</v>
      </c>
      <c r="N1040" s="11">
        <f t="shared" si="33"/>
        <v>1281.0799999970197</v>
      </c>
    </row>
    <row r="1041" spans="3:14" x14ac:dyDescent="0.3">
      <c r="C1041" s="6">
        <v>44068</v>
      </c>
      <c r="D1041" s="7" t="s">
        <v>81</v>
      </c>
      <c r="E1041" s="8">
        <v>2020</v>
      </c>
      <c r="F1041" s="9" t="s">
        <v>195</v>
      </c>
      <c r="G1041" s="9" t="s">
        <v>20</v>
      </c>
      <c r="H1041" s="10" t="s">
        <v>92</v>
      </c>
      <c r="I1041" s="7">
        <v>6</v>
      </c>
      <c r="J1041" s="11">
        <v>88</v>
      </c>
      <c r="K1041" s="11">
        <f t="shared" si="32"/>
        <v>528</v>
      </c>
      <c r="L1041" s="11">
        <v>0.25</v>
      </c>
      <c r="M1041" s="11">
        <v>63.36</v>
      </c>
      <c r="N1041" s="11">
        <f t="shared" si="33"/>
        <v>591.11</v>
      </c>
    </row>
    <row r="1042" spans="3:14" x14ac:dyDescent="0.3">
      <c r="C1042" s="6">
        <v>44068</v>
      </c>
      <c r="D1042" s="7" t="s">
        <v>81</v>
      </c>
      <c r="E1042" s="8">
        <v>2020</v>
      </c>
      <c r="F1042" s="9" t="s">
        <v>195</v>
      </c>
      <c r="G1042" s="9" t="s">
        <v>37</v>
      </c>
      <c r="H1042" s="10" t="s">
        <v>38</v>
      </c>
      <c r="I1042" s="7">
        <v>91</v>
      </c>
      <c r="J1042" s="11">
        <v>80</v>
      </c>
      <c r="K1042" s="11">
        <f t="shared" si="32"/>
        <v>7280</v>
      </c>
      <c r="L1042" s="11">
        <v>0.25</v>
      </c>
      <c r="M1042" s="11">
        <v>873.6</v>
      </c>
      <c r="N1042" s="11">
        <f t="shared" si="33"/>
        <v>8153.35</v>
      </c>
    </row>
    <row r="1043" spans="3:14" x14ac:dyDescent="0.3">
      <c r="C1043" s="6">
        <v>44068</v>
      </c>
      <c r="D1043" s="7" t="s">
        <v>81</v>
      </c>
      <c r="E1043" s="8">
        <v>2020</v>
      </c>
      <c r="F1043" s="9" t="s">
        <v>195</v>
      </c>
      <c r="G1043" s="9" t="s">
        <v>24</v>
      </c>
      <c r="H1043" s="10" t="s">
        <v>107</v>
      </c>
      <c r="I1043" s="7">
        <v>66</v>
      </c>
      <c r="J1043" s="11">
        <v>33</v>
      </c>
      <c r="K1043" s="11">
        <f t="shared" si="32"/>
        <v>2178</v>
      </c>
      <c r="L1043" s="11">
        <v>0.25</v>
      </c>
      <c r="M1043" s="11">
        <v>261.36</v>
      </c>
      <c r="N1043" s="11">
        <f t="shared" si="33"/>
        <v>2439.11</v>
      </c>
    </row>
    <row r="1044" spans="3:14" x14ac:dyDescent="0.3">
      <c r="C1044" s="6">
        <v>44068</v>
      </c>
      <c r="D1044" s="7" t="s">
        <v>81</v>
      </c>
      <c r="E1044" s="8">
        <v>2020</v>
      </c>
      <c r="F1044" s="9" t="s">
        <v>50</v>
      </c>
      <c r="G1044" s="9" t="s">
        <v>24</v>
      </c>
      <c r="H1044" s="10" t="s">
        <v>115</v>
      </c>
      <c r="I1044" s="7">
        <v>28</v>
      </c>
      <c r="J1044" s="11">
        <v>54</v>
      </c>
      <c r="K1044" s="11">
        <f t="shared" si="32"/>
        <v>1512</v>
      </c>
      <c r="L1044" s="11">
        <v>0.10000000149011599</v>
      </c>
      <c r="M1044" s="11">
        <v>181.44</v>
      </c>
      <c r="N1044" s="11">
        <f t="shared" si="33"/>
        <v>1693.3399999985099</v>
      </c>
    </row>
    <row r="1045" spans="3:14" x14ac:dyDescent="0.3">
      <c r="C1045" s="6">
        <v>44068</v>
      </c>
      <c r="D1045" s="7" t="s">
        <v>81</v>
      </c>
      <c r="E1045" s="8">
        <v>2020</v>
      </c>
      <c r="F1045" s="9" t="s">
        <v>50</v>
      </c>
      <c r="G1045" s="9" t="s">
        <v>37</v>
      </c>
      <c r="H1045" s="10" t="s">
        <v>82</v>
      </c>
      <c r="I1045" s="7">
        <v>88</v>
      </c>
      <c r="J1045" s="11">
        <v>29</v>
      </c>
      <c r="K1045" s="11">
        <f t="shared" si="32"/>
        <v>2552</v>
      </c>
      <c r="L1045" s="11">
        <v>0</v>
      </c>
      <c r="M1045" s="11">
        <v>306.24</v>
      </c>
      <c r="N1045" s="11">
        <f t="shared" si="33"/>
        <v>2858.24</v>
      </c>
    </row>
    <row r="1046" spans="3:14" x14ac:dyDescent="0.3">
      <c r="C1046" s="6">
        <v>44068</v>
      </c>
      <c r="D1046" s="7" t="s">
        <v>81</v>
      </c>
      <c r="E1046" s="8">
        <v>2020</v>
      </c>
      <c r="F1046" s="9" t="s">
        <v>50</v>
      </c>
      <c r="G1046" s="9" t="s">
        <v>24</v>
      </c>
      <c r="H1046" s="10" t="s">
        <v>107</v>
      </c>
      <c r="I1046" s="7">
        <v>28</v>
      </c>
      <c r="J1046" s="11">
        <v>70</v>
      </c>
      <c r="K1046" s="11">
        <f t="shared" si="32"/>
        <v>1960</v>
      </c>
      <c r="L1046" s="11">
        <v>0.10000000149011599</v>
      </c>
      <c r="M1046" s="11">
        <v>235.2</v>
      </c>
      <c r="N1046" s="11">
        <f t="shared" si="33"/>
        <v>2195.0999999985097</v>
      </c>
    </row>
    <row r="1047" spans="3:14" x14ac:dyDescent="0.3">
      <c r="C1047" s="6">
        <v>44069</v>
      </c>
      <c r="D1047" s="7" t="s">
        <v>81</v>
      </c>
      <c r="E1047" s="8">
        <v>2020</v>
      </c>
      <c r="F1047" s="9" t="s">
        <v>23</v>
      </c>
      <c r="G1047" s="9" t="s">
        <v>24</v>
      </c>
      <c r="H1047" s="10" t="s">
        <v>115</v>
      </c>
      <c r="I1047" s="7">
        <v>53</v>
      </c>
      <c r="J1047" s="11">
        <v>92</v>
      </c>
      <c r="K1047" s="11">
        <f t="shared" si="32"/>
        <v>4876</v>
      </c>
      <c r="L1047" s="11">
        <v>0</v>
      </c>
      <c r="M1047" s="11">
        <v>585.12</v>
      </c>
      <c r="N1047" s="11">
        <f t="shared" si="33"/>
        <v>5461.12</v>
      </c>
    </row>
    <row r="1048" spans="3:14" x14ac:dyDescent="0.3">
      <c r="C1048" s="6">
        <v>44069</v>
      </c>
      <c r="D1048" s="7" t="s">
        <v>81</v>
      </c>
      <c r="E1048" s="8">
        <v>2020</v>
      </c>
      <c r="F1048" s="9" t="s">
        <v>23</v>
      </c>
      <c r="G1048" s="9" t="s">
        <v>24</v>
      </c>
      <c r="H1048" s="10" t="s">
        <v>48</v>
      </c>
      <c r="I1048" s="7">
        <v>59</v>
      </c>
      <c r="J1048" s="11">
        <v>56</v>
      </c>
      <c r="K1048" s="11">
        <f t="shared" si="32"/>
        <v>3304</v>
      </c>
      <c r="L1048" s="11">
        <v>0</v>
      </c>
      <c r="M1048" s="11">
        <v>396.47999999999996</v>
      </c>
      <c r="N1048" s="11">
        <f t="shared" si="33"/>
        <v>3700.48</v>
      </c>
    </row>
    <row r="1049" spans="3:14" x14ac:dyDescent="0.3">
      <c r="C1049" s="6">
        <v>44070</v>
      </c>
      <c r="D1049" s="7" t="s">
        <v>81</v>
      </c>
      <c r="E1049" s="8">
        <v>2020</v>
      </c>
      <c r="F1049" s="9" t="s">
        <v>118</v>
      </c>
      <c r="G1049" s="9" t="s">
        <v>37</v>
      </c>
      <c r="H1049" s="10" t="s">
        <v>104</v>
      </c>
      <c r="I1049" s="7">
        <v>25</v>
      </c>
      <c r="J1049" s="11">
        <v>95</v>
      </c>
      <c r="K1049" s="11">
        <f t="shared" si="32"/>
        <v>2375</v>
      </c>
      <c r="L1049" s="11">
        <v>0.25</v>
      </c>
      <c r="M1049" s="11">
        <v>285</v>
      </c>
      <c r="N1049" s="11">
        <f t="shared" si="33"/>
        <v>2659.75</v>
      </c>
    </row>
    <row r="1050" spans="3:14" x14ac:dyDescent="0.3">
      <c r="C1050" s="6">
        <v>44070</v>
      </c>
      <c r="D1050" s="7" t="s">
        <v>81</v>
      </c>
      <c r="E1050" s="8">
        <v>2020</v>
      </c>
      <c r="F1050" s="9" t="s">
        <v>118</v>
      </c>
      <c r="G1050" s="9" t="s">
        <v>24</v>
      </c>
      <c r="H1050" s="10" t="s">
        <v>85</v>
      </c>
      <c r="I1050" s="7">
        <v>49</v>
      </c>
      <c r="J1050" s="11">
        <v>45</v>
      </c>
      <c r="K1050" s="11">
        <f t="shared" si="32"/>
        <v>2205</v>
      </c>
      <c r="L1050" s="11">
        <v>0.25</v>
      </c>
      <c r="M1050" s="11">
        <v>264.59999999999997</v>
      </c>
      <c r="N1050" s="11">
        <f t="shared" si="33"/>
        <v>2469.35</v>
      </c>
    </row>
    <row r="1051" spans="3:14" x14ac:dyDescent="0.3">
      <c r="C1051" s="6">
        <v>44070</v>
      </c>
      <c r="D1051" s="7" t="s">
        <v>81</v>
      </c>
      <c r="E1051" s="8">
        <v>2020</v>
      </c>
      <c r="F1051" s="9" t="s">
        <v>118</v>
      </c>
      <c r="G1051" s="9" t="s">
        <v>14</v>
      </c>
      <c r="H1051" s="10" t="s">
        <v>87</v>
      </c>
      <c r="I1051" s="7">
        <v>85</v>
      </c>
      <c r="J1051" s="11">
        <v>37</v>
      </c>
      <c r="K1051" s="11">
        <f t="shared" si="32"/>
        <v>3145</v>
      </c>
      <c r="L1051" s="11">
        <v>0.25</v>
      </c>
      <c r="M1051" s="11">
        <v>377.4</v>
      </c>
      <c r="N1051" s="11">
        <f t="shared" si="33"/>
        <v>3522.15</v>
      </c>
    </row>
    <row r="1052" spans="3:14" x14ac:dyDescent="0.3">
      <c r="C1052" s="6">
        <v>44070</v>
      </c>
      <c r="D1052" s="7" t="s">
        <v>81</v>
      </c>
      <c r="E1052" s="8">
        <v>2020</v>
      </c>
      <c r="F1052" s="9" t="s">
        <v>118</v>
      </c>
      <c r="G1052" s="9" t="s">
        <v>26</v>
      </c>
      <c r="H1052" s="10" t="s">
        <v>52</v>
      </c>
      <c r="I1052" s="7">
        <v>61</v>
      </c>
      <c r="J1052" s="11">
        <v>24</v>
      </c>
      <c r="K1052" s="11">
        <f t="shared" si="32"/>
        <v>1464</v>
      </c>
      <c r="L1052" s="11">
        <v>0.25</v>
      </c>
      <c r="M1052" s="11">
        <v>175.68</v>
      </c>
      <c r="N1052" s="11">
        <f t="shared" si="33"/>
        <v>1639.43</v>
      </c>
    </row>
    <row r="1053" spans="3:14" x14ac:dyDescent="0.3">
      <c r="C1053" s="6">
        <v>44070</v>
      </c>
      <c r="D1053" s="7" t="s">
        <v>81</v>
      </c>
      <c r="E1053" s="8">
        <v>2020</v>
      </c>
      <c r="F1053" s="9" t="s">
        <v>64</v>
      </c>
      <c r="G1053" s="9" t="s">
        <v>32</v>
      </c>
      <c r="H1053" s="10" t="s">
        <v>100</v>
      </c>
      <c r="I1053" s="7">
        <v>10</v>
      </c>
      <c r="J1053" s="11">
        <v>22</v>
      </c>
      <c r="K1053" s="11">
        <f t="shared" si="32"/>
        <v>220</v>
      </c>
      <c r="L1053" s="11">
        <v>0</v>
      </c>
      <c r="M1053" s="11">
        <v>26.4</v>
      </c>
      <c r="N1053" s="11">
        <f t="shared" si="33"/>
        <v>246.4</v>
      </c>
    </row>
    <row r="1054" spans="3:14" x14ac:dyDescent="0.3">
      <c r="C1054" s="6">
        <v>44070</v>
      </c>
      <c r="D1054" s="7" t="s">
        <v>81</v>
      </c>
      <c r="E1054" s="8">
        <v>2020</v>
      </c>
      <c r="F1054" s="9" t="s">
        <v>64</v>
      </c>
      <c r="G1054" s="9" t="s">
        <v>37</v>
      </c>
      <c r="H1054" s="10" t="s">
        <v>38</v>
      </c>
      <c r="I1054" s="7">
        <v>88</v>
      </c>
      <c r="J1054" s="11">
        <v>65</v>
      </c>
      <c r="K1054" s="11">
        <f t="shared" si="32"/>
        <v>5720</v>
      </c>
      <c r="L1054" s="11">
        <v>0</v>
      </c>
      <c r="M1054" s="11">
        <v>686.4</v>
      </c>
      <c r="N1054" s="11">
        <f t="shared" si="33"/>
        <v>6406.4</v>
      </c>
    </row>
    <row r="1055" spans="3:14" x14ac:dyDescent="0.3">
      <c r="C1055" s="6">
        <v>44071</v>
      </c>
      <c r="D1055" s="7" t="s">
        <v>81</v>
      </c>
      <c r="E1055" s="8">
        <v>2020</v>
      </c>
      <c r="F1055" s="9" t="s">
        <v>105</v>
      </c>
      <c r="G1055" s="9" t="s">
        <v>16</v>
      </c>
      <c r="H1055" s="10" t="s">
        <v>29</v>
      </c>
      <c r="I1055" s="7">
        <v>29</v>
      </c>
      <c r="J1055" s="11">
        <v>99</v>
      </c>
      <c r="K1055" s="11">
        <f t="shared" si="32"/>
        <v>2871</v>
      </c>
      <c r="L1055" s="11">
        <v>0</v>
      </c>
      <c r="M1055" s="11">
        <v>344.52</v>
      </c>
      <c r="N1055" s="11">
        <f t="shared" si="33"/>
        <v>3215.52</v>
      </c>
    </row>
    <row r="1056" spans="3:14" x14ac:dyDescent="0.3">
      <c r="C1056" s="6">
        <v>44071</v>
      </c>
      <c r="D1056" s="7" t="s">
        <v>81</v>
      </c>
      <c r="E1056" s="8">
        <v>2020</v>
      </c>
      <c r="F1056" s="9" t="s">
        <v>105</v>
      </c>
      <c r="G1056" s="9" t="s">
        <v>37</v>
      </c>
      <c r="H1056" s="10" t="s">
        <v>41</v>
      </c>
      <c r="I1056" s="7">
        <v>66</v>
      </c>
      <c r="J1056" s="11">
        <v>83</v>
      </c>
      <c r="K1056" s="11">
        <f t="shared" si="32"/>
        <v>5478</v>
      </c>
      <c r="L1056" s="11">
        <v>0.15000000596046401</v>
      </c>
      <c r="M1056" s="11">
        <v>657.36</v>
      </c>
      <c r="N1056" s="11">
        <f t="shared" si="33"/>
        <v>6135.2099999940392</v>
      </c>
    </row>
    <row r="1057" spans="3:14" x14ac:dyDescent="0.3">
      <c r="C1057" s="6">
        <v>44071</v>
      </c>
      <c r="D1057" s="7" t="s">
        <v>81</v>
      </c>
      <c r="E1057" s="8">
        <v>2020</v>
      </c>
      <c r="F1057" s="9" t="s">
        <v>190</v>
      </c>
      <c r="G1057" s="9" t="s">
        <v>20</v>
      </c>
      <c r="H1057" s="10" t="s">
        <v>92</v>
      </c>
      <c r="I1057" s="7">
        <v>83</v>
      </c>
      <c r="J1057" s="11">
        <v>31</v>
      </c>
      <c r="K1057" s="11">
        <f t="shared" si="32"/>
        <v>2573</v>
      </c>
      <c r="L1057" s="11">
        <v>0</v>
      </c>
      <c r="M1057" s="11">
        <v>308.76</v>
      </c>
      <c r="N1057" s="11">
        <f t="shared" si="33"/>
        <v>2881.76</v>
      </c>
    </row>
    <row r="1058" spans="3:14" x14ac:dyDescent="0.3">
      <c r="C1058" s="6">
        <v>44071</v>
      </c>
      <c r="D1058" s="7" t="s">
        <v>81</v>
      </c>
      <c r="E1058" s="8">
        <v>2020</v>
      </c>
      <c r="F1058" s="9" t="s">
        <v>190</v>
      </c>
      <c r="G1058" s="9" t="s">
        <v>14</v>
      </c>
      <c r="H1058" s="10" t="s">
        <v>18</v>
      </c>
      <c r="I1058" s="7">
        <v>85</v>
      </c>
      <c r="J1058" s="11">
        <v>53</v>
      </c>
      <c r="K1058" s="11">
        <f t="shared" si="32"/>
        <v>4505</v>
      </c>
      <c r="L1058" s="11">
        <v>0</v>
      </c>
      <c r="M1058" s="11">
        <v>540.6</v>
      </c>
      <c r="N1058" s="11">
        <f t="shared" si="33"/>
        <v>5045.6000000000004</v>
      </c>
    </row>
    <row r="1059" spans="3:14" x14ac:dyDescent="0.3">
      <c r="C1059" s="6">
        <v>44072</v>
      </c>
      <c r="D1059" s="7" t="s">
        <v>81</v>
      </c>
      <c r="E1059" s="8">
        <v>2020</v>
      </c>
      <c r="F1059" s="9" t="s">
        <v>149</v>
      </c>
      <c r="G1059" s="9" t="s">
        <v>24</v>
      </c>
      <c r="H1059" s="10" t="s">
        <v>69</v>
      </c>
      <c r="I1059" s="7">
        <v>15</v>
      </c>
      <c r="J1059" s="11">
        <v>74</v>
      </c>
      <c r="K1059" s="11">
        <f t="shared" si="32"/>
        <v>1110</v>
      </c>
      <c r="L1059" s="11">
        <v>0</v>
      </c>
      <c r="M1059" s="11">
        <v>133.19999999999999</v>
      </c>
      <c r="N1059" s="11">
        <f t="shared" si="33"/>
        <v>1243.2</v>
      </c>
    </row>
    <row r="1060" spans="3:14" x14ac:dyDescent="0.3">
      <c r="C1060" s="6">
        <v>44072</v>
      </c>
      <c r="D1060" s="7" t="s">
        <v>81</v>
      </c>
      <c r="E1060" s="8">
        <v>2020</v>
      </c>
      <c r="F1060" s="9" t="s">
        <v>149</v>
      </c>
      <c r="G1060" s="9" t="s">
        <v>42</v>
      </c>
      <c r="H1060" s="10" t="s">
        <v>51</v>
      </c>
      <c r="I1060" s="7">
        <v>23</v>
      </c>
      <c r="J1060" s="11">
        <v>50</v>
      </c>
      <c r="K1060" s="11">
        <f t="shared" si="32"/>
        <v>1150</v>
      </c>
      <c r="L1060" s="11">
        <v>5.0000000745058101E-2</v>
      </c>
      <c r="M1060" s="11">
        <v>138</v>
      </c>
      <c r="N1060" s="11">
        <f t="shared" si="33"/>
        <v>1287.9499999992549</v>
      </c>
    </row>
    <row r="1061" spans="3:14" x14ac:dyDescent="0.3">
      <c r="C1061" s="6">
        <v>44072</v>
      </c>
      <c r="D1061" s="7" t="s">
        <v>81</v>
      </c>
      <c r="E1061" s="8">
        <v>2020</v>
      </c>
      <c r="F1061" s="9" t="s">
        <v>149</v>
      </c>
      <c r="G1061" s="9" t="s">
        <v>42</v>
      </c>
      <c r="H1061" s="10" t="s">
        <v>109</v>
      </c>
      <c r="I1061" s="7">
        <v>29</v>
      </c>
      <c r="J1061" s="11">
        <v>16</v>
      </c>
      <c r="K1061" s="11">
        <f t="shared" si="32"/>
        <v>464</v>
      </c>
      <c r="L1061" s="11">
        <v>0</v>
      </c>
      <c r="M1061" s="11">
        <v>55.68</v>
      </c>
      <c r="N1061" s="11">
        <f t="shared" si="33"/>
        <v>519.67999999999995</v>
      </c>
    </row>
    <row r="1062" spans="3:14" x14ac:dyDescent="0.3">
      <c r="C1062" s="6">
        <v>44075</v>
      </c>
      <c r="D1062" s="7" t="s">
        <v>116</v>
      </c>
      <c r="E1062" s="8">
        <v>2020</v>
      </c>
      <c r="F1062" s="9" t="s">
        <v>120</v>
      </c>
      <c r="G1062" s="9" t="s">
        <v>32</v>
      </c>
      <c r="H1062" s="10" t="s">
        <v>100</v>
      </c>
      <c r="I1062" s="7">
        <v>21</v>
      </c>
      <c r="J1062" s="11">
        <v>69</v>
      </c>
      <c r="K1062" s="11">
        <f t="shared" si="32"/>
        <v>1449</v>
      </c>
      <c r="L1062" s="11">
        <v>0.25</v>
      </c>
      <c r="M1062" s="11">
        <v>173.88</v>
      </c>
      <c r="N1062" s="11">
        <f t="shared" si="33"/>
        <v>1622.63</v>
      </c>
    </row>
    <row r="1063" spans="3:14" x14ac:dyDescent="0.3">
      <c r="C1063" s="6">
        <v>44075</v>
      </c>
      <c r="D1063" s="7" t="s">
        <v>116</v>
      </c>
      <c r="E1063" s="8">
        <v>2020</v>
      </c>
      <c r="F1063" s="9" t="s">
        <v>120</v>
      </c>
      <c r="G1063" s="9" t="s">
        <v>16</v>
      </c>
      <c r="H1063" s="10" t="s">
        <v>29</v>
      </c>
      <c r="I1063" s="7">
        <v>91</v>
      </c>
      <c r="J1063" s="11">
        <v>86</v>
      </c>
      <c r="K1063" s="11">
        <f t="shared" si="32"/>
        <v>7826</v>
      </c>
      <c r="L1063" s="11">
        <v>0.25</v>
      </c>
      <c r="M1063" s="11">
        <v>939.12</v>
      </c>
      <c r="N1063" s="11">
        <f t="shared" si="33"/>
        <v>8764.8700000000008</v>
      </c>
    </row>
    <row r="1064" spans="3:14" x14ac:dyDescent="0.3">
      <c r="C1064" s="6">
        <v>44075</v>
      </c>
      <c r="D1064" s="7" t="s">
        <v>116</v>
      </c>
      <c r="E1064" s="8">
        <v>2020</v>
      </c>
      <c r="F1064" s="9" t="s">
        <v>176</v>
      </c>
      <c r="G1064" s="9" t="s">
        <v>24</v>
      </c>
      <c r="H1064" s="10" t="s">
        <v>69</v>
      </c>
      <c r="I1064" s="7">
        <v>80</v>
      </c>
      <c r="J1064" s="11">
        <v>16</v>
      </c>
      <c r="K1064" s="11">
        <f t="shared" si="32"/>
        <v>1280</v>
      </c>
      <c r="L1064" s="11">
        <v>0.25</v>
      </c>
      <c r="M1064" s="11">
        <v>153.6</v>
      </c>
      <c r="N1064" s="11">
        <f t="shared" si="33"/>
        <v>1433.35</v>
      </c>
    </row>
    <row r="1065" spans="3:14" x14ac:dyDescent="0.3">
      <c r="C1065" s="6">
        <v>44075</v>
      </c>
      <c r="D1065" s="7" t="s">
        <v>116</v>
      </c>
      <c r="E1065" s="8">
        <v>2020</v>
      </c>
      <c r="F1065" s="9" t="s">
        <v>176</v>
      </c>
      <c r="G1065" s="9" t="s">
        <v>16</v>
      </c>
      <c r="H1065" s="10" t="s">
        <v>17</v>
      </c>
      <c r="I1065" s="7">
        <v>37</v>
      </c>
      <c r="J1065" s="11">
        <v>85</v>
      </c>
      <c r="K1065" s="11">
        <f t="shared" si="32"/>
        <v>3145</v>
      </c>
      <c r="L1065" s="11">
        <v>0</v>
      </c>
      <c r="M1065" s="11">
        <v>377.4</v>
      </c>
      <c r="N1065" s="11">
        <f t="shared" si="33"/>
        <v>3522.4</v>
      </c>
    </row>
    <row r="1066" spans="3:14" x14ac:dyDescent="0.3">
      <c r="C1066" s="6">
        <v>44076</v>
      </c>
      <c r="D1066" s="7" t="s">
        <v>116</v>
      </c>
      <c r="E1066" s="8">
        <v>2020</v>
      </c>
      <c r="F1066" s="9" t="s">
        <v>75</v>
      </c>
      <c r="G1066" s="9" t="s">
        <v>32</v>
      </c>
      <c r="H1066" s="10" t="s">
        <v>47</v>
      </c>
      <c r="I1066" s="7">
        <v>89</v>
      </c>
      <c r="J1066" s="11">
        <v>81</v>
      </c>
      <c r="K1066" s="11">
        <f t="shared" si="32"/>
        <v>7209</v>
      </c>
      <c r="L1066" s="11">
        <v>0.10000000149011599</v>
      </c>
      <c r="M1066" s="11">
        <v>865.07999999999993</v>
      </c>
      <c r="N1066" s="11">
        <f t="shared" si="33"/>
        <v>8073.9799999985098</v>
      </c>
    </row>
    <row r="1067" spans="3:14" x14ac:dyDescent="0.3">
      <c r="C1067" s="6">
        <v>44076</v>
      </c>
      <c r="D1067" s="7" t="s">
        <v>116</v>
      </c>
      <c r="E1067" s="8">
        <v>2020</v>
      </c>
      <c r="F1067" s="9" t="s">
        <v>75</v>
      </c>
      <c r="G1067" s="9" t="s">
        <v>14</v>
      </c>
      <c r="H1067" s="10" t="s">
        <v>35</v>
      </c>
      <c r="I1067" s="7">
        <v>45</v>
      </c>
      <c r="J1067" s="11">
        <v>59</v>
      </c>
      <c r="K1067" s="11">
        <f t="shared" si="32"/>
        <v>2655</v>
      </c>
      <c r="L1067" s="11">
        <v>0.10000000149011599</v>
      </c>
      <c r="M1067" s="11">
        <v>318.59999999999997</v>
      </c>
      <c r="N1067" s="11">
        <f t="shared" si="33"/>
        <v>2973.4999999985098</v>
      </c>
    </row>
    <row r="1068" spans="3:14" x14ac:dyDescent="0.3">
      <c r="C1068" s="6">
        <v>44076</v>
      </c>
      <c r="D1068" s="7" t="s">
        <v>116</v>
      </c>
      <c r="E1068" s="8">
        <v>2020</v>
      </c>
      <c r="F1068" s="9" t="s">
        <v>93</v>
      </c>
      <c r="G1068" s="9" t="s">
        <v>26</v>
      </c>
      <c r="H1068" s="10" t="s">
        <v>124</v>
      </c>
      <c r="I1068" s="7">
        <v>99</v>
      </c>
      <c r="J1068" s="11">
        <v>63</v>
      </c>
      <c r="K1068" s="11">
        <f t="shared" si="32"/>
        <v>6237</v>
      </c>
      <c r="L1068" s="11">
        <v>0.10000000149011599</v>
      </c>
      <c r="M1068" s="11">
        <v>748.43999999999994</v>
      </c>
      <c r="N1068" s="11">
        <f t="shared" si="33"/>
        <v>6985.3399999985095</v>
      </c>
    </row>
    <row r="1069" spans="3:14" x14ac:dyDescent="0.3">
      <c r="C1069" s="6">
        <v>44076</v>
      </c>
      <c r="D1069" s="7" t="s">
        <v>116</v>
      </c>
      <c r="E1069" s="8">
        <v>2020</v>
      </c>
      <c r="F1069" s="9" t="s">
        <v>93</v>
      </c>
      <c r="G1069" s="9" t="s">
        <v>37</v>
      </c>
      <c r="H1069" s="10" t="s">
        <v>38</v>
      </c>
      <c r="I1069" s="7">
        <v>56</v>
      </c>
      <c r="J1069" s="11">
        <v>27</v>
      </c>
      <c r="K1069" s="11">
        <f t="shared" si="32"/>
        <v>1512</v>
      </c>
      <c r="L1069" s="11">
        <v>0.10000000149011599</v>
      </c>
      <c r="M1069" s="11">
        <v>181.44</v>
      </c>
      <c r="N1069" s="11">
        <f t="shared" si="33"/>
        <v>1693.3399999985099</v>
      </c>
    </row>
    <row r="1070" spans="3:14" x14ac:dyDescent="0.3">
      <c r="C1070" s="6">
        <v>44076</v>
      </c>
      <c r="D1070" s="7" t="s">
        <v>116</v>
      </c>
      <c r="E1070" s="8">
        <v>2020</v>
      </c>
      <c r="F1070" s="9" t="s">
        <v>93</v>
      </c>
      <c r="G1070" s="9" t="s">
        <v>42</v>
      </c>
      <c r="H1070" s="10" t="s">
        <v>109</v>
      </c>
      <c r="I1070" s="7">
        <v>16</v>
      </c>
      <c r="J1070" s="11">
        <v>32</v>
      </c>
      <c r="K1070" s="11">
        <f t="shared" si="32"/>
        <v>512</v>
      </c>
      <c r="L1070" s="11">
        <v>0.10000000149011599</v>
      </c>
      <c r="M1070" s="11">
        <v>61.44</v>
      </c>
      <c r="N1070" s="11">
        <f t="shared" si="33"/>
        <v>573.33999999850994</v>
      </c>
    </row>
    <row r="1071" spans="3:14" x14ac:dyDescent="0.3">
      <c r="C1071" s="6">
        <v>44077</v>
      </c>
      <c r="D1071" s="7" t="s">
        <v>116</v>
      </c>
      <c r="E1071" s="8">
        <v>2020</v>
      </c>
      <c r="F1071" s="9" t="s">
        <v>108</v>
      </c>
      <c r="G1071" s="9" t="s">
        <v>24</v>
      </c>
      <c r="H1071" s="10" t="s">
        <v>25</v>
      </c>
      <c r="I1071" s="7">
        <v>93</v>
      </c>
      <c r="J1071" s="11">
        <v>88</v>
      </c>
      <c r="K1071" s="11">
        <f t="shared" si="32"/>
        <v>8184</v>
      </c>
      <c r="L1071" s="11">
        <v>0.20000000298023199</v>
      </c>
      <c r="M1071" s="11">
        <v>982.07999999999993</v>
      </c>
      <c r="N1071" s="11">
        <f t="shared" si="33"/>
        <v>9165.8799999970197</v>
      </c>
    </row>
    <row r="1072" spans="3:14" x14ac:dyDescent="0.3">
      <c r="C1072" s="6">
        <v>44078</v>
      </c>
      <c r="D1072" s="7" t="s">
        <v>116</v>
      </c>
      <c r="E1072" s="8">
        <v>2020</v>
      </c>
      <c r="F1072" s="9" t="s">
        <v>189</v>
      </c>
      <c r="G1072" s="9" t="s">
        <v>20</v>
      </c>
      <c r="H1072" s="10" t="s">
        <v>136</v>
      </c>
      <c r="I1072" s="7">
        <v>33</v>
      </c>
      <c r="J1072" s="11">
        <v>43</v>
      </c>
      <c r="K1072" s="11">
        <f t="shared" si="32"/>
        <v>1419</v>
      </c>
      <c r="L1072" s="11">
        <v>0.10000000149011599</v>
      </c>
      <c r="M1072" s="11">
        <v>170.28</v>
      </c>
      <c r="N1072" s="11">
        <f t="shared" si="33"/>
        <v>1589.1799999985099</v>
      </c>
    </row>
    <row r="1073" spans="3:14" x14ac:dyDescent="0.3">
      <c r="C1073" s="6">
        <v>44078</v>
      </c>
      <c r="D1073" s="7" t="s">
        <v>116</v>
      </c>
      <c r="E1073" s="8">
        <v>2020</v>
      </c>
      <c r="F1073" s="9" t="s">
        <v>189</v>
      </c>
      <c r="G1073" s="9" t="s">
        <v>26</v>
      </c>
      <c r="H1073" s="10" t="s">
        <v>94</v>
      </c>
      <c r="I1073" s="7">
        <v>2</v>
      </c>
      <c r="J1073" s="11">
        <v>67</v>
      </c>
      <c r="K1073" s="11">
        <f t="shared" si="32"/>
        <v>134</v>
      </c>
      <c r="L1073" s="11">
        <v>0.10000000149011599</v>
      </c>
      <c r="M1073" s="11">
        <v>16.079999999999998</v>
      </c>
      <c r="N1073" s="11">
        <f t="shared" si="33"/>
        <v>149.97999999850987</v>
      </c>
    </row>
    <row r="1074" spans="3:14" x14ac:dyDescent="0.3">
      <c r="C1074" s="6">
        <v>44078</v>
      </c>
      <c r="D1074" s="7" t="s">
        <v>116</v>
      </c>
      <c r="E1074" s="8">
        <v>2020</v>
      </c>
      <c r="F1074" s="9" t="s">
        <v>189</v>
      </c>
      <c r="G1074" s="9" t="s">
        <v>32</v>
      </c>
      <c r="H1074" s="10" t="s">
        <v>143</v>
      </c>
      <c r="I1074" s="7">
        <v>82</v>
      </c>
      <c r="J1074" s="11">
        <v>52</v>
      </c>
      <c r="K1074" s="11">
        <f t="shared" si="32"/>
        <v>4264</v>
      </c>
      <c r="L1074" s="11">
        <v>0.10000000149011599</v>
      </c>
      <c r="M1074" s="11">
        <v>511.68</v>
      </c>
      <c r="N1074" s="11">
        <f t="shared" si="33"/>
        <v>4775.5799999985102</v>
      </c>
    </row>
    <row r="1075" spans="3:14" x14ac:dyDescent="0.3">
      <c r="C1075" s="6">
        <v>44078</v>
      </c>
      <c r="D1075" s="7" t="s">
        <v>116</v>
      </c>
      <c r="E1075" s="8">
        <v>2020</v>
      </c>
      <c r="F1075" s="9" t="s">
        <v>135</v>
      </c>
      <c r="G1075" s="9" t="s">
        <v>26</v>
      </c>
      <c r="H1075" s="10" t="s">
        <v>102</v>
      </c>
      <c r="I1075" s="7">
        <v>51</v>
      </c>
      <c r="J1075" s="11">
        <v>36</v>
      </c>
      <c r="K1075" s="11">
        <f t="shared" si="32"/>
        <v>1836</v>
      </c>
      <c r="L1075" s="11">
        <v>0</v>
      </c>
      <c r="M1075" s="11">
        <v>220.32</v>
      </c>
      <c r="N1075" s="11">
        <f t="shared" si="33"/>
        <v>2056.3200000000002</v>
      </c>
    </row>
    <row r="1076" spans="3:14" x14ac:dyDescent="0.3">
      <c r="C1076" s="6">
        <v>44078</v>
      </c>
      <c r="D1076" s="7" t="s">
        <v>116</v>
      </c>
      <c r="E1076" s="8">
        <v>2020</v>
      </c>
      <c r="F1076" s="9" t="s">
        <v>135</v>
      </c>
      <c r="G1076" s="9" t="s">
        <v>24</v>
      </c>
      <c r="H1076" s="10" t="s">
        <v>25</v>
      </c>
      <c r="I1076" s="7">
        <v>5</v>
      </c>
      <c r="J1076" s="11">
        <v>11</v>
      </c>
      <c r="K1076" s="11">
        <f t="shared" si="32"/>
        <v>55</v>
      </c>
      <c r="L1076" s="11">
        <v>0</v>
      </c>
      <c r="M1076" s="11">
        <v>6.6</v>
      </c>
      <c r="N1076" s="11">
        <f t="shared" si="33"/>
        <v>61.6</v>
      </c>
    </row>
    <row r="1077" spans="3:14" x14ac:dyDescent="0.3">
      <c r="C1077" s="6">
        <v>44078</v>
      </c>
      <c r="D1077" s="7" t="s">
        <v>116</v>
      </c>
      <c r="E1077" s="8">
        <v>2020</v>
      </c>
      <c r="F1077" s="9" t="s">
        <v>135</v>
      </c>
      <c r="G1077" s="9" t="s">
        <v>24</v>
      </c>
      <c r="H1077" s="10" t="s">
        <v>107</v>
      </c>
      <c r="I1077" s="7">
        <v>25</v>
      </c>
      <c r="J1077" s="11">
        <v>14</v>
      </c>
      <c r="K1077" s="11">
        <f t="shared" si="32"/>
        <v>350</v>
      </c>
      <c r="L1077" s="11">
        <v>0</v>
      </c>
      <c r="M1077" s="11">
        <v>42</v>
      </c>
      <c r="N1077" s="11">
        <f t="shared" si="33"/>
        <v>392</v>
      </c>
    </row>
    <row r="1078" spans="3:14" x14ac:dyDescent="0.3">
      <c r="C1078" s="6">
        <v>44078</v>
      </c>
      <c r="D1078" s="7" t="s">
        <v>116</v>
      </c>
      <c r="E1078" s="8">
        <v>2020</v>
      </c>
      <c r="F1078" s="9" t="s">
        <v>135</v>
      </c>
      <c r="G1078" s="9" t="s">
        <v>32</v>
      </c>
      <c r="H1078" s="10" t="s">
        <v>143</v>
      </c>
      <c r="I1078" s="7">
        <v>72</v>
      </c>
      <c r="J1078" s="11">
        <v>48</v>
      </c>
      <c r="K1078" s="11">
        <f t="shared" si="32"/>
        <v>3456</v>
      </c>
      <c r="L1078" s="11">
        <v>0</v>
      </c>
      <c r="M1078" s="11">
        <v>414.71999999999997</v>
      </c>
      <c r="N1078" s="11">
        <f t="shared" si="33"/>
        <v>3870.72</v>
      </c>
    </row>
    <row r="1079" spans="3:14" x14ac:dyDescent="0.3">
      <c r="C1079" s="6">
        <v>44078</v>
      </c>
      <c r="D1079" s="7" t="s">
        <v>116</v>
      </c>
      <c r="E1079" s="8">
        <v>2020</v>
      </c>
      <c r="F1079" s="9" t="s">
        <v>135</v>
      </c>
      <c r="G1079" s="9" t="s">
        <v>16</v>
      </c>
      <c r="H1079" s="10" t="s">
        <v>68</v>
      </c>
      <c r="I1079" s="7">
        <v>33</v>
      </c>
      <c r="J1079" s="11">
        <v>99</v>
      </c>
      <c r="K1079" s="11">
        <f t="shared" si="32"/>
        <v>3267</v>
      </c>
      <c r="L1079" s="11">
        <v>0</v>
      </c>
      <c r="M1079" s="11">
        <v>392.03999999999996</v>
      </c>
      <c r="N1079" s="11">
        <f t="shared" si="33"/>
        <v>3659.04</v>
      </c>
    </row>
    <row r="1080" spans="3:14" x14ac:dyDescent="0.3">
      <c r="C1080" s="6">
        <v>44078</v>
      </c>
      <c r="D1080" s="7" t="s">
        <v>116</v>
      </c>
      <c r="E1080" s="8">
        <v>2020</v>
      </c>
      <c r="F1080" s="9" t="s">
        <v>135</v>
      </c>
      <c r="G1080" s="9" t="s">
        <v>14</v>
      </c>
      <c r="H1080" s="10" t="s">
        <v>35</v>
      </c>
      <c r="I1080" s="7">
        <v>23</v>
      </c>
      <c r="J1080" s="11">
        <v>92</v>
      </c>
      <c r="K1080" s="11">
        <f t="shared" si="32"/>
        <v>2116</v>
      </c>
      <c r="L1080" s="11">
        <v>0</v>
      </c>
      <c r="M1080" s="11">
        <v>253.92</v>
      </c>
      <c r="N1080" s="11">
        <f t="shared" si="33"/>
        <v>2369.92</v>
      </c>
    </row>
    <row r="1081" spans="3:14" x14ac:dyDescent="0.3">
      <c r="C1081" s="6">
        <v>44079</v>
      </c>
      <c r="D1081" s="7" t="s">
        <v>116</v>
      </c>
      <c r="E1081" s="8">
        <v>2020</v>
      </c>
      <c r="F1081" s="9" t="s">
        <v>84</v>
      </c>
      <c r="G1081" s="9" t="s">
        <v>32</v>
      </c>
      <c r="H1081" s="10" t="s">
        <v>59</v>
      </c>
      <c r="I1081" s="7">
        <v>70</v>
      </c>
      <c r="J1081" s="11">
        <v>100</v>
      </c>
      <c r="K1081" s="11">
        <f t="shared" si="32"/>
        <v>7000</v>
      </c>
      <c r="L1081" s="11">
        <v>0</v>
      </c>
      <c r="M1081" s="11">
        <v>840</v>
      </c>
      <c r="N1081" s="11">
        <f t="shared" si="33"/>
        <v>7840</v>
      </c>
    </row>
    <row r="1082" spans="3:14" x14ac:dyDescent="0.3">
      <c r="C1082" s="6">
        <v>44079</v>
      </c>
      <c r="D1082" s="7" t="s">
        <v>116</v>
      </c>
      <c r="E1082" s="8">
        <v>2020</v>
      </c>
      <c r="F1082" s="9" t="s">
        <v>84</v>
      </c>
      <c r="G1082" s="9" t="s">
        <v>24</v>
      </c>
      <c r="H1082" s="10" t="s">
        <v>76</v>
      </c>
      <c r="I1082" s="7">
        <v>5</v>
      </c>
      <c r="J1082" s="11">
        <v>33</v>
      </c>
      <c r="K1082" s="11">
        <f t="shared" si="32"/>
        <v>165</v>
      </c>
      <c r="L1082" s="11">
        <v>5.0000000745058101E-2</v>
      </c>
      <c r="M1082" s="11">
        <v>19.8</v>
      </c>
      <c r="N1082" s="11">
        <f t="shared" si="33"/>
        <v>184.74999999925495</v>
      </c>
    </row>
    <row r="1083" spans="3:14" x14ac:dyDescent="0.3">
      <c r="C1083" s="6">
        <v>44079</v>
      </c>
      <c r="D1083" s="7" t="s">
        <v>116</v>
      </c>
      <c r="E1083" s="8">
        <v>2020</v>
      </c>
      <c r="F1083" s="9" t="s">
        <v>84</v>
      </c>
      <c r="G1083" s="9" t="s">
        <v>14</v>
      </c>
      <c r="H1083" s="10" t="s">
        <v>35</v>
      </c>
      <c r="I1083" s="7">
        <v>67</v>
      </c>
      <c r="J1083" s="11">
        <v>40</v>
      </c>
      <c r="K1083" s="11">
        <f t="shared" si="32"/>
        <v>2680</v>
      </c>
      <c r="L1083" s="11">
        <v>5.0000000745058101E-2</v>
      </c>
      <c r="M1083" s="11">
        <v>321.59999999999997</v>
      </c>
      <c r="N1083" s="11">
        <f t="shared" si="33"/>
        <v>3001.5499999992549</v>
      </c>
    </row>
    <row r="1084" spans="3:14" x14ac:dyDescent="0.3">
      <c r="C1084" s="6">
        <v>44079</v>
      </c>
      <c r="D1084" s="7" t="s">
        <v>116</v>
      </c>
      <c r="E1084" s="8">
        <v>2020</v>
      </c>
      <c r="F1084" s="9" t="s">
        <v>84</v>
      </c>
      <c r="G1084" s="9" t="s">
        <v>26</v>
      </c>
      <c r="H1084" s="10" t="s">
        <v>52</v>
      </c>
      <c r="I1084" s="7">
        <v>58</v>
      </c>
      <c r="J1084" s="11">
        <v>55</v>
      </c>
      <c r="K1084" s="11">
        <f t="shared" si="32"/>
        <v>3190</v>
      </c>
      <c r="L1084" s="11">
        <v>5.0000000745058101E-2</v>
      </c>
      <c r="M1084" s="11">
        <v>382.8</v>
      </c>
      <c r="N1084" s="11">
        <f t="shared" si="33"/>
        <v>3572.7499999992551</v>
      </c>
    </row>
    <row r="1085" spans="3:14" x14ac:dyDescent="0.3">
      <c r="C1085" s="6">
        <v>44079</v>
      </c>
      <c r="D1085" s="7" t="s">
        <v>116</v>
      </c>
      <c r="E1085" s="8">
        <v>2020</v>
      </c>
      <c r="F1085" s="9" t="s">
        <v>161</v>
      </c>
      <c r="G1085" s="9" t="s">
        <v>14</v>
      </c>
      <c r="H1085" s="10" t="s">
        <v>36</v>
      </c>
      <c r="I1085" s="7">
        <v>86</v>
      </c>
      <c r="J1085" s="11">
        <v>24</v>
      </c>
      <c r="K1085" s="11">
        <f t="shared" si="32"/>
        <v>2064</v>
      </c>
      <c r="L1085" s="11">
        <v>5.0000000745058101E-2</v>
      </c>
      <c r="M1085" s="11">
        <v>247.67999999999998</v>
      </c>
      <c r="N1085" s="11">
        <f t="shared" si="33"/>
        <v>2311.6299999992548</v>
      </c>
    </row>
    <row r="1086" spans="3:14" x14ac:dyDescent="0.3">
      <c r="C1086" s="6">
        <v>44079</v>
      </c>
      <c r="D1086" s="7" t="s">
        <v>116</v>
      </c>
      <c r="E1086" s="8">
        <v>2020</v>
      </c>
      <c r="F1086" s="9" t="s">
        <v>161</v>
      </c>
      <c r="G1086" s="9" t="s">
        <v>24</v>
      </c>
      <c r="H1086" s="10" t="s">
        <v>76</v>
      </c>
      <c r="I1086" s="7">
        <v>52</v>
      </c>
      <c r="J1086" s="11">
        <v>58</v>
      </c>
      <c r="K1086" s="11">
        <f t="shared" si="32"/>
        <v>3016</v>
      </c>
      <c r="L1086" s="11">
        <v>5.0000000745058101E-2</v>
      </c>
      <c r="M1086" s="11">
        <v>361.91999999999996</v>
      </c>
      <c r="N1086" s="11">
        <f t="shared" si="33"/>
        <v>3377.869999999255</v>
      </c>
    </row>
    <row r="1087" spans="3:14" x14ac:dyDescent="0.3">
      <c r="C1087" s="6">
        <v>44079</v>
      </c>
      <c r="D1087" s="7" t="s">
        <v>116</v>
      </c>
      <c r="E1087" s="8">
        <v>2020</v>
      </c>
      <c r="F1087" s="9" t="s">
        <v>161</v>
      </c>
      <c r="G1087" s="9" t="s">
        <v>37</v>
      </c>
      <c r="H1087" s="10" t="s">
        <v>63</v>
      </c>
      <c r="I1087" s="7">
        <v>99</v>
      </c>
      <c r="J1087" s="11">
        <v>35</v>
      </c>
      <c r="K1087" s="11">
        <f t="shared" si="32"/>
        <v>3465</v>
      </c>
      <c r="L1087" s="11">
        <v>5.0000000745058101E-2</v>
      </c>
      <c r="M1087" s="11">
        <v>415.8</v>
      </c>
      <c r="N1087" s="11">
        <f t="shared" si="33"/>
        <v>3880.7499999992551</v>
      </c>
    </row>
    <row r="1088" spans="3:14" x14ac:dyDescent="0.3">
      <c r="C1088" s="6">
        <v>44082</v>
      </c>
      <c r="D1088" s="7" t="s">
        <v>116</v>
      </c>
      <c r="E1088" s="8">
        <v>2020</v>
      </c>
      <c r="F1088" s="9" t="s">
        <v>163</v>
      </c>
      <c r="G1088" s="9" t="s">
        <v>32</v>
      </c>
      <c r="H1088" s="10" t="s">
        <v>33</v>
      </c>
      <c r="I1088" s="7">
        <v>45</v>
      </c>
      <c r="J1088" s="11">
        <v>39</v>
      </c>
      <c r="K1088" s="11">
        <f t="shared" si="32"/>
        <v>1755</v>
      </c>
      <c r="L1088" s="11">
        <v>0</v>
      </c>
      <c r="M1088" s="11">
        <v>210.6</v>
      </c>
      <c r="N1088" s="11">
        <f t="shared" si="33"/>
        <v>1965.6</v>
      </c>
    </row>
    <row r="1089" spans="3:14" x14ac:dyDescent="0.3">
      <c r="C1089" s="6">
        <v>44083</v>
      </c>
      <c r="D1089" s="7" t="s">
        <v>116</v>
      </c>
      <c r="E1089" s="8">
        <v>2020</v>
      </c>
      <c r="F1089" s="9" t="s">
        <v>118</v>
      </c>
      <c r="G1089" s="9" t="s">
        <v>37</v>
      </c>
      <c r="H1089" s="10" t="s">
        <v>38</v>
      </c>
      <c r="I1089" s="7">
        <v>21</v>
      </c>
      <c r="J1089" s="11">
        <v>91</v>
      </c>
      <c r="K1089" s="11">
        <f t="shared" si="32"/>
        <v>1911</v>
      </c>
      <c r="L1089" s="11">
        <v>0.20000000298023199</v>
      </c>
      <c r="M1089" s="11">
        <v>229.32</v>
      </c>
      <c r="N1089" s="11">
        <f t="shared" si="33"/>
        <v>2140.1199999970199</v>
      </c>
    </row>
    <row r="1090" spans="3:14" x14ac:dyDescent="0.3">
      <c r="C1090" s="6">
        <v>44083</v>
      </c>
      <c r="D1090" s="7" t="s">
        <v>116</v>
      </c>
      <c r="E1090" s="8">
        <v>2020</v>
      </c>
      <c r="F1090" s="9" t="s">
        <v>118</v>
      </c>
      <c r="G1090" s="9" t="s">
        <v>24</v>
      </c>
      <c r="H1090" s="10" t="s">
        <v>128</v>
      </c>
      <c r="I1090" s="7">
        <v>53</v>
      </c>
      <c r="J1090" s="11">
        <v>86</v>
      </c>
      <c r="K1090" s="11">
        <f t="shared" si="32"/>
        <v>4558</v>
      </c>
      <c r="L1090" s="11">
        <v>0.20000000298023199</v>
      </c>
      <c r="M1090" s="11">
        <v>546.96</v>
      </c>
      <c r="N1090" s="11">
        <f t="shared" si="33"/>
        <v>5104.7599999970198</v>
      </c>
    </row>
    <row r="1091" spans="3:14" x14ac:dyDescent="0.3">
      <c r="C1091" s="6">
        <v>44083</v>
      </c>
      <c r="D1091" s="7" t="s">
        <v>116</v>
      </c>
      <c r="E1091" s="8">
        <v>2020</v>
      </c>
      <c r="F1091" s="9" t="s">
        <v>122</v>
      </c>
      <c r="G1091" s="9" t="s">
        <v>32</v>
      </c>
      <c r="H1091" s="10" t="s">
        <v>110</v>
      </c>
      <c r="I1091" s="7">
        <v>80</v>
      </c>
      <c r="J1091" s="11">
        <v>38</v>
      </c>
      <c r="K1091" s="11">
        <f t="shared" ref="K1091:K1154" si="34">J1091*I1091</f>
        <v>3040</v>
      </c>
      <c r="L1091" s="11">
        <v>0</v>
      </c>
      <c r="M1091" s="11">
        <v>364.8</v>
      </c>
      <c r="N1091" s="11">
        <f t="shared" ref="N1091:N1154" si="35">K1091-L1091+M1091</f>
        <v>3404.8</v>
      </c>
    </row>
    <row r="1092" spans="3:14" x14ac:dyDescent="0.3">
      <c r="C1092" s="6">
        <v>44084</v>
      </c>
      <c r="D1092" s="7" t="s">
        <v>116</v>
      </c>
      <c r="E1092" s="8">
        <v>2020</v>
      </c>
      <c r="F1092" s="9" t="s">
        <v>141</v>
      </c>
      <c r="G1092" s="9" t="s">
        <v>24</v>
      </c>
      <c r="H1092" s="10" t="s">
        <v>76</v>
      </c>
      <c r="I1092" s="7">
        <v>39</v>
      </c>
      <c r="J1092" s="11">
        <v>35</v>
      </c>
      <c r="K1092" s="11">
        <f t="shared" si="34"/>
        <v>1365</v>
      </c>
      <c r="L1092" s="11">
        <v>5.0000000745058101E-2</v>
      </c>
      <c r="M1092" s="11">
        <v>163.79999999999998</v>
      </c>
      <c r="N1092" s="11">
        <f t="shared" si="35"/>
        <v>1528.7499999992549</v>
      </c>
    </row>
    <row r="1093" spans="3:14" x14ac:dyDescent="0.3">
      <c r="C1093" s="6">
        <v>44084</v>
      </c>
      <c r="D1093" s="7" t="s">
        <v>116</v>
      </c>
      <c r="E1093" s="8">
        <v>2020</v>
      </c>
      <c r="F1093" s="9" t="s">
        <v>141</v>
      </c>
      <c r="G1093" s="9" t="s">
        <v>16</v>
      </c>
      <c r="H1093" s="10" t="s">
        <v>17</v>
      </c>
      <c r="I1093" s="7">
        <v>77</v>
      </c>
      <c r="J1093" s="11">
        <v>67</v>
      </c>
      <c r="K1093" s="11">
        <f t="shared" si="34"/>
        <v>5159</v>
      </c>
      <c r="L1093" s="11">
        <v>5.0000000745058101E-2</v>
      </c>
      <c r="M1093" s="11">
        <v>619.07999999999993</v>
      </c>
      <c r="N1093" s="11">
        <f t="shared" si="35"/>
        <v>5778.0299999992549</v>
      </c>
    </row>
    <row r="1094" spans="3:14" x14ac:dyDescent="0.3">
      <c r="C1094" s="6">
        <v>44084</v>
      </c>
      <c r="D1094" s="7" t="s">
        <v>116</v>
      </c>
      <c r="E1094" s="8">
        <v>2020</v>
      </c>
      <c r="F1094" s="9" t="s">
        <v>141</v>
      </c>
      <c r="G1094" s="9" t="s">
        <v>20</v>
      </c>
      <c r="H1094" s="10" t="s">
        <v>22</v>
      </c>
      <c r="I1094" s="7">
        <v>84</v>
      </c>
      <c r="J1094" s="11">
        <v>77</v>
      </c>
      <c r="K1094" s="11">
        <f t="shared" si="34"/>
        <v>6468</v>
      </c>
      <c r="L1094" s="11">
        <v>5.0000000745058101E-2</v>
      </c>
      <c r="M1094" s="11">
        <v>776.16</v>
      </c>
      <c r="N1094" s="11">
        <f t="shared" si="35"/>
        <v>7244.1099999992548</v>
      </c>
    </row>
    <row r="1095" spans="3:14" x14ac:dyDescent="0.3">
      <c r="C1095" s="6">
        <v>44084</v>
      </c>
      <c r="D1095" s="7" t="s">
        <v>116</v>
      </c>
      <c r="E1095" s="8">
        <v>2020</v>
      </c>
      <c r="F1095" s="9" t="s">
        <v>138</v>
      </c>
      <c r="G1095" s="9" t="s">
        <v>24</v>
      </c>
      <c r="H1095" s="10" t="s">
        <v>85</v>
      </c>
      <c r="I1095" s="7">
        <v>66</v>
      </c>
      <c r="J1095" s="11">
        <v>89</v>
      </c>
      <c r="K1095" s="11">
        <f t="shared" si="34"/>
        <v>5874</v>
      </c>
      <c r="L1095" s="11">
        <v>0.15000000596046401</v>
      </c>
      <c r="M1095" s="11">
        <v>704.88</v>
      </c>
      <c r="N1095" s="11">
        <f t="shared" si="35"/>
        <v>6578.7299999940396</v>
      </c>
    </row>
    <row r="1096" spans="3:14" x14ac:dyDescent="0.3">
      <c r="C1096" s="6">
        <v>44084</v>
      </c>
      <c r="D1096" s="7" t="s">
        <v>116</v>
      </c>
      <c r="E1096" s="8">
        <v>2020</v>
      </c>
      <c r="F1096" s="9" t="s">
        <v>138</v>
      </c>
      <c r="G1096" s="9" t="s">
        <v>16</v>
      </c>
      <c r="H1096" s="10" t="s">
        <v>68</v>
      </c>
      <c r="I1096" s="7">
        <v>58</v>
      </c>
      <c r="J1096" s="11">
        <v>70</v>
      </c>
      <c r="K1096" s="11">
        <f t="shared" si="34"/>
        <v>4060</v>
      </c>
      <c r="L1096" s="11">
        <v>0.15000000596046401</v>
      </c>
      <c r="M1096" s="11">
        <v>487.2</v>
      </c>
      <c r="N1096" s="11">
        <f t="shared" si="35"/>
        <v>4547.0499999940394</v>
      </c>
    </row>
    <row r="1097" spans="3:14" x14ac:dyDescent="0.3">
      <c r="C1097" s="6">
        <v>44084</v>
      </c>
      <c r="D1097" s="7" t="s">
        <v>116</v>
      </c>
      <c r="E1097" s="8">
        <v>2020</v>
      </c>
      <c r="F1097" s="9" t="s">
        <v>138</v>
      </c>
      <c r="G1097" s="9" t="s">
        <v>26</v>
      </c>
      <c r="H1097" s="10" t="s">
        <v>27</v>
      </c>
      <c r="I1097" s="7">
        <v>73</v>
      </c>
      <c r="J1097" s="11">
        <v>74</v>
      </c>
      <c r="K1097" s="11">
        <f t="shared" si="34"/>
        <v>5402</v>
      </c>
      <c r="L1097" s="11">
        <v>0.15000000596046401</v>
      </c>
      <c r="M1097" s="11">
        <v>648.24</v>
      </c>
      <c r="N1097" s="11">
        <f t="shared" si="35"/>
        <v>6050.0899999940393</v>
      </c>
    </row>
    <row r="1098" spans="3:14" x14ac:dyDescent="0.3">
      <c r="C1098" s="6">
        <v>44085</v>
      </c>
      <c r="D1098" s="7" t="s">
        <v>116</v>
      </c>
      <c r="E1098" s="8">
        <v>2020</v>
      </c>
      <c r="F1098" s="9" t="s">
        <v>122</v>
      </c>
      <c r="G1098" s="9" t="s">
        <v>20</v>
      </c>
      <c r="H1098" s="10" t="s">
        <v>22</v>
      </c>
      <c r="I1098" s="7">
        <v>3</v>
      </c>
      <c r="J1098" s="11">
        <v>15</v>
      </c>
      <c r="K1098" s="11">
        <f t="shared" si="34"/>
        <v>45</v>
      </c>
      <c r="L1098" s="11">
        <v>0</v>
      </c>
      <c r="M1098" s="11">
        <v>5.3999999999999995</v>
      </c>
      <c r="N1098" s="11">
        <f t="shared" si="35"/>
        <v>50.4</v>
      </c>
    </row>
    <row r="1099" spans="3:14" x14ac:dyDescent="0.3">
      <c r="C1099" s="6">
        <v>44085</v>
      </c>
      <c r="D1099" s="7" t="s">
        <v>116</v>
      </c>
      <c r="E1099" s="8">
        <v>2020</v>
      </c>
      <c r="F1099" s="9" t="s">
        <v>122</v>
      </c>
      <c r="G1099" s="9" t="s">
        <v>14</v>
      </c>
      <c r="H1099" s="10" t="s">
        <v>49</v>
      </c>
      <c r="I1099" s="7">
        <v>36</v>
      </c>
      <c r="J1099" s="11">
        <v>58</v>
      </c>
      <c r="K1099" s="11">
        <f t="shared" si="34"/>
        <v>2088</v>
      </c>
      <c r="L1099" s="11">
        <v>0</v>
      </c>
      <c r="M1099" s="11">
        <v>250.56</v>
      </c>
      <c r="N1099" s="11">
        <f t="shared" si="35"/>
        <v>2338.56</v>
      </c>
    </row>
    <row r="1100" spans="3:14" x14ac:dyDescent="0.3">
      <c r="C1100" s="6">
        <v>44085</v>
      </c>
      <c r="D1100" s="7" t="s">
        <v>116</v>
      </c>
      <c r="E1100" s="8">
        <v>2020</v>
      </c>
      <c r="F1100" s="9" t="s">
        <v>122</v>
      </c>
      <c r="G1100" s="9" t="s">
        <v>37</v>
      </c>
      <c r="H1100" s="10" t="s">
        <v>77</v>
      </c>
      <c r="I1100" s="7">
        <v>54</v>
      </c>
      <c r="J1100" s="11">
        <v>73</v>
      </c>
      <c r="K1100" s="11">
        <f t="shared" si="34"/>
        <v>3942</v>
      </c>
      <c r="L1100" s="11">
        <v>0</v>
      </c>
      <c r="M1100" s="11">
        <v>473.03999999999996</v>
      </c>
      <c r="N1100" s="11">
        <f t="shared" si="35"/>
        <v>4415.04</v>
      </c>
    </row>
    <row r="1101" spans="3:14" x14ac:dyDescent="0.3">
      <c r="C1101" s="6">
        <v>44086</v>
      </c>
      <c r="D1101" s="7" t="s">
        <v>116</v>
      </c>
      <c r="E1101" s="8">
        <v>2020</v>
      </c>
      <c r="F1101" s="9" t="s">
        <v>45</v>
      </c>
      <c r="G1101" s="9" t="s">
        <v>42</v>
      </c>
      <c r="H1101" s="10" t="s">
        <v>79</v>
      </c>
      <c r="I1101" s="7">
        <v>68</v>
      </c>
      <c r="J1101" s="11">
        <v>54</v>
      </c>
      <c r="K1101" s="11">
        <f t="shared" si="34"/>
        <v>3672</v>
      </c>
      <c r="L1101" s="11">
        <v>0</v>
      </c>
      <c r="M1101" s="11">
        <v>440.64</v>
      </c>
      <c r="N1101" s="11">
        <f t="shared" si="35"/>
        <v>4112.6400000000003</v>
      </c>
    </row>
    <row r="1102" spans="3:14" x14ac:dyDescent="0.3">
      <c r="C1102" s="6">
        <v>44086</v>
      </c>
      <c r="D1102" s="7" t="s">
        <v>116</v>
      </c>
      <c r="E1102" s="8">
        <v>2020</v>
      </c>
      <c r="F1102" s="9" t="s">
        <v>45</v>
      </c>
      <c r="G1102" s="9" t="s">
        <v>26</v>
      </c>
      <c r="H1102" s="10" t="s">
        <v>27</v>
      </c>
      <c r="I1102" s="7">
        <v>8</v>
      </c>
      <c r="J1102" s="11">
        <v>21</v>
      </c>
      <c r="K1102" s="11">
        <f t="shared" si="34"/>
        <v>168</v>
      </c>
      <c r="L1102" s="11">
        <v>0</v>
      </c>
      <c r="M1102" s="11">
        <v>20.16</v>
      </c>
      <c r="N1102" s="11">
        <f t="shared" si="35"/>
        <v>188.16</v>
      </c>
    </row>
    <row r="1103" spans="3:14" x14ac:dyDescent="0.3">
      <c r="C1103" s="6">
        <v>44086</v>
      </c>
      <c r="D1103" s="7" t="s">
        <v>116</v>
      </c>
      <c r="E1103" s="8">
        <v>2020</v>
      </c>
      <c r="F1103" s="9" t="s">
        <v>55</v>
      </c>
      <c r="G1103" s="9" t="s">
        <v>14</v>
      </c>
      <c r="H1103" s="10" t="s">
        <v>117</v>
      </c>
      <c r="I1103" s="7">
        <v>15</v>
      </c>
      <c r="J1103" s="11">
        <v>35</v>
      </c>
      <c r="K1103" s="11">
        <f t="shared" si="34"/>
        <v>525</v>
      </c>
      <c r="L1103" s="11">
        <v>0.20000000298023199</v>
      </c>
      <c r="M1103" s="11">
        <v>63</v>
      </c>
      <c r="N1103" s="11">
        <f t="shared" si="35"/>
        <v>587.79999999701977</v>
      </c>
    </row>
    <row r="1104" spans="3:14" x14ac:dyDescent="0.3">
      <c r="C1104" s="6">
        <v>44086</v>
      </c>
      <c r="D1104" s="7" t="s">
        <v>116</v>
      </c>
      <c r="E1104" s="8">
        <v>2020</v>
      </c>
      <c r="F1104" s="9" t="s">
        <v>55</v>
      </c>
      <c r="G1104" s="9" t="s">
        <v>14</v>
      </c>
      <c r="H1104" s="10" t="s">
        <v>87</v>
      </c>
      <c r="I1104" s="7">
        <v>5</v>
      </c>
      <c r="J1104" s="11">
        <v>29</v>
      </c>
      <c r="K1104" s="11">
        <f t="shared" si="34"/>
        <v>145</v>
      </c>
      <c r="L1104" s="11">
        <v>0.20000000298023199</v>
      </c>
      <c r="M1104" s="11">
        <v>17.399999999999999</v>
      </c>
      <c r="N1104" s="11">
        <f t="shared" si="35"/>
        <v>162.19999999701977</v>
      </c>
    </row>
    <row r="1105" spans="3:14" x14ac:dyDescent="0.3">
      <c r="C1105" s="6">
        <v>44089</v>
      </c>
      <c r="D1105" s="7" t="s">
        <v>116</v>
      </c>
      <c r="E1105" s="8">
        <v>2020</v>
      </c>
      <c r="F1105" s="9" t="s">
        <v>120</v>
      </c>
      <c r="G1105" s="9" t="s">
        <v>14</v>
      </c>
      <c r="H1105" s="10" t="s">
        <v>36</v>
      </c>
      <c r="I1105" s="7">
        <v>64</v>
      </c>
      <c r="J1105" s="11">
        <v>97</v>
      </c>
      <c r="K1105" s="11">
        <f t="shared" si="34"/>
        <v>6208</v>
      </c>
      <c r="L1105" s="11">
        <v>0.10000000149011599</v>
      </c>
      <c r="M1105" s="11">
        <v>744.95999999999992</v>
      </c>
      <c r="N1105" s="11">
        <f t="shared" si="35"/>
        <v>6952.8599999985099</v>
      </c>
    </row>
    <row r="1106" spans="3:14" x14ac:dyDescent="0.3">
      <c r="C1106" s="6">
        <v>44089</v>
      </c>
      <c r="D1106" s="7" t="s">
        <v>116</v>
      </c>
      <c r="E1106" s="8">
        <v>2020</v>
      </c>
      <c r="F1106" s="9" t="s">
        <v>120</v>
      </c>
      <c r="G1106" s="9" t="s">
        <v>42</v>
      </c>
      <c r="H1106" s="10" t="s">
        <v>43</v>
      </c>
      <c r="I1106" s="7">
        <v>4</v>
      </c>
      <c r="J1106" s="11">
        <v>18</v>
      </c>
      <c r="K1106" s="11">
        <f t="shared" si="34"/>
        <v>72</v>
      </c>
      <c r="L1106" s="11">
        <v>0.10000000149011599</v>
      </c>
      <c r="M1106" s="11">
        <v>8.64</v>
      </c>
      <c r="N1106" s="11">
        <f t="shared" si="35"/>
        <v>80.539999998509884</v>
      </c>
    </row>
    <row r="1107" spans="3:14" x14ac:dyDescent="0.3">
      <c r="C1107" s="6">
        <v>44089</v>
      </c>
      <c r="D1107" s="7" t="s">
        <v>116</v>
      </c>
      <c r="E1107" s="8">
        <v>2020</v>
      </c>
      <c r="F1107" s="9" t="s">
        <v>120</v>
      </c>
      <c r="G1107" s="9" t="s">
        <v>16</v>
      </c>
      <c r="H1107" s="10" t="s">
        <v>113</v>
      </c>
      <c r="I1107" s="7">
        <v>89</v>
      </c>
      <c r="J1107" s="11">
        <v>72</v>
      </c>
      <c r="K1107" s="11">
        <f t="shared" si="34"/>
        <v>6408</v>
      </c>
      <c r="L1107" s="11">
        <v>0.10000000149011599</v>
      </c>
      <c r="M1107" s="11">
        <v>768.95999999999992</v>
      </c>
      <c r="N1107" s="11">
        <f t="shared" si="35"/>
        <v>7176.8599999985099</v>
      </c>
    </row>
    <row r="1108" spans="3:14" x14ac:dyDescent="0.3">
      <c r="C1108" s="6">
        <v>44089</v>
      </c>
      <c r="D1108" s="7" t="s">
        <v>116</v>
      </c>
      <c r="E1108" s="8">
        <v>2020</v>
      </c>
      <c r="F1108" s="9" t="s">
        <v>146</v>
      </c>
      <c r="G1108" s="9" t="s">
        <v>24</v>
      </c>
      <c r="H1108" s="10" t="s">
        <v>48</v>
      </c>
      <c r="I1108" s="7">
        <v>35</v>
      </c>
      <c r="J1108" s="11">
        <v>89</v>
      </c>
      <c r="K1108" s="11">
        <f t="shared" si="34"/>
        <v>3115</v>
      </c>
      <c r="L1108" s="11">
        <v>0</v>
      </c>
      <c r="M1108" s="11">
        <v>373.8</v>
      </c>
      <c r="N1108" s="11">
        <f t="shared" si="35"/>
        <v>3488.8</v>
      </c>
    </row>
    <row r="1109" spans="3:14" x14ac:dyDescent="0.3">
      <c r="C1109" s="6">
        <v>44090</v>
      </c>
      <c r="D1109" s="7" t="s">
        <v>116</v>
      </c>
      <c r="E1109" s="8">
        <v>2020</v>
      </c>
      <c r="F1109" s="9" t="s">
        <v>75</v>
      </c>
      <c r="G1109" s="9" t="s">
        <v>16</v>
      </c>
      <c r="H1109" s="10" t="s">
        <v>145</v>
      </c>
      <c r="I1109" s="7">
        <v>36</v>
      </c>
      <c r="J1109" s="11">
        <v>63</v>
      </c>
      <c r="K1109" s="11">
        <f t="shared" si="34"/>
        <v>2268</v>
      </c>
      <c r="L1109" s="11">
        <v>0</v>
      </c>
      <c r="M1109" s="11">
        <v>272.15999999999997</v>
      </c>
      <c r="N1109" s="11">
        <f t="shared" si="35"/>
        <v>2540.16</v>
      </c>
    </row>
    <row r="1110" spans="3:14" x14ac:dyDescent="0.3">
      <c r="C1110" s="6">
        <v>44090</v>
      </c>
      <c r="D1110" s="7" t="s">
        <v>116</v>
      </c>
      <c r="E1110" s="8">
        <v>2020</v>
      </c>
      <c r="F1110" s="9" t="s">
        <v>75</v>
      </c>
      <c r="G1110" s="9" t="s">
        <v>24</v>
      </c>
      <c r="H1110" s="10" t="s">
        <v>107</v>
      </c>
      <c r="I1110" s="7">
        <v>97</v>
      </c>
      <c r="J1110" s="11">
        <v>48</v>
      </c>
      <c r="K1110" s="11">
        <f t="shared" si="34"/>
        <v>4656</v>
      </c>
      <c r="L1110" s="11">
        <v>0</v>
      </c>
      <c r="M1110" s="11">
        <v>558.72</v>
      </c>
      <c r="N1110" s="11">
        <f t="shared" si="35"/>
        <v>5214.72</v>
      </c>
    </row>
    <row r="1111" spans="3:14" x14ac:dyDescent="0.3">
      <c r="C1111" s="6">
        <v>44090</v>
      </c>
      <c r="D1111" s="7" t="s">
        <v>116</v>
      </c>
      <c r="E1111" s="8">
        <v>2020</v>
      </c>
      <c r="F1111" s="9" t="s">
        <v>75</v>
      </c>
      <c r="G1111" s="9" t="s">
        <v>37</v>
      </c>
      <c r="H1111" s="10" t="s">
        <v>103</v>
      </c>
      <c r="I1111" s="7">
        <v>49</v>
      </c>
      <c r="J1111" s="11">
        <v>83</v>
      </c>
      <c r="K1111" s="11">
        <f t="shared" si="34"/>
        <v>4067</v>
      </c>
      <c r="L1111" s="11">
        <v>0</v>
      </c>
      <c r="M1111" s="11">
        <v>488.03999999999996</v>
      </c>
      <c r="N1111" s="11">
        <f t="shared" si="35"/>
        <v>4555.04</v>
      </c>
    </row>
    <row r="1112" spans="3:14" x14ac:dyDescent="0.3">
      <c r="C1112" s="6">
        <v>44090</v>
      </c>
      <c r="D1112" s="7" t="s">
        <v>116</v>
      </c>
      <c r="E1112" s="8">
        <v>2020</v>
      </c>
      <c r="F1112" s="9" t="s">
        <v>75</v>
      </c>
      <c r="G1112" s="9" t="s">
        <v>24</v>
      </c>
      <c r="H1112" s="10" t="s">
        <v>96</v>
      </c>
      <c r="I1112" s="7">
        <v>27</v>
      </c>
      <c r="J1112" s="11">
        <v>51</v>
      </c>
      <c r="K1112" s="11">
        <f t="shared" si="34"/>
        <v>1377</v>
      </c>
      <c r="L1112" s="11">
        <v>0</v>
      </c>
      <c r="M1112" s="11">
        <v>165.23999999999998</v>
      </c>
      <c r="N1112" s="11">
        <f t="shared" si="35"/>
        <v>1542.24</v>
      </c>
    </row>
    <row r="1113" spans="3:14" x14ac:dyDescent="0.3">
      <c r="C1113" s="6">
        <v>44090</v>
      </c>
      <c r="D1113" s="7" t="s">
        <v>116</v>
      </c>
      <c r="E1113" s="8">
        <v>2020</v>
      </c>
      <c r="F1113" s="9" t="s">
        <v>75</v>
      </c>
      <c r="G1113" s="9" t="s">
        <v>37</v>
      </c>
      <c r="H1113" s="10" t="s">
        <v>98</v>
      </c>
      <c r="I1113" s="7">
        <v>78</v>
      </c>
      <c r="J1113" s="11">
        <v>75</v>
      </c>
      <c r="K1113" s="11">
        <f t="shared" si="34"/>
        <v>5850</v>
      </c>
      <c r="L1113" s="11">
        <v>0</v>
      </c>
      <c r="M1113" s="11">
        <v>702</v>
      </c>
      <c r="N1113" s="11">
        <f t="shared" si="35"/>
        <v>6552</v>
      </c>
    </row>
    <row r="1114" spans="3:14" x14ac:dyDescent="0.3">
      <c r="C1114" s="6">
        <v>44091</v>
      </c>
      <c r="D1114" s="7" t="s">
        <v>116</v>
      </c>
      <c r="E1114" s="8">
        <v>2020</v>
      </c>
      <c r="F1114" s="9" t="s">
        <v>196</v>
      </c>
      <c r="G1114" s="9" t="s">
        <v>32</v>
      </c>
      <c r="H1114" s="10" t="s">
        <v>47</v>
      </c>
      <c r="I1114" s="7">
        <v>2</v>
      </c>
      <c r="J1114" s="11">
        <v>37</v>
      </c>
      <c r="K1114" s="11">
        <f t="shared" si="34"/>
        <v>74</v>
      </c>
      <c r="L1114" s="11">
        <v>0</v>
      </c>
      <c r="M1114" s="11">
        <v>8.879999999999999</v>
      </c>
      <c r="N1114" s="11">
        <f t="shared" si="35"/>
        <v>82.88</v>
      </c>
    </row>
    <row r="1115" spans="3:14" x14ac:dyDescent="0.3">
      <c r="C1115" s="6">
        <v>44091</v>
      </c>
      <c r="D1115" s="7" t="s">
        <v>116</v>
      </c>
      <c r="E1115" s="8">
        <v>2020</v>
      </c>
      <c r="F1115" s="9" t="s">
        <v>196</v>
      </c>
      <c r="G1115" s="9" t="s">
        <v>32</v>
      </c>
      <c r="H1115" s="10" t="s">
        <v>62</v>
      </c>
      <c r="I1115" s="7">
        <v>64</v>
      </c>
      <c r="J1115" s="11">
        <v>85</v>
      </c>
      <c r="K1115" s="11">
        <f t="shared" si="34"/>
        <v>5440</v>
      </c>
      <c r="L1115" s="11">
        <v>0</v>
      </c>
      <c r="M1115" s="11">
        <v>652.79999999999995</v>
      </c>
      <c r="N1115" s="11">
        <f t="shared" si="35"/>
        <v>6092.8</v>
      </c>
    </row>
    <row r="1116" spans="3:14" x14ac:dyDescent="0.3">
      <c r="C1116" s="6">
        <v>44091</v>
      </c>
      <c r="D1116" s="7" t="s">
        <v>116</v>
      </c>
      <c r="E1116" s="8">
        <v>2020</v>
      </c>
      <c r="F1116" s="9" t="s">
        <v>196</v>
      </c>
      <c r="G1116" s="9" t="s">
        <v>26</v>
      </c>
      <c r="H1116" s="10" t="s">
        <v>27</v>
      </c>
      <c r="I1116" s="7">
        <v>74</v>
      </c>
      <c r="J1116" s="11">
        <v>95</v>
      </c>
      <c r="K1116" s="11">
        <f t="shared" si="34"/>
        <v>7030</v>
      </c>
      <c r="L1116" s="11">
        <v>0</v>
      </c>
      <c r="M1116" s="11">
        <v>843.6</v>
      </c>
      <c r="N1116" s="11">
        <f t="shared" si="35"/>
        <v>7873.6</v>
      </c>
    </row>
    <row r="1117" spans="3:14" x14ac:dyDescent="0.3">
      <c r="C1117" s="6">
        <v>44091</v>
      </c>
      <c r="D1117" s="7" t="s">
        <v>116</v>
      </c>
      <c r="E1117" s="8">
        <v>2020</v>
      </c>
      <c r="F1117" s="9" t="s">
        <v>93</v>
      </c>
      <c r="G1117" s="9" t="s">
        <v>37</v>
      </c>
      <c r="H1117" s="10" t="s">
        <v>139</v>
      </c>
      <c r="I1117" s="7">
        <v>4</v>
      </c>
      <c r="J1117" s="11">
        <v>83</v>
      </c>
      <c r="K1117" s="11">
        <f t="shared" si="34"/>
        <v>332</v>
      </c>
      <c r="L1117" s="11">
        <v>0.10000000149011599</v>
      </c>
      <c r="M1117" s="11">
        <v>39.839999999999996</v>
      </c>
      <c r="N1117" s="11">
        <f t="shared" si="35"/>
        <v>371.73999999850986</v>
      </c>
    </row>
    <row r="1118" spans="3:14" x14ac:dyDescent="0.3">
      <c r="C1118" s="6">
        <v>44091</v>
      </c>
      <c r="D1118" s="7" t="s">
        <v>116</v>
      </c>
      <c r="E1118" s="8">
        <v>2020</v>
      </c>
      <c r="F1118" s="9" t="s">
        <v>93</v>
      </c>
      <c r="G1118" s="9" t="s">
        <v>14</v>
      </c>
      <c r="H1118" s="10" t="s">
        <v>87</v>
      </c>
      <c r="I1118" s="7">
        <v>71</v>
      </c>
      <c r="J1118" s="11">
        <v>55</v>
      </c>
      <c r="K1118" s="11">
        <f t="shared" si="34"/>
        <v>3905</v>
      </c>
      <c r="L1118" s="11">
        <v>0</v>
      </c>
      <c r="M1118" s="11">
        <v>468.59999999999997</v>
      </c>
      <c r="N1118" s="11">
        <f t="shared" si="35"/>
        <v>4373.6000000000004</v>
      </c>
    </row>
    <row r="1119" spans="3:14" x14ac:dyDescent="0.3">
      <c r="C1119" s="6">
        <v>44092</v>
      </c>
      <c r="D1119" s="7" t="s">
        <v>116</v>
      </c>
      <c r="E1119" s="8">
        <v>2020</v>
      </c>
      <c r="F1119" s="9" t="s">
        <v>13</v>
      </c>
      <c r="G1119" s="9" t="s">
        <v>32</v>
      </c>
      <c r="H1119" s="10" t="s">
        <v>47</v>
      </c>
      <c r="I1119" s="7">
        <v>69</v>
      </c>
      <c r="J1119" s="11">
        <v>60</v>
      </c>
      <c r="K1119" s="11">
        <f t="shared" si="34"/>
        <v>4140</v>
      </c>
      <c r="L1119" s="11">
        <v>0</v>
      </c>
      <c r="M1119" s="11">
        <v>496.79999999999995</v>
      </c>
      <c r="N1119" s="11">
        <f t="shared" si="35"/>
        <v>4636.8</v>
      </c>
    </row>
    <row r="1120" spans="3:14" x14ac:dyDescent="0.3">
      <c r="C1120" s="6">
        <v>44092</v>
      </c>
      <c r="D1120" s="7" t="s">
        <v>116</v>
      </c>
      <c r="E1120" s="8">
        <v>2020</v>
      </c>
      <c r="F1120" s="9" t="s">
        <v>13</v>
      </c>
      <c r="G1120" s="9" t="s">
        <v>16</v>
      </c>
      <c r="H1120" s="10" t="s">
        <v>17</v>
      </c>
      <c r="I1120" s="7">
        <v>60</v>
      </c>
      <c r="J1120" s="11">
        <v>81</v>
      </c>
      <c r="K1120" s="11">
        <f t="shared" si="34"/>
        <v>4860</v>
      </c>
      <c r="L1120" s="11">
        <v>0</v>
      </c>
      <c r="M1120" s="11">
        <v>583.19999999999993</v>
      </c>
      <c r="N1120" s="11">
        <f t="shared" si="35"/>
        <v>5443.2</v>
      </c>
    </row>
    <row r="1121" spans="3:14" x14ac:dyDescent="0.3">
      <c r="C1121" s="6">
        <v>44092</v>
      </c>
      <c r="D1121" s="7" t="s">
        <v>116</v>
      </c>
      <c r="E1121" s="8">
        <v>2020</v>
      </c>
      <c r="F1121" s="9" t="s">
        <v>13</v>
      </c>
      <c r="G1121" s="9" t="s">
        <v>37</v>
      </c>
      <c r="H1121" s="10" t="s">
        <v>82</v>
      </c>
      <c r="I1121" s="7">
        <v>10</v>
      </c>
      <c r="J1121" s="11">
        <v>46</v>
      </c>
      <c r="K1121" s="11">
        <f t="shared" si="34"/>
        <v>460</v>
      </c>
      <c r="L1121" s="11">
        <v>0</v>
      </c>
      <c r="M1121" s="11">
        <v>55.199999999999996</v>
      </c>
      <c r="N1121" s="11">
        <f t="shared" si="35"/>
        <v>515.20000000000005</v>
      </c>
    </row>
    <row r="1122" spans="3:14" x14ac:dyDescent="0.3">
      <c r="C1122" s="6">
        <v>44092</v>
      </c>
      <c r="D1122" s="7" t="s">
        <v>116</v>
      </c>
      <c r="E1122" s="8">
        <v>2020</v>
      </c>
      <c r="F1122" s="9" t="s">
        <v>129</v>
      </c>
      <c r="G1122" s="9" t="s">
        <v>16</v>
      </c>
      <c r="H1122" s="10" t="s">
        <v>145</v>
      </c>
      <c r="I1122" s="7">
        <v>43</v>
      </c>
      <c r="J1122" s="11">
        <v>12</v>
      </c>
      <c r="K1122" s="11">
        <f t="shared" si="34"/>
        <v>516</v>
      </c>
      <c r="L1122" s="11">
        <v>0</v>
      </c>
      <c r="M1122" s="11">
        <v>61.919999999999995</v>
      </c>
      <c r="N1122" s="11">
        <f t="shared" si="35"/>
        <v>577.91999999999996</v>
      </c>
    </row>
    <row r="1123" spans="3:14" x14ac:dyDescent="0.3">
      <c r="C1123" s="6">
        <v>44093</v>
      </c>
      <c r="D1123" s="7" t="s">
        <v>116</v>
      </c>
      <c r="E1123" s="8">
        <v>2020</v>
      </c>
      <c r="F1123" s="9" t="s">
        <v>75</v>
      </c>
      <c r="G1123" s="9" t="s">
        <v>20</v>
      </c>
      <c r="H1123" s="10" t="s">
        <v>136</v>
      </c>
      <c r="I1123" s="7">
        <v>94</v>
      </c>
      <c r="J1123" s="11">
        <v>73</v>
      </c>
      <c r="K1123" s="11">
        <f t="shared" si="34"/>
        <v>6862</v>
      </c>
      <c r="L1123" s="11">
        <v>0</v>
      </c>
      <c r="M1123" s="11">
        <v>823.43999999999994</v>
      </c>
      <c r="N1123" s="11">
        <f t="shared" si="35"/>
        <v>7685.44</v>
      </c>
    </row>
    <row r="1124" spans="3:14" x14ac:dyDescent="0.3">
      <c r="C1124" s="6">
        <v>44093</v>
      </c>
      <c r="D1124" s="7" t="s">
        <v>116</v>
      </c>
      <c r="E1124" s="8">
        <v>2020</v>
      </c>
      <c r="F1124" s="9" t="s">
        <v>75</v>
      </c>
      <c r="G1124" s="9" t="s">
        <v>42</v>
      </c>
      <c r="H1124" s="10" t="s">
        <v>51</v>
      </c>
      <c r="I1124" s="7">
        <v>5</v>
      </c>
      <c r="J1124" s="11">
        <v>88</v>
      </c>
      <c r="K1124" s="11">
        <f t="shared" si="34"/>
        <v>440</v>
      </c>
      <c r="L1124" s="11">
        <v>0</v>
      </c>
      <c r="M1124" s="11">
        <v>52.8</v>
      </c>
      <c r="N1124" s="11">
        <f t="shared" si="35"/>
        <v>492.8</v>
      </c>
    </row>
    <row r="1125" spans="3:14" x14ac:dyDescent="0.3">
      <c r="C1125" s="6">
        <v>44093</v>
      </c>
      <c r="D1125" s="7" t="s">
        <v>116</v>
      </c>
      <c r="E1125" s="8">
        <v>2020</v>
      </c>
      <c r="F1125" s="9" t="s">
        <v>75</v>
      </c>
      <c r="G1125" s="9" t="s">
        <v>24</v>
      </c>
      <c r="H1125" s="10" t="s">
        <v>128</v>
      </c>
      <c r="I1125" s="7">
        <v>7</v>
      </c>
      <c r="J1125" s="11">
        <v>100</v>
      </c>
      <c r="K1125" s="11">
        <f t="shared" si="34"/>
        <v>700</v>
      </c>
      <c r="L1125" s="11">
        <v>0</v>
      </c>
      <c r="M1125" s="11">
        <v>84</v>
      </c>
      <c r="N1125" s="11">
        <f t="shared" si="35"/>
        <v>784</v>
      </c>
    </row>
    <row r="1126" spans="3:14" x14ac:dyDescent="0.3">
      <c r="C1126" s="6">
        <v>44096</v>
      </c>
      <c r="D1126" s="7" t="s">
        <v>116</v>
      </c>
      <c r="E1126" s="8">
        <v>2020</v>
      </c>
      <c r="F1126" s="9" t="s">
        <v>89</v>
      </c>
      <c r="G1126" s="9" t="s">
        <v>24</v>
      </c>
      <c r="H1126" s="10" t="s">
        <v>85</v>
      </c>
      <c r="I1126" s="7">
        <v>5</v>
      </c>
      <c r="J1126" s="11">
        <v>20</v>
      </c>
      <c r="K1126" s="11">
        <f t="shared" si="34"/>
        <v>100</v>
      </c>
      <c r="L1126" s="11">
        <v>0</v>
      </c>
      <c r="M1126" s="11">
        <v>12</v>
      </c>
      <c r="N1126" s="11">
        <f t="shared" si="35"/>
        <v>112</v>
      </c>
    </row>
    <row r="1127" spans="3:14" x14ac:dyDescent="0.3">
      <c r="C1127" s="6">
        <v>44096</v>
      </c>
      <c r="D1127" s="7" t="s">
        <v>116</v>
      </c>
      <c r="E1127" s="8">
        <v>2020</v>
      </c>
      <c r="F1127" s="9" t="s">
        <v>89</v>
      </c>
      <c r="G1127" s="9" t="s">
        <v>32</v>
      </c>
      <c r="H1127" s="10" t="s">
        <v>100</v>
      </c>
      <c r="I1127" s="7">
        <v>31</v>
      </c>
      <c r="J1127" s="11">
        <v>28</v>
      </c>
      <c r="K1127" s="11">
        <f t="shared" si="34"/>
        <v>868</v>
      </c>
      <c r="L1127" s="11">
        <v>0</v>
      </c>
      <c r="M1127" s="11">
        <v>104.16</v>
      </c>
      <c r="N1127" s="11">
        <f t="shared" si="35"/>
        <v>972.16</v>
      </c>
    </row>
    <row r="1128" spans="3:14" x14ac:dyDescent="0.3">
      <c r="C1128" s="6">
        <v>44096</v>
      </c>
      <c r="D1128" s="7" t="s">
        <v>116</v>
      </c>
      <c r="E1128" s="8">
        <v>2020</v>
      </c>
      <c r="F1128" s="9" t="s">
        <v>89</v>
      </c>
      <c r="G1128" s="9" t="s">
        <v>26</v>
      </c>
      <c r="H1128" s="10" t="s">
        <v>94</v>
      </c>
      <c r="I1128" s="7">
        <v>56</v>
      </c>
      <c r="J1128" s="11">
        <v>10</v>
      </c>
      <c r="K1128" s="11">
        <f t="shared" si="34"/>
        <v>560</v>
      </c>
      <c r="L1128" s="11">
        <v>0</v>
      </c>
      <c r="M1128" s="11">
        <v>67.2</v>
      </c>
      <c r="N1128" s="11">
        <f t="shared" si="35"/>
        <v>627.20000000000005</v>
      </c>
    </row>
    <row r="1129" spans="3:14" x14ac:dyDescent="0.3">
      <c r="C1129" s="6">
        <v>44096</v>
      </c>
      <c r="D1129" s="7" t="s">
        <v>116</v>
      </c>
      <c r="E1129" s="8">
        <v>2020</v>
      </c>
      <c r="F1129" s="9" t="s">
        <v>157</v>
      </c>
      <c r="G1129" s="9" t="s">
        <v>32</v>
      </c>
      <c r="H1129" s="10" t="s">
        <v>140</v>
      </c>
      <c r="I1129" s="7">
        <v>94</v>
      </c>
      <c r="J1129" s="11">
        <v>30</v>
      </c>
      <c r="K1129" s="11">
        <f t="shared" si="34"/>
        <v>2820</v>
      </c>
      <c r="L1129" s="11">
        <v>0.15000000596046401</v>
      </c>
      <c r="M1129" s="11">
        <v>338.4</v>
      </c>
      <c r="N1129" s="11">
        <f t="shared" si="35"/>
        <v>3158.2499999940396</v>
      </c>
    </row>
    <row r="1130" spans="3:14" x14ac:dyDescent="0.3">
      <c r="C1130" s="6">
        <v>44096</v>
      </c>
      <c r="D1130" s="7" t="s">
        <v>116</v>
      </c>
      <c r="E1130" s="8">
        <v>2020</v>
      </c>
      <c r="F1130" s="9" t="s">
        <v>157</v>
      </c>
      <c r="G1130" s="9" t="s">
        <v>14</v>
      </c>
      <c r="H1130" s="10" t="s">
        <v>34</v>
      </c>
      <c r="I1130" s="7">
        <v>98</v>
      </c>
      <c r="J1130" s="11">
        <v>59</v>
      </c>
      <c r="K1130" s="11">
        <f t="shared" si="34"/>
        <v>5782</v>
      </c>
      <c r="L1130" s="11">
        <v>0.15000000596046401</v>
      </c>
      <c r="M1130" s="11">
        <v>693.83999999999992</v>
      </c>
      <c r="N1130" s="11">
        <f t="shared" si="35"/>
        <v>6475.6899999940397</v>
      </c>
    </row>
    <row r="1131" spans="3:14" x14ac:dyDescent="0.3">
      <c r="C1131" s="6">
        <v>44097</v>
      </c>
      <c r="D1131" s="7" t="s">
        <v>116</v>
      </c>
      <c r="E1131" s="8">
        <v>2020</v>
      </c>
      <c r="F1131" s="9" t="s">
        <v>135</v>
      </c>
      <c r="G1131" s="9" t="s">
        <v>14</v>
      </c>
      <c r="H1131" s="10" t="s">
        <v>74</v>
      </c>
      <c r="I1131" s="7">
        <v>71</v>
      </c>
      <c r="J1131" s="11">
        <v>98</v>
      </c>
      <c r="K1131" s="11">
        <f t="shared" si="34"/>
        <v>6958</v>
      </c>
      <c r="L1131" s="11">
        <v>0</v>
      </c>
      <c r="M1131" s="11">
        <v>834.95999999999992</v>
      </c>
      <c r="N1131" s="11">
        <f t="shared" si="35"/>
        <v>7792.96</v>
      </c>
    </row>
    <row r="1132" spans="3:14" x14ac:dyDescent="0.3">
      <c r="C1132" s="6">
        <v>44097</v>
      </c>
      <c r="D1132" s="7" t="s">
        <v>116</v>
      </c>
      <c r="E1132" s="8">
        <v>2020</v>
      </c>
      <c r="F1132" s="9" t="s">
        <v>135</v>
      </c>
      <c r="G1132" s="9" t="s">
        <v>14</v>
      </c>
      <c r="H1132" s="10" t="s">
        <v>34</v>
      </c>
      <c r="I1132" s="7">
        <v>10</v>
      </c>
      <c r="J1132" s="11">
        <v>38</v>
      </c>
      <c r="K1132" s="11">
        <f t="shared" si="34"/>
        <v>380</v>
      </c>
      <c r="L1132" s="11">
        <v>0</v>
      </c>
      <c r="M1132" s="11">
        <v>45.6</v>
      </c>
      <c r="N1132" s="11">
        <f t="shared" si="35"/>
        <v>425.6</v>
      </c>
    </row>
    <row r="1133" spans="3:14" x14ac:dyDescent="0.3">
      <c r="C1133" s="6">
        <v>44097</v>
      </c>
      <c r="D1133" s="7" t="s">
        <v>116</v>
      </c>
      <c r="E1133" s="8">
        <v>2020</v>
      </c>
      <c r="F1133" s="9" t="s">
        <v>135</v>
      </c>
      <c r="G1133" s="9" t="s">
        <v>24</v>
      </c>
      <c r="H1133" s="10" t="s">
        <v>25</v>
      </c>
      <c r="I1133" s="7">
        <v>55</v>
      </c>
      <c r="J1133" s="11">
        <v>80</v>
      </c>
      <c r="K1133" s="11">
        <f t="shared" si="34"/>
        <v>4400</v>
      </c>
      <c r="L1133" s="11">
        <v>0</v>
      </c>
      <c r="M1133" s="11">
        <v>528</v>
      </c>
      <c r="N1133" s="11">
        <f t="shared" si="35"/>
        <v>4928</v>
      </c>
    </row>
    <row r="1134" spans="3:14" x14ac:dyDescent="0.3">
      <c r="C1134" s="6">
        <v>44097</v>
      </c>
      <c r="D1134" s="7" t="s">
        <v>116</v>
      </c>
      <c r="E1134" s="8">
        <v>2020</v>
      </c>
      <c r="F1134" s="9" t="s">
        <v>135</v>
      </c>
      <c r="G1134" s="9" t="s">
        <v>42</v>
      </c>
      <c r="H1134" s="10" t="s">
        <v>109</v>
      </c>
      <c r="I1134" s="7">
        <v>58</v>
      </c>
      <c r="J1134" s="11">
        <v>43</v>
      </c>
      <c r="K1134" s="11">
        <f t="shared" si="34"/>
        <v>2494</v>
      </c>
      <c r="L1134" s="11">
        <v>0</v>
      </c>
      <c r="M1134" s="11">
        <v>299.27999999999997</v>
      </c>
      <c r="N1134" s="11">
        <f t="shared" si="35"/>
        <v>2793.2799999999997</v>
      </c>
    </row>
    <row r="1135" spans="3:14" x14ac:dyDescent="0.3">
      <c r="C1135" s="6">
        <v>44097</v>
      </c>
      <c r="D1135" s="7" t="s">
        <v>116</v>
      </c>
      <c r="E1135" s="8">
        <v>2020</v>
      </c>
      <c r="F1135" s="9" t="s">
        <v>71</v>
      </c>
      <c r="G1135" s="9" t="s">
        <v>14</v>
      </c>
      <c r="H1135" s="10" t="s">
        <v>49</v>
      </c>
      <c r="I1135" s="7">
        <v>47</v>
      </c>
      <c r="J1135" s="11">
        <v>12</v>
      </c>
      <c r="K1135" s="11">
        <f t="shared" si="34"/>
        <v>564</v>
      </c>
      <c r="L1135" s="11">
        <v>0</v>
      </c>
      <c r="M1135" s="11">
        <v>67.679999999999993</v>
      </c>
      <c r="N1135" s="11">
        <f t="shared" si="35"/>
        <v>631.67999999999995</v>
      </c>
    </row>
    <row r="1136" spans="3:14" x14ac:dyDescent="0.3">
      <c r="C1136" s="6">
        <v>44098</v>
      </c>
      <c r="D1136" s="7" t="s">
        <v>116</v>
      </c>
      <c r="E1136" s="8">
        <v>2020</v>
      </c>
      <c r="F1136" s="9" t="s">
        <v>61</v>
      </c>
      <c r="G1136" s="9" t="s">
        <v>32</v>
      </c>
      <c r="H1136" s="10" t="s">
        <v>47</v>
      </c>
      <c r="I1136" s="7">
        <v>12</v>
      </c>
      <c r="J1136" s="11">
        <v>83</v>
      </c>
      <c r="K1136" s="11">
        <f t="shared" si="34"/>
        <v>996</v>
      </c>
      <c r="L1136" s="11">
        <v>0.25</v>
      </c>
      <c r="M1136" s="11">
        <v>119.52</v>
      </c>
      <c r="N1136" s="11">
        <f t="shared" si="35"/>
        <v>1115.27</v>
      </c>
    </row>
    <row r="1137" spans="3:14" x14ac:dyDescent="0.3">
      <c r="C1137" s="6">
        <v>44098</v>
      </c>
      <c r="D1137" s="7" t="s">
        <v>116</v>
      </c>
      <c r="E1137" s="8">
        <v>2020</v>
      </c>
      <c r="F1137" s="9" t="s">
        <v>61</v>
      </c>
      <c r="G1137" s="9" t="s">
        <v>14</v>
      </c>
      <c r="H1137" s="10" t="s">
        <v>36</v>
      </c>
      <c r="I1137" s="7">
        <v>90</v>
      </c>
      <c r="J1137" s="11">
        <v>75</v>
      </c>
      <c r="K1137" s="11">
        <f t="shared" si="34"/>
        <v>6750</v>
      </c>
      <c r="L1137" s="11">
        <v>0.25</v>
      </c>
      <c r="M1137" s="11">
        <v>810</v>
      </c>
      <c r="N1137" s="11">
        <f t="shared" si="35"/>
        <v>7559.75</v>
      </c>
    </row>
    <row r="1138" spans="3:14" x14ac:dyDescent="0.3">
      <c r="C1138" s="6">
        <v>44098</v>
      </c>
      <c r="D1138" s="7" t="s">
        <v>116</v>
      </c>
      <c r="E1138" s="8">
        <v>2020</v>
      </c>
      <c r="F1138" s="9" t="s">
        <v>61</v>
      </c>
      <c r="G1138" s="9" t="s">
        <v>16</v>
      </c>
      <c r="H1138" s="10" t="s">
        <v>17</v>
      </c>
      <c r="I1138" s="7">
        <v>67</v>
      </c>
      <c r="J1138" s="11">
        <v>95</v>
      </c>
      <c r="K1138" s="11">
        <f t="shared" si="34"/>
        <v>6365</v>
      </c>
      <c r="L1138" s="11">
        <v>0.25</v>
      </c>
      <c r="M1138" s="11">
        <v>763.8</v>
      </c>
      <c r="N1138" s="11">
        <f t="shared" si="35"/>
        <v>7128.55</v>
      </c>
    </row>
    <row r="1139" spans="3:14" x14ac:dyDescent="0.3">
      <c r="C1139" s="6">
        <v>44099</v>
      </c>
      <c r="D1139" s="7" t="s">
        <v>116</v>
      </c>
      <c r="E1139" s="8">
        <v>2020</v>
      </c>
      <c r="F1139" s="9" t="s">
        <v>189</v>
      </c>
      <c r="G1139" s="9" t="s">
        <v>32</v>
      </c>
      <c r="H1139" s="10" t="s">
        <v>100</v>
      </c>
      <c r="I1139" s="7">
        <v>45</v>
      </c>
      <c r="J1139" s="11">
        <v>73</v>
      </c>
      <c r="K1139" s="11">
        <f t="shared" si="34"/>
        <v>3285</v>
      </c>
      <c r="L1139" s="11">
        <v>0.10000000149011599</v>
      </c>
      <c r="M1139" s="11">
        <v>394.2</v>
      </c>
      <c r="N1139" s="11">
        <f t="shared" si="35"/>
        <v>3679.0999999985097</v>
      </c>
    </row>
    <row r="1140" spans="3:14" x14ac:dyDescent="0.3">
      <c r="C1140" s="6">
        <v>44099</v>
      </c>
      <c r="D1140" s="7" t="s">
        <v>116</v>
      </c>
      <c r="E1140" s="8">
        <v>2020</v>
      </c>
      <c r="F1140" s="9" t="s">
        <v>189</v>
      </c>
      <c r="G1140" s="9" t="s">
        <v>32</v>
      </c>
      <c r="H1140" s="10" t="s">
        <v>59</v>
      </c>
      <c r="I1140" s="7">
        <v>75</v>
      </c>
      <c r="J1140" s="11">
        <v>67</v>
      </c>
      <c r="K1140" s="11">
        <f t="shared" si="34"/>
        <v>5025</v>
      </c>
      <c r="L1140" s="11">
        <v>0.10000000149011599</v>
      </c>
      <c r="M1140" s="11">
        <v>603</v>
      </c>
      <c r="N1140" s="11">
        <f t="shared" si="35"/>
        <v>5627.8999999985099</v>
      </c>
    </row>
    <row r="1141" spans="3:14" x14ac:dyDescent="0.3">
      <c r="C1141" s="6">
        <v>44099</v>
      </c>
      <c r="D1141" s="7" t="s">
        <v>116</v>
      </c>
      <c r="E1141" s="8">
        <v>2020</v>
      </c>
      <c r="F1141" s="9" t="s">
        <v>189</v>
      </c>
      <c r="G1141" s="9" t="s">
        <v>16</v>
      </c>
      <c r="H1141" s="10" t="s">
        <v>113</v>
      </c>
      <c r="I1141" s="7">
        <v>98</v>
      </c>
      <c r="J1141" s="11">
        <v>25</v>
      </c>
      <c r="K1141" s="11">
        <f t="shared" si="34"/>
        <v>2450</v>
      </c>
      <c r="L1141" s="11">
        <v>0</v>
      </c>
      <c r="M1141" s="11">
        <v>294</v>
      </c>
      <c r="N1141" s="11">
        <f t="shared" si="35"/>
        <v>2744</v>
      </c>
    </row>
    <row r="1142" spans="3:14" x14ac:dyDescent="0.3">
      <c r="C1142" s="6">
        <v>44099</v>
      </c>
      <c r="D1142" s="7" t="s">
        <v>116</v>
      </c>
      <c r="E1142" s="8">
        <v>2020</v>
      </c>
      <c r="F1142" s="9" t="s">
        <v>157</v>
      </c>
      <c r="G1142" s="9" t="s">
        <v>14</v>
      </c>
      <c r="H1142" s="10" t="s">
        <v>34</v>
      </c>
      <c r="I1142" s="7">
        <v>71</v>
      </c>
      <c r="J1142" s="11">
        <v>82</v>
      </c>
      <c r="K1142" s="11">
        <f t="shared" si="34"/>
        <v>5822</v>
      </c>
      <c r="L1142" s="11">
        <v>0</v>
      </c>
      <c r="M1142" s="11">
        <v>698.64</v>
      </c>
      <c r="N1142" s="11">
        <f t="shared" si="35"/>
        <v>6520.64</v>
      </c>
    </row>
    <row r="1143" spans="3:14" x14ac:dyDescent="0.3">
      <c r="C1143" s="6">
        <v>44099</v>
      </c>
      <c r="D1143" s="7" t="s">
        <v>116</v>
      </c>
      <c r="E1143" s="8">
        <v>2020</v>
      </c>
      <c r="F1143" s="9" t="s">
        <v>157</v>
      </c>
      <c r="G1143" s="9" t="s">
        <v>26</v>
      </c>
      <c r="H1143" s="10" t="s">
        <v>119</v>
      </c>
      <c r="I1143" s="7">
        <v>84</v>
      </c>
      <c r="J1143" s="11">
        <v>33</v>
      </c>
      <c r="K1143" s="11">
        <f t="shared" si="34"/>
        <v>2772</v>
      </c>
      <c r="L1143" s="11">
        <v>0</v>
      </c>
      <c r="M1143" s="11">
        <v>332.64</v>
      </c>
      <c r="N1143" s="11">
        <f t="shared" si="35"/>
        <v>3104.64</v>
      </c>
    </row>
    <row r="1144" spans="3:14" x14ac:dyDescent="0.3">
      <c r="C1144" s="6">
        <v>44099</v>
      </c>
      <c r="D1144" s="7" t="s">
        <v>116</v>
      </c>
      <c r="E1144" s="8">
        <v>2020</v>
      </c>
      <c r="F1144" s="9" t="s">
        <v>157</v>
      </c>
      <c r="G1144" s="9" t="s">
        <v>37</v>
      </c>
      <c r="H1144" s="10" t="s">
        <v>98</v>
      </c>
      <c r="I1144" s="7">
        <v>53</v>
      </c>
      <c r="J1144" s="11">
        <v>50</v>
      </c>
      <c r="K1144" s="11">
        <f t="shared" si="34"/>
        <v>2650</v>
      </c>
      <c r="L1144" s="11">
        <v>0</v>
      </c>
      <c r="M1144" s="11">
        <v>318</v>
      </c>
      <c r="N1144" s="11">
        <f t="shared" si="35"/>
        <v>2968</v>
      </c>
    </row>
    <row r="1145" spans="3:14" x14ac:dyDescent="0.3">
      <c r="C1145" s="6">
        <v>44100</v>
      </c>
      <c r="D1145" s="7" t="s">
        <v>116</v>
      </c>
      <c r="E1145" s="8">
        <v>2020</v>
      </c>
      <c r="F1145" s="9" t="s">
        <v>127</v>
      </c>
      <c r="G1145" s="9" t="s">
        <v>16</v>
      </c>
      <c r="H1145" s="10" t="s">
        <v>132</v>
      </c>
      <c r="I1145" s="7">
        <v>51</v>
      </c>
      <c r="J1145" s="11">
        <v>13</v>
      </c>
      <c r="K1145" s="11">
        <f t="shared" si="34"/>
        <v>663</v>
      </c>
      <c r="L1145" s="11">
        <v>0</v>
      </c>
      <c r="M1145" s="11">
        <v>79.56</v>
      </c>
      <c r="N1145" s="11">
        <f t="shared" si="35"/>
        <v>742.56</v>
      </c>
    </row>
    <row r="1146" spans="3:14" x14ac:dyDescent="0.3">
      <c r="C1146" s="6">
        <v>44100</v>
      </c>
      <c r="D1146" s="7" t="s">
        <v>116</v>
      </c>
      <c r="E1146" s="8">
        <v>2020</v>
      </c>
      <c r="F1146" s="9" t="s">
        <v>170</v>
      </c>
      <c r="G1146" s="9" t="s">
        <v>24</v>
      </c>
      <c r="H1146" s="10" t="s">
        <v>76</v>
      </c>
      <c r="I1146" s="7">
        <v>12</v>
      </c>
      <c r="J1146" s="11">
        <v>34</v>
      </c>
      <c r="K1146" s="11">
        <f t="shared" si="34"/>
        <v>408</v>
      </c>
      <c r="L1146" s="11">
        <v>0</v>
      </c>
      <c r="M1146" s="11">
        <v>48.96</v>
      </c>
      <c r="N1146" s="11">
        <f t="shared" si="35"/>
        <v>456.96</v>
      </c>
    </row>
    <row r="1147" spans="3:14" x14ac:dyDescent="0.3">
      <c r="C1147" s="6">
        <v>44100</v>
      </c>
      <c r="D1147" s="7" t="s">
        <v>116</v>
      </c>
      <c r="E1147" s="8">
        <v>2020</v>
      </c>
      <c r="F1147" s="9" t="s">
        <v>170</v>
      </c>
      <c r="G1147" s="9" t="s">
        <v>32</v>
      </c>
      <c r="H1147" s="10" t="s">
        <v>143</v>
      </c>
      <c r="I1147" s="7">
        <v>16</v>
      </c>
      <c r="J1147" s="11">
        <v>87</v>
      </c>
      <c r="K1147" s="11">
        <f t="shared" si="34"/>
        <v>1392</v>
      </c>
      <c r="L1147" s="11">
        <v>0</v>
      </c>
      <c r="M1147" s="11">
        <v>167.04</v>
      </c>
      <c r="N1147" s="11">
        <f t="shared" si="35"/>
        <v>1559.04</v>
      </c>
    </row>
    <row r="1148" spans="3:14" x14ac:dyDescent="0.3">
      <c r="C1148" s="6">
        <v>44100</v>
      </c>
      <c r="D1148" s="7" t="s">
        <v>116</v>
      </c>
      <c r="E1148" s="8">
        <v>2020</v>
      </c>
      <c r="F1148" s="9" t="s">
        <v>170</v>
      </c>
      <c r="G1148" s="9" t="s">
        <v>14</v>
      </c>
      <c r="H1148" s="10" t="s">
        <v>35</v>
      </c>
      <c r="I1148" s="7">
        <v>25</v>
      </c>
      <c r="J1148" s="11">
        <v>98</v>
      </c>
      <c r="K1148" s="11">
        <f t="shared" si="34"/>
        <v>2450</v>
      </c>
      <c r="L1148" s="11">
        <v>0</v>
      </c>
      <c r="M1148" s="11">
        <v>294</v>
      </c>
      <c r="N1148" s="11">
        <f t="shared" si="35"/>
        <v>2744</v>
      </c>
    </row>
    <row r="1149" spans="3:14" x14ac:dyDescent="0.3">
      <c r="C1149" s="6">
        <v>44103</v>
      </c>
      <c r="D1149" s="7" t="s">
        <v>116</v>
      </c>
      <c r="E1149" s="8">
        <v>2020</v>
      </c>
      <c r="F1149" s="9" t="s">
        <v>176</v>
      </c>
      <c r="G1149" s="9" t="s">
        <v>24</v>
      </c>
      <c r="H1149" s="10" t="s">
        <v>85</v>
      </c>
      <c r="I1149" s="7">
        <v>100</v>
      </c>
      <c r="J1149" s="11">
        <v>56</v>
      </c>
      <c r="K1149" s="11">
        <f t="shared" si="34"/>
        <v>5600</v>
      </c>
      <c r="L1149" s="11">
        <v>0</v>
      </c>
      <c r="M1149" s="11">
        <v>672</v>
      </c>
      <c r="N1149" s="11">
        <f t="shared" si="35"/>
        <v>6272</v>
      </c>
    </row>
    <row r="1150" spans="3:14" x14ac:dyDescent="0.3">
      <c r="C1150" s="6">
        <v>44103</v>
      </c>
      <c r="D1150" s="7" t="s">
        <v>116</v>
      </c>
      <c r="E1150" s="8">
        <v>2020</v>
      </c>
      <c r="F1150" s="9" t="s">
        <v>176</v>
      </c>
      <c r="G1150" s="9" t="s">
        <v>24</v>
      </c>
      <c r="H1150" s="10" t="s">
        <v>25</v>
      </c>
      <c r="I1150" s="7">
        <v>20</v>
      </c>
      <c r="J1150" s="11">
        <v>89</v>
      </c>
      <c r="K1150" s="11">
        <f t="shared" si="34"/>
        <v>1780</v>
      </c>
      <c r="L1150" s="11">
        <v>0</v>
      </c>
      <c r="M1150" s="11">
        <v>213.6</v>
      </c>
      <c r="N1150" s="11">
        <f t="shared" si="35"/>
        <v>1993.6</v>
      </c>
    </row>
    <row r="1151" spans="3:14" x14ac:dyDescent="0.3">
      <c r="C1151" s="6">
        <v>44103</v>
      </c>
      <c r="D1151" s="7" t="s">
        <v>116</v>
      </c>
      <c r="E1151" s="8">
        <v>2020</v>
      </c>
      <c r="F1151" s="9" t="s">
        <v>176</v>
      </c>
      <c r="G1151" s="9" t="s">
        <v>32</v>
      </c>
      <c r="H1151" s="10" t="s">
        <v>143</v>
      </c>
      <c r="I1151" s="7">
        <v>33</v>
      </c>
      <c r="J1151" s="11">
        <v>92</v>
      </c>
      <c r="K1151" s="11">
        <f t="shared" si="34"/>
        <v>3036</v>
      </c>
      <c r="L1151" s="11">
        <v>0</v>
      </c>
      <c r="M1151" s="11">
        <v>364.32</v>
      </c>
      <c r="N1151" s="11">
        <f t="shared" si="35"/>
        <v>3400.32</v>
      </c>
    </row>
    <row r="1152" spans="3:14" x14ac:dyDescent="0.3">
      <c r="C1152" s="6">
        <v>44104</v>
      </c>
      <c r="D1152" s="7" t="s">
        <v>116</v>
      </c>
      <c r="E1152" s="8">
        <v>2020</v>
      </c>
      <c r="F1152" s="9" t="s">
        <v>152</v>
      </c>
      <c r="G1152" s="9" t="s">
        <v>42</v>
      </c>
      <c r="H1152" s="10" t="s">
        <v>72</v>
      </c>
      <c r="I1152" s="7">
        <v>45</v>
      </c>
      <c r="J1152" s="11">
        <v>97</v>
      </c>
      <c r="K1152" s="11">
        <f t="shared" si="34"/>
        <v>4365</v>
      </c>
      <c r="L1152" s="11">
        <v>0.20000000298023199</v>
      </c>
      <c r="M1152" s="11">
        <v>523.79999999999995</v>
      </c>
      <c r="N1152" s="11">
        <f t="shared" si="35"/>
        <v>4888.5999999970199</v>
      </c>
    </row>
    <row r="1153" spans="3:14" x14ac:dyDescent="0.3">
      <c r="C1153" s="6">
        <v>44104</v>
      </c>
      <c r="D1153" s="7" t="s">
        <v>116</v>
      </c>
      <c r="E1153" s="8">
        <v>2020</v>
      </c>
      <c r="F1153" s="9" t="s">
        <v>152</v>
      </c>
      <c r="G1153" s="9" t="s">
        <v>32</v>
      </c>
      <c r="H1153" s="10" t="s">
        <v>140</v>
      </c>
      <c r="I1153" s="7">
        <v>5</v>
      </c>
      <c r="J1153" s="11">
        <v>78</v>
      </c>
      <c r="K1153" s="11">
        <f t="shared" si="34"/>
        <v>390</v>
      </c>
      <c r="L1153" s="11">
        <v>0</v>
      </c>
      <c r="M1153" s="11">
        <v>46.8</v>
      </c>
      <c r="N1153" s="11">
        <f t="shared" si="35"/>
        <v>436.8</v>
      </c>
    </row>
    <row r="1154" spans="3:14" x14ac:dyDescent="0.3">
      <c r="C1154" s="6">
        <v>44104</v>
      </c>
      <c r="D1154" s="7" t="s">
        <v>116</v>
      </c>
      <c r="E1154" s="8">
        <v>2020</v>
      </c>
      <c r="F1154" s="9" t="s">
        <v>118</v>
      </c>
      <c r="G1154" s="9" t="s">
        <v>42</v>
      </c>
      <c r="H1154" s="10" t="s">
        <v>174</v>
      </c>
      <c r="I1154" s="7">
        <v>63</v>
      </c>
      <c r="J1154" s="11">
        <v>12</v>
      </c>
      <c r="K1154" s="11">
        <f t="shared" si="34"/>
        <v>756</v>
      </c>
      <c r="L1154" s="11">
        <v>0.25</v>
      </c>
      <c r="M1154" s="11">
        <v>90.72</v>
      </c>
      <c r="N1154" s="11">
        <f t="shared" si="35"/>
        <v>846.47</v>
      </c>
    </row>
    <row r="1155" spans="3:14" x14ac:dyDescent="0.3">
      <c r="C1155" s="6">
        <v>44104</v>
      </c>
      <c r="D1155" s="7" t="s">
        <v>116</v>
      </c>
      <c r="E1155" s="8">
        <v>2020</v>
      </c>
      <c r="F1155" s="9" t="s">
        <v>118</v>
      </c>
      <c r="G1155" s="9" t="s">
        <v>42</v>
      </c>
      <c r="H1155" s="10" t="s">
        <v>79</v>
      </c>
      <c r="I1155" s="7">
        <v>60</v>
      </c>
      <c r="J1155" s="11">
        <v>73</v>
      </c>
      <c r="K1155" s="11">
        <f t="shared" ref="K1155:K1218" si="36">J1155*I1155</f>
        <v>4380</v>
      </c>
      <c r="L1155" s="11">
        <v>0</v>
      </c>
      <c r="M1155" s="11">
        <v>525.6</v>
      </c>
      <c r="N1155" s="11">
        <f t="shared" ref="N1155:N1218" si="37">K1155-L1155+M1155</f>
        <v>4905.6000000000004</v>
      </c>
    </row>
    <row r="1156" spans="3:14" x14ac:dyDescent="0.3">
      <c r="C1156" s="6">
        <v>44104</v>
      </c>
      <c r="D1156" s="7" t="s">
        <v>116</v>
      </c>
      <c r="E1156" s="8">
        <v>2020</v>
      </c>
      <c r="F1156" s="9" t="s">
        <v>118</v>
      </c>
      <c r="G1156" s="9" t="s">
        <v>24</v>
      </c>
      <c r="H1156" s="10" t="s">
        <v>48</v>
      </c>
      <c r="I1156" s="7">
        <v>64</v>
      </c>
      <c r="J1156" s="11">
        <v>23</v>
      </c>
      <c r="K1156" s="11">
        <f t="shared" si="36"/>
        <v>1472</v>
      </c>
      <c r="L1156" s="11">
        <v>0.25</v>
      </c>
      <c r="M1156" s="11">
        <v>176.64</v>
      </c>
      <c r="N1156" s="11">
        <f t="shared" si="37"/>
        <v>1648.3899999999999</v>
      </c>
    </row>
    <row r="1157" spans="3:14" x14ac:dyDescent="0.3">
      <c r="C1157" s="6">
        <v>44105</v>
      </c>
      <c r="D1157" s="7" t="s">
        <v>130</v>
      </c>
      <c r="E1157" s="8">
        <v>2020</v>
      </c>
      <c r="F1157" s="9" t="s">
        <v>159</v>
      </c>
      <c r="G1157" s="9" t="s">
        <v>24</v>
      </c>
      <c r="H1157" s="10" t="s">
        <v>85</v>
      </c>
      <c r="I1157" s="7">
        <v>2</v>
      </c>
      <c r="J1157" s="11">
        <v>45</v>
      </c>
      <c r="K1157" s="11">
        <f t="shared" si="36"/>
        <v>90</v>
      </c>
      <c r="L1157" s="11">
        <v>0.10000000149011599</v>
      </c>
      <c r="M1157" s="11">
        <v>10.799999999999999</v>
      </c>
      <c r="N1157" s="11">
        <f t="shared" si="37"/>
        <v>100.69999999850988</v>
      </c>
    </row>
    <row r="1158" spans="3:14" x14ac:dyDescent="0.3">
      <c r="C1158" s="6">
        <v>44105</v>
      </c>
      <c r="D1158" s="7" t="s">
        <v>130</v>
      </c>
      <c r="E1158" s="8">
        <v>2020</v>
      </c>
      <c r="F1158" s="9" t="s">
        <v>159</v>
      </c>
      <c r="G1158" s="9" t="s">
        <v>20</v>
      </c>
      <c r="H1158" s="10" t="s">
        <v>92</v>
      </c>
      <c r="I1158" s="7">
        <v>47</v>
      </c>
      <c r="J1158" s="11">
        <v>87</v>
      </c>
      <c r="K1158" s="11">
        <f t="shared" si="36"/>
        <v>4089</v>
      </c>
      <c r="L1158" s="11">
        <v>0.10000000149011599</v>
      </c>
      <c r="M1158" s="11">
        <v>490.68</v>
      </c>
      <c r="N1158" s="11">
        <f t="shared" si="37"/>
        <v>4579.5799999985102</v>
      </c>
    </row>
    <row r="1159" spans="3:14" x14ac:dyDescent="0.3">
      <c r="C1159" s="6">
        <v>44105</v>
      </c>
      <c r="D1159" s="7" t="s">
        <v>130</v>
      </c>
      <c r="E1159" s="8">
        <v>2020</v>
      </c>
      <c r="F1159" s="9" t="s">
        <v>159</v>
      </c>
      <c r="G1159" s="9" t="s">
        <v>37</v>
      </c>
      <c r="H1159" s="10" t="s">
        <v>106</v>
      </c>
      <c r="I1159" s="7">
        <v>17</v>
      </c>
      <c r="J1159" s="11">
        <v>10</v>
      </c>
      <c r="K1159" s="11">
        <f t="shared" si="36"/>
        <v>170</v>
      </c>
      <c r="L1159" s="11">
        <v>0</v>
      </c>
      <c r="M1159" s="11">
        <v>20.399999999999999</v>
      </c>
      <c r="N1159" s="11">
        <f t="shared" si="37"/>
        <v>190.4</v>
      </c>
    </row>
    <row r="1160" spans="3:14" x14ac:dyDescent="0.3">
      <c r="C1160" s="6">
        <v>44105</v>
      </c>
      <c r="D1160" s="7" t="s">
        <v>130</v>
      </c>
      <c r="E1160" s="8">
        <v>2020</v>
      </c>
      <c r="F1160" s="9" t="s">
        <v>93</v>
      </c>
      <c r="G1160" s="9" t="s">
        <v>37</v>
      </c>
      <c r="H1160" s="10" t="s">
        <v>104</v>
      </c>
      <c r="I1160" s="7">
        <v>5</v>
      </c>
      <c r="J1160" s="11">
        <v>77</v>
      </c>
      <c r="K1160" s="11">
        <f t="shared" si="36"/>
        <v>385</v>
      </c>
      <c r="L1160" s="11">
        <v>0.25</v>
      </c>
      <c r="M1160" s="11">
        <v>46.199999999999996</v>
      </c>
      <c r="N1160" s="11">
        <f t="shared" si="37"/>
        <v>430.95</v>
      </c>
    </row>
    <row r="1161" spans="3:14" x14ac:dyDescent="0.3">
      <c r="C1161" s="6">
        <v>44106</v>
      </c>
      <c r="D1161" s="7" t="s">
        <v>130</v>
      </c>
      <c r="E1161" s="8">
        <v>2020</v>
      </c>
      <c r="F1161" s="9" t="s">
        <v>23</v>
      </c>
      <c r="G1161" s="9" t="s">
        <v>16</v>
      </c>
      <c r="H1161" s="10" t="s">
        <v>68</v>
      </c>
      <c r="I1161" s="7">
        <v>68</v>
      </c>
      <c r="J1161" s="11">
        <v>35</v>
      </c>
      <c r="K1161" s="11">
        <f t="shared" si="36"/>
        <v>2380</v>
      </c>
      <c r="L1161" s="11">
        <v>0.25</v>
      </c>
      <c r="M1161" s="11">
        <v>285.59999999999997</v>
      </c>
      <c r="N1161" s="11">
        <f t="shared" si="37"/>
        <v>2665.35</v>
      </c>
    </row>
    <row r="1162" spans="3:14" x14ac:dyDescent="0.3">
      <c r="C1162" s="6">
        <v>44106</v>
      </c>
      <c r="D1162" s="7" t="s">
        <v>130</v>
      </c>
      <c r="E1162" s="8">
        <v>2020</v>
      </c>
      <c r="F1162" s="9" t="s">
        <v>23</v>
      </c>
      <c r="G1162" s="9" t="s">
        <v>26</v>
      </c>
      <c r="H1162" s="10" t="s">
        <v>52</v>
      </c>
      <c r="I1162" s="7">
        <v>76</v>
      </c>
      <c r="J1162" s="11">
        <v>16</v>
      </c>
      <c r="K1162" s="11">
        <f t="shared" si="36"/>
        <v>1216</v>
      </c>
      <c r="L1162" s="11">
        <v>0.25</v>
      </c>
      <c r="M1162" s="11">
        <v>145.91999999999999</v>
      </c>
      <c r="N1162" s="11">
        <f t="shared" si="37"/>
        <v>1361.67</v>
      </c>
    </row>
    <row r="1163" spans="3:14" x14ac:dyDescent="0.3">
      <c r="C1163" s="6">
        <v>44107</v>
      </c>
      <c r="D1163" s="7" t="s">
        <v>130</v>
      </c>
      <c r="E1163" s="8">
        <v>2020</v>
      </c>
      <c r="F1163" s="9" t="s">
        <v>84</v>
      </c>
      <c r="G1163" s="9" t="s">
        <v>37</v>
      </c>
      <c r="H1163" s="10" t="s">
        <v>104</v>
      </c>
      <c r="I1163" s="7">
        <v>16</v>
      </c>
      <c r="J1163" s="11">
        <v>78</v>
      </c>
      <c r="K1163" s="11">
        <f t="shared" si="36"/>
        <v>1248</v>
      </c>
      <c r="L1163" s="11">
        <v>0</v>
      </c>
      <c r="M1163" s="11">
        <v>149.76</v>
      </c>
      <c r="N1163" s="11">
        <f t="shared" si="37"/>
        <v>1397.76</v>
      </c>
    </row>
    <row r="1164" spans="3:14" x14ac:dyDescent="0.3">
      <c r="C1164" s="6">
        <v>44107</v>
      </c>
      <c r="D1164" s="7" t="s">
        <v>130</v>
      </c>
      <c r="E1164" s="8">
        <v>2020</v>
      </c>
      <c r="F1164" s="9" t="s">
        <v>84</v>
      </c>
      <c r="G1164" s="9" t="s">
        <v>42</v>
      </c>
      <c r="H1164" s="10" t="s">
        <v>79</v>
      </c>
      <c r="I1164" s="7">
        <v>12</v>
      </c>
      <c r="J1164" s="11">
        <v>100</v>
      </c>
      <c r="K1164" s="11">
        <f t="shared" si="36"/>
        <v>1200</v>
      </c>
      <c r="L1164" s="11">
        <v>0</v>
      </c>
      <c r="M1164" s="11">
        <v>144</v>
      </c>
      <c r="N1164" s="11">
        <f t="shared" si="37"/>
        <v>1344</v>
      </c>
    </row>
    <row r="1165" spans="3:14" x14ac:dyDescent="0.3">
      <c r="C1165" s="6">
        <v>44107</v>
      </c>
      <c r="D1165" s="7" t="s">
        <v>130</v>
      </c>
      <c r="E1165" s="8">
        <v>2020</v>
      </c>
      <c r="F1165" s="9" t="s">
        <v>84</v>
      </c>
      <c r="G1165" s="9" t="s">
        <v>37</v>
      </c>
      <c r="H1165" s="10" t="s">
        <v>82</v>
      </c>
      <c r="I1165" s="7">
        <v>96</v>
      </c>
      <c r="J1165" s="11">
        <v>45</v>
      </c>
      <c r="K1165" s="11">
        <f t="shared" si="36"/>
        <v>4320</v>
      </c>
      <c r="L1165" s="11">
        <v>0</v>
      </c>
      <c r="M1165" s="11">
        <v>518.4</v>
      </c>
      <c r="N1165" s="11">
        <f t="shared" si="37"/>
        <v>4838.3999999999996</v>
      </c>
    </row>
    <row r="1166" spans="3:14" x14ac:dyDescent="0.3">
      <c r="C1166" s="6">
        <v>44107</v>
      </c>
      <c r="D1166" s="7" t="s">
        <v>130</v>
      </c>
      <c r="E1166" s="8">
        <v>2020</v>
      </c>
      <c r="F1166" s="9" t="s">
        <v>84</v>
      </c>
      <c r="G1166" s="9" t="s">
        <v>26</v>
      </c>
      <c r="H1166" s="10" t="s">
        <v>94</v>
      </c>
      <c r="I1166" s="7">
        <v>61</v>
      </c>
      <c r="J1166" s="11">
        <v>58</v>
      </c>
      <c r="K1166" s="11">
        <f t="shared" si="36"/>
        <v>3538</v>
      </c>
      <c r="L1166" s="11">
        <v>0</v>
      </c>
      <c r="M1166" s="11">
        <v>424.56</v>
      </c>
      <c r="N1166" s="11">
        <f t="shared" si="37"/>
        <v>3962.56</v>
      </c>
    </row>
    <row r="1167" spans="3:14" x14ac:dyDescent="0.3">
      <c r="C1167" s="6">
        <v>44107</v>
      </c>
      <c r="D1167" s="7" t="s">
        <v>130</v>
      </c>
      <c r="E1167" s="8">
        <v>2020</v>
      </c>
      <c r="F1167" s="9" t="s">
        <v>84</v>
      </c>
      <c r="G1167" s="9" t="s">
        <v>32</v>
      </c>
      <c r="H1167" s="10" t="s">
        <v>62</v>
      </c>
      <c r="I1167" s="7">
        <v>70</v>
      </c>
      <c r="J1167" s="11">
        <v>75</v>
      </c>
      <c r="K1167" s="11">
        <f t="shared" si="36"/>
        <v>5250</v>
      </c>
      <c r="L1167" s="11">
        <v>0</v>
      </c>
      <c r="M1167" s="11">
        <v>630</v>
      </c>
      <c r="N1167" s="11">
        <f t="shared" si="37"/>
        <v>5880</v>
      </c>
    </row>
    <row r="1168" spans="3:14" x14ac:dyDescent="0.3">
      <c r="C1168" s="6">
        <v>44107</v>
      </c>
      <c r="D1168" s="7" t="s">
        <v>130</v>
      </c>
      <c r="E1168" s="8">
        <v>2020</v>
      </c>
      <c r="F1168" s="9" t="s">
        <v>195</v>
      </c>
      <c r="G1168" s="9" t="s">
        <v>26</v>
      </c>
      <c r="H1168" s="10" t="s">
        <v>95</v>
      </c>
      <c r="I1168" s="7">
        <v>26</v>
      </c>
      <c r="J1168" s="11">
        <v>75</v>
      </c>
      <c r="K1168" s="11">
        <f t="shared" si="36"/>
        <v>1950</v>
      </c>
      <c r="L1168" s="11">
        <v>0</v>
      </c>
      <c r="M1168" s="11">
        <v>234</v>
      </c>
      <c r="N1168" s="11">
        <f t="shared" si="37"/>
        <v>2184</v>
      </c>
    </row>
    <row r="1169" spans="3:14" x14ac:dyDescent="0.3">
      <c r="C1169" s="6">
        <v>44110</v>
      </c>
      <c r="D1169" s="7" t="s">
        <v>130</v>
      </c>
      <c r="E1169" s="8">
        <v>2020</v>
      </c>
      <c r="F1169" s="9" t="s">
        <v>80</v>
      </c>
      <c r="G1169" s="9" t="s">
        <v>42</v>
      </c>
      <c r="H1169" s="10" t="s">
        <v>174</v>
      </c>
      <c r="I1169" s="7">
        <v>50</v>
      </c>
      <c r="J1169" s="11">
        <v>87</v>
      </c>
      <c r="K1169" s="11">
        <f t="shared" si="36"/>
        <v>4350</v>
      </c>
      <c r="L1169" s="11">
        <v>0</v>
      </c>
      <c r="M1169" s="11">
        <v>522</v>
      </c>
      <c r="N1169" s="11">
        <f t="shared" si="37"/>
        <v>4872</v>
      </c>
    </row>
    <row r="1170" spans="3:14" x14ac:dyDescent="0.3">
      <c r="C1170" s="6">
        <v>44110</v>
      </c>
      <c r="D1170" s="7" t="s">
        <v>130</v>
      </c>
      <c r="E1170" s="8">
        <v>2020</v>
      </c>
      <c r="F1170" s="9" t="s">
        <v>80</v>
      </c>
      <c r="G1170" s="9" t="s">
        <v>42</v>
      </c>
      <c r="H1170" s="10" t="s">
        <v>109</v>
      </c>
      <c r="I1170" s="7">
        <v>76</v>
      </c>
      <c r="J1170" s="11">
        <v>98</v>
      </c>
      <c r="K1170" s="11">
        <f t="shared" si="36"/>
        <v>7448</v>
      </c>
      <c r="L1170" s="11">
        <v>0.15000000596046401</v>
      </c>
      <c r="M1170" s="11">
        <v>893.76</v>
      </c>
      <c r="N1170" s="11">
        <f t="shared" si="37"/>
        <v>8341.6099999940398</v>
      </c>
    </row>
    <row r="1171" spans="3:14" x14ac:dyDescent="0.3">
      <c r="C1171" s="6">
        <v>44110</v>
      </c>
      <c r="D1171" s="7" t="s">
        <v>130</v>
      </c>
      <c r="E1171" s="8">
        <v>2020</v>
      </c>
      <c r="F1171" s="9" t="s">
        <v>80</v>
      </c>
      <c r="G1171" s="9" t="s">
        <v>14</v>
      </c>
      <c r="H1171" s="10" t="s">
        <v>117</v>
      </c>
      <c r="I1171" s="7">
        <v>43</v>
      </c>
      <c r="J1171" s="11">
        <v>12</v>
      </c>
      <c r="K1171" s="11">
        <f t="shared" si="36"/>
        <v>516</v>
      </c>
      <c r="L1171" s="11">
        <v>0.15000000596046401</v>
      </c>
      <c r="M1171" s="11">
        <v>61.919999999999995</v>
      </c>
      <c r="N1171" s="11">
        <f t="shared" si="37"/>
        <v>577.76999999403949</v>
      </c>
    </row>
    <row r="1172" spans="3:14" x14ac:dyDescent="0.3">
      <c r="C1172" s="6">
        <v>44110</v>
      </c>
      <c r="D1172" s="7" t="s">
        <v>130</v>
      </c>
      <c r="E1172" s="8">
        <v>2020</v>
      </c>
      <c r="F1172" s="9" t="s">
        <v>80</v>
      </c>
      <c r="G1172" s="9" t="s">
        <v>24</v>
      </c>
      <c r="H1172" s="10" t="s">
        <v>96</v>
      </c>
      <c r="I1172" s="7">
        <v>48</v>
      </c>
      <c r="J1172" s="11">
        <v>62</v>
      </c>
      <c r="K1172" s="11">
        <f t="shared" si="36"/>
        <v>2976</v>
      </c>
      <c r="L1172" s="11">
        <v>0.15000000596046401</v>
      </c>
      <c r="M1172" s="11">
        <v>357.12</v>
      </c>
      <c r="N1172" s="11">
        <f t="shared" si="37"/>
        <v>3332.9699999940394</v>
      </c>
    </row>
    <row r="1173" spans="3:14" x14ac:dyDescent="0.3">
      <c r="C1173" s="6">
        <v>44110</v>
      </c>
      <c r="D1173" s="7" t="s">
        <v>130</v>
      </c>
      <c r="E1173" s="8">
        <v>2020</v>
      </c>
      <c r="F1173" s="9" t="s">
        <v>84</v>
      </c>
      <c r="G1173" s="9" t="s">
        <v>20</v>
      </c>
      <c r="H1173" s="10" t="s">
        <v>67</v>
      </c>
      <c r="I1173" s="7">
        <v>20</v>
      </c>
      <c r="J1173" s="11">
        <v>14</v>
      </c>
      <c r="K1173" s="11">
        <f t="shared" si="36"/>
        <v>280</v>
      </c>
      <c r="L1173" s="11">
        <v>0</v>
      </c>
      <c r="M1173" s="11">
        <v>33.6</v>
      </c>
      <c r="N1173" s="11">
        <f t="shared" si="37"/>
        <v>313.60000000000002</v>
      </c>
    </row>
    <row r="1174" spans="3:14" x14ac:dyDescent="0.3">
      <c r="C1174" s="6">
        <v>44110</v>
      </c>
      <c r="D1174" s="7" t="s">
        <v>130</v>
      </c>
      <c r="E1174" s="8">
        <v>2020</v>
      </c>
      <c r="F1174" s="9" t="s">
        <v>84</v>
      </c>
      <c r="G1174" s="9" t="s">
        <v>14</v>
      </c>
      <c r="H1174" s="10" t="s">
        <v>49</v>
      </c>
      <c r="I1174" s="7">
        <v>41</v>
      </c>
      <c r="J1174" s="11">
        <v>34</v>
      </c>
      <c r="K1174" s="11">
        <f t="shared" si="36"/>
        <v>1394</v>
      </c>
      <c r="L1174" s="11">
        <v>0</v>
      </c>
      <c r="M1174" s="11">
        <v>167.28</v>
      </c>
      <c r="N1174" s="11">
        <f t="shared" si="37"/>
        <v>1561.28</v>
      </c>
    </row>
    <row r="1175" spans="3:14" x14ac:dyDescent="0.3">
      <c r="C1175" s="6">
        <v>44110</v>
      </c>
      <c r="D1175" s="7" t="s">
        <v>130</v>
      </c>
      <c r="E1175" s="8">
        <v>2020</v>
      </c>
      <c r="F1175" s="9" t="s">
        <v>84</v>
      </c>
      <c r="G1175" s="9" t="s">
        <v>37</v>
      </c>
      <c r="H1175" s="10" t="s">
        <v>63</v>
      </c>
      <c r="I1175" s="7">
        <v>51</v>
      </c>
      <c r="J1175" s="11">
        <v>17</v>
      </c>
      <c r="K1175" s="11">
        <f t="shared" si="36"/>
        <v>867</v>
      </c>
      <c r="L1175" s="11">
        <v>0</v>
      </c>
      <c r="M1175" s="11">
        <v>104.03999999999999</v>
      </c>
      <c r="N1175" s="11">
        <f t="shared" si="37"/>
        <v>971.04</v>
      </c>
    </row>
    <row r="1176" spans="3:14" x14ac:dyDescent="0.3">
      <c r="C1176" s="6">
        <v>44111</v>
      </c>
      <c r="D1176" s="7" t="s">
        <v>130</v>
      </c>
      <c r="E1176" s="8">
        <v>2020</v>
      </c>
      <c r="F1176" s="9" t="s">
        <v>13</v>
      </c>
      <c r="G1176" s="9" t="s">
        <v>26</v>
      </c>
      <c r="H1176" s="10" t="s">
        <v>148</v>
      </c>
      <c r="I1176" s="7">
        <v>60</v>
      </c>
      <c r="J1176" s="11">
        <v>48</v>
      </c>
      <c r="K1176" s="11">
        <f t="shared" si="36"/>
        <v>2880</v>
      </c>
      <c r="L1176" s="11">
        <v>0</v>
      </c>
      <c r="M1176" s="11">
        <v>345.59999999999997</v>
      </c>
      <c r="N1176" s="11">
        <f t="shared" si="37"/>
        <v>3225.6</v>
      </c>
    </row>
    <row r="1177" spans="3:14" x14ac:dyDescent="0.3">
      <c r="C1177" s="6">
        <v>44111</v>
      </c>
      <c r="D1177" s="7" t="s">
        <v>130</v>
      </c>
      <c r="E1177" s="8">
        <v>2020</v>
      </c>
      <c r="F1177" s="9" t="s">
        <v>13</v>
      </c>
      <c r="G1177" s="9" t="s">
        <v>14</v>
      </c>
      <c r="H1177" s="10" t="s">
        <v>74</v>
      </c>
      <c r="I1177" s="7">
        <v>79</v>
      </c>
      <c r="J1177" s="11">
        <v>33</v>
      </c>
      <c r="K1177" s="11">
        <f t="shared" si="36"/>
        <v>2607</v>
      </c>
      <c r="L1177" s="11">
        <v>0</v>
      </c>
      <c r="M1177" s="11">
        <v>312.83999999999997</v>
      </c>
      <c r="N1177" s="11">
        <f t="shared" si="37"/>
        <v>2919.84</v>
      </c>
    </row>
    <row r="1178" spans="3:14" x14ac:dyDescent="0.3">
      <c r="C1178" s="6">
        <v>44111</v>
      </c>
      <c r="D1178" s="7" t="s">
        <v>130</v>
      </c>
      <c r="E1178" s="8">
        <v>2020</v>
      </c>
      <c r="F1178" s="9" t="s">
        <v>13</v>
      </c>
      <c r="G1178" s="9" t="s">
        <v>37</v>
      </c>
      <c r="H1178" s="10" t="s">
        <v>41</v>
      </c>
      <c r="I1178" s="7">
        <v>48</v>
      </c>
      <c r="J1178" s="11">
        <v>75</v>
      </c>
      <c r="K1178" s="11">
        <f t="shared" si="36"/>
        <v>3600</v>
      </c>
      <c r="L1178" s="11">
        <v>0</v>
      </c>
      <c r="M1178" s="11">
        <v>432</v>
      </c>
      <c r="N1178" s="11">
        <f t="shared" si="37"/>
        <v>4032</v>
      </c>
    </row>
    <row r="1179" spans="3:14" x14ac:dyDescent="0.3">
      <c r="C1179" s="6">
        <v>44112</v>
      </c>
      <c r="D1179" s="7" t="s">
        <v>130</v>
      </c>
      <c r="E1179" s="8">
        <v>2020</v>
      </c>
      <c r="F1179" s="9" t="s">
        <v>80</v>
      </c>
      <c r="G1179" s="9" t="s">
        <v>42</v>
      </c>
      <c r="H1179" s="10" t="s">
        <v>72</v>
      </c>
      <c r="I1179" s="7">
        <v>59</v>
      </c>
      <c r="J1179" s="11">
        <v>55</v>
      </c>
      <c r="K1179" s="11">
        <f t="shared" si="36"/>
        <v>3245</v>
      </c>
      <c r="L1179" s="11">
        <v>0</v>
      </c>
      <c r="M1179" s="11">
        <v>389.4</v>
      </c>
      <c r="N1179" s="11">
        <f t="shared" si="37"/>
        <v>3634.4</v>
      </c>
    </row>
    <row r="1180" spans="3:14" x14ac:dyDescent="0.3">
      <c r="C1180" s="6">
        <v>44112</v>
      </c>
      <c r="D1180" s="7" t="s">
        <v>130</v>
      </c>
      <c r="E1180" s="8">
        <v>2020</v>
      </c>
      <c r="F1180" s="9" t="s">
        <v>80</v>
      </c>
      <c r="G1180" s="9" t="s">
        <v>24</v>
      </c>
      <c r="H1180" s="10" t="s">
        <v>107</v>
      </c>
      <c r="I1180" s="7">
        <v>36</v>
      </c>
      <c r="J1180" s="11">
        <v>45</v>
      </c>
      <c r="K1180" s="11">
        <f t="shared" si="36"/>
        <v>1620</v>
      </c>
      <c r="L1180" s="11">
        <v>0</v>
      </c>
      <c r="M1180" s="11">
        <v>194.4</v>
      </c>
      <c r="N1180" s="11">
        <f t="shared" si="37"/>
        <v>1814.4</v>
      </c>
    </row>
    <row r="1181" spans="3:14" x14ac:dyDescent="0.3">
      <c r="C1181" s="6">
        <v>44112</v>
      </c>
      <c r="D1181" s="7" t="s">
        <v>130</v>
      </c>
      <c r="E1181" s="8">
        <v>2020</v>
      </c>
      <c r="F1181" s="9" t="s">
        <v>169</v>
      </c>
      <c r="G1181" s="9" t="s">
        <v>32</v>
      </c>
      <c r="H1181" s="10" t="s">
        <v>100</v>
      </c>
      <c r="I1181" s="7">
        <v>27</v>
      </c>
      <c r="J1181" s="11">
        <v>97</v>
      </c>
      <c r="K1181" s="11">
        <f t="shared" si="36"/>
        <v>2619</v>
      </c>
      <c r="L1181" s="11">
        <v>0.25</v>
      </c>
      <c r="M1181" s="11">
        <v>314.27999999999997</v>
      </c>
      <c r="N1181" s="11">
        <f t="shared" si="37"/>
        <v>2933.0299999999997</v>
      </c>
    </row>
    <row r="1182" spans="3:14" x14ac:dyDescent="0.3">
      <c r="C1182" s="6">
        <v>44112</v>
      </c>
      <c r="D1182" s="7" t="s">
        <v>130</v>
      </c>
      <c r="E1182" s="8">
        <v>2020</v>
      </c>
      <c r="F1182" s="9" t="s">
        <v>169</v>
      </c>
      <c r="G1182" s="9" t="s">
        <v>37</v>
      </c>
      <c r="H1182" s="10" t="s">
        <v>65</v>
      </c>
      <c r="I1182" s="7">
        <v>63</v>
      </c>
      <c r="J1182" s="11">
        <v>21</v>
      </c>
      <c r="K1182" s="11">
        <f t="shared" si="36"/>
        <v>1323</v>
      </c>
      <c r="L1182" s="11">
        <v>0.25</v>
      </c>
      <c r="M1182" s="11">
        <v>158.76</v>
      </c>
      <c r="N1182" s="11">
        <f t="shared" si="37"/>
        <v>1481.51</v>
      </c>
    </row>
    <row r="1183" spans="3:14" x14ac:dyDescent="0.3">
      <c r="C1183" s="6">
        <v>44112</v>
      </c>
      <c r="D1183" s="7" t="s">
        <v>130</v>
      </c>
      <c r="E1183" s="8">
        <v>2020</v>
      </c>
      <c r="F1183" s="9" t="s">
        <v>169</v>
      </c>
      <c r="G1183" s="9" t="s">
        <v>24</v>
      </c>
      <c r="H1183" s="10" t="s">
        <v>128</v>
      </c>
      <c r="I1183" s="7">
        <v>18</v>
      </c>
      <c r="J1183" s="11">
        <v>83</v>
      </c>
      <c r="K1183" s="11">
        <f t="shared" si="36"/>
        <v>1494</v>
      </c>
      <c r="L1183" s="11">
        <v>0.25</v>
      </c>
      <c r="M1183" s="11">
        <v>179.28</v>
      </c>
      <c r="N1183" s="11">
        <f t="shared" si="37"/>
        <v>1673.03</v>
      </c>
    </row>
    <row r="1184" spans="3:14" x14ac:dyDescent="0.3">
      <c r="C1184" s="6">
        <v>44112</v>
      </c>
      <c r="D1184" s="7" t="s">
        <v>130</v>
      </c>
      <c r="E1184" s="8">
        <v>2020</v>
      </c>
      <c r="F1184" s="9" t="s">
        <v>169</v>
      </c>
      <c r="G1184" s="9" t="s">
        <v>37</v>
      </c>
      <c r="H1184" s="10" t="s">
        <v>63</v>
      </c>
      <c r="I1184" s="7">
        <v>53</v>
      </c>
      <c r="J1184" s="11">
        <v>64</v>
      </c>
      <c r="K1184" s="11">
        <f t="shared" si="36"/>
        <v>3392</v>
      </c>
      <c r="L1184" s="11">
        <v>0.25</v>
      </c>
      <c r="M1184" s="11">
        <v>407.03999999999996</v>
      </c>
      <c r="N1184" s="11">
        <f t="shared" si="37"/>
        <v>3798.79</v>
      </c>
    </row>
    <row r="1185" spans="3:14" x14ac:dyDescent="0.3">
      <c r="C1185" s="6">
        <v>44113</v>
      </c>
      <c r="D1185" s="7" t="s">
        <v>130</v>
      </c>
      <c r="E1185" s="8">
        <v>2020</v>
      </c>
      <c r="F1185" s="9" t="s">
        <v>55</v>
      </c>
      <c r="G1185" s="9" t="s">
        <v>14</v>
      </c>
      <c r="H1185" s="10" t="s">
        <v>15</v>
      </c>
      <c r="I1185" s="7">
        <v>22</v>
      </c>
      <c r="J1185" s="11">
        <v>83</v>
      </c>
      <c r="K1185" s="11">
        <f t="shared" si="36"/>
        <v>1826</v>
      </c>
      <c r="L1185" s="11">
        <v>0</v>
      </c>
      <c r="M1185" s="11">
        <v>219.12</v>
      </c>
      <c r="N1185" s="11">
        <f t="shared" si="37"/>
        <v>2045.12</v>
      </c>
    </row>
    <row r="1186" spans="3:14" x14ac:dyDescent="0.3">
      <c r="C1186" s="6">
        <v>44113</v>
      </c>
      <c r="D1186" s="7" t="s">
        <v>130</v>
      </c>
      <c r="E1186" s="8">
        <v>2020</v>
      </c>
      <c r="F1186" s="9" t="s">
        <v>55</v>
      </c>
      <c r="G1186" s="9" t="s">
        <v>42</v>
      </c>
      <c r="H1186" s="10" t="s">
        <v>72</v>
      </c>
      <c r="I1186" s="7">
        <v>22</v>
      </c>
      <c r="J1186" s="11">
        <v>62</v>
      </c>
      <c r="K1186" s="11">
        <f t="shared" si="36"/>
        <v>1364</v>
      </c>
      <c r="L1186" s="11">
        <v>5.0000000745058101E-2</v>
      </c>
      <c r="M1186" s="11">
        <v>163.68</v>
      </c>
      <c r="N1186" s="11">
        <f t="shared" si="37"/>
        <v>1527.629999999255</v>
      </c>
    </row>
    <row r="1187" spans="3:14" x14ac:dyDescent="0.3">
      <c r="C1187" s="6">
        <v>44113</v>
      </c>
      <c r="D1187" s="7" t="s">
        <v>130</v>
      </c>
      <c r="E1187" s="8">
        <v>2020</v>
      </c>
      <c r="F1187" s="9" t="s">
        <v>55</v>
      </c>
      <c r="G1187" s="9" t="s">
        <v>42</v>
      </c>
      <c r="H1187" s="10" t="s">
        <v>79</v>
      </c>
      <c r="I1187" s="7">
        <v>57</v>
      </c>
      <c r="J1187" s="11">
        <v>48</v>
      </c>
      <c r="K1187" s="11">
        <f t="shared" si="36"/>
        <v>2736</v>
      </c>
      <c r="L1187" s="11">
        <v>5.0000000745058101E-2</v>
      </c>
      <c r="M1187" s="11">
        <v>328.32</v>
      </c>
      <c r="N1187" s="11">
        <f t="shared" si="37"/>
        <v>3064.2699999992551</v>
      </c>
    </row>
    <row r="1188" spans="3:14" x14ac:dyDescent="0.3">
      <c r="C1188" s="6">
        <v>44113</v>
      </c>
      <c r="D1188" s="7" t="s">
        <v>130</v>
      </c>
      <c r="E1188" s="8">
        <v>2020</v>
      </c>
      <c r="F1188" s="9" t="s">
        <v>55</v>
      </c>
      <c r="G1188" s="9" t="s">
        <v>26</v>
      </c>
      <c r="H1188" s="10" t="s">
        <v>27</v>
      </c>
      <c r="I1188" s="7">
        <v>17</v>
      </c>
      <c r="J1188" s="11">
        <v>54</v>
      </c>
      <c r="K1188" s="11">
        <f t="shared" si="36"/>
        <v>918</v>
      </c>
      <c r="L1188" s="11">
        <v>5.0000000745058101E-2</v>
      </c>
      <c r="M1188" s="11">
        <v>110.16</v>
      </c>
      <c r="N1188" s="11">
        <f t="shared" si="37"/>
        <v>1028.109999999255</v>
      </c>
    </row>
    <row r="1189" spans="3:14" x14ac:dyDescent="0.3">
      <c r="C1189" s="6">
        <v>44113</v>
      </c>
      <c r="D1189" s="7" t="s">
        <v>130</v>
      </c>
      <c r="E1189" s="8">
        <v>2020</v>
      </c>
      <c r="F1189" s="9" t="s">
        <v>55</v>
      </c>
      <c r="G1189" s="9" t="s">
        <v>37</v>
      </c>
      <c r="H1189" s="10" t="s">
        <v>63</v>
      </c>
      <c r="I1189" s="7">
        <v>57</v>
      </c>
      <c r="J1189" s="11">
        <v>30</v>
      </c>
      <c r="K1189" s="11">
        <f t="shared" si="36"/>
        <v>1710</v>
      </c>
      <c r="L1189" s="11">
        <v>5.0000000745058101E-2</v>
      </c>
      <c r="M1189" s="11">
        <v>205.2</v>
      </c>
      <c r="N1189" s="11">
        <f t="shared" si="37"/>
        <v>1915.149999999255</v>
      </c>
    </row>
    <row r="1190" spans="3:14" x14ac:dyDescent="0.3">
      <c r="C1190" s="6">
        <v>44113</v>
      </c>
      <c r="D1190" s="7" t="s">
        <v>130</v>
      </c>
      <c r="E1190" s="8">
        <v>2020</v>
      </c>
      <c r="F1190" s="9" t="s">
        <v>91</v>
      </c>
      <c r="G1190" s="9" t="s">
        <v>32</v>
      </c>
      <c r="H1190" s="10" t="s">
        <v>143</v>
      </c>
      <c r="I1190" s="7">
        <v>15</v>
      </c>
      <c r="J1190" s="11">
        <v>36</v>
      </c>
      <c r="K1190" s="11">
        <f t="shared" si="36"/>
        <v>540</v>
      </c>
      <c r="L1190" s="11">
        <v>0</v>
      </c>
      <c r="M1190" s="11">
        <v>64.8</v>
      </c>
      <c r="N1190" s="11">
        <f t="shared" si="37"/>
        <v>604.79999999999995</v>
      </c>
    </row>
    <row r="1191" spans="3:14" x14ac:dyDescent="0.3">
      <c r="C1191" s="6">
        <v>44114</v>
      </c>
      <c r="D1191" s="7" t="s">
        <v>130</v>
      </c>
      <c r="E1191" s="8">
        <v>2020</v>
      </c>
      <c r="F1191" s="9" t="s">
        <v>135</v>
      </c>
      <c r="G1191" s="9" t="s">
        <v>37</v>
      </c>
      <c r="H1191" s="10" t="s">
        <v>104</v>
      </c>
      <c r="I1191" s="7">
        <v>15</v>
      </c>
      <c r="J1191" s="11">
        <v>74</v>
      </c>
      <c r="K1191" s="11">
        <f t="shared" si="36"/>
        <v>1110</v>
      </c>
      <c r="L1191" s="11">
        <v>0.20000000298023199</v>
      </c>
      <c r="M1191" s="11">
        <v>133.19999999999999</v>
      </c>
      <c r="N1191" s="11">
        <f t="shared" si="37"/>
        <v>1242.9999999970198</v>
      </c>
    </row>
    <row r="1192" spans="3:14" x14ac:dyDescent="0.3">
      <c r="C1192" s="6">
        <v>44114</v>
      </c>
      <c r="D1192" s="7" t="s">
        <v>130</v>
      </c>
      <c r="E1192" s="8">
        <v>2020</v>
      </c>
      <c r="F1192" s="9" t="s">
        <v>135</v>
      </c>
      <c r="G1192" s="9" t="s">
        <v>37</v>
      </c>
      <c r="H1192" s="10" t="s">
        <v>106</v>
      </c>
      <c r="I1192" s="7">
        <v>69</v>
      </c>
      <c r="J1192" s="11">
        <v>30</v>
      </c>
      <c r="K1192" s="11">
        <f t="shared" si="36"/>
        <v>2070</v>
      </c>
      <c r="L1192" s="11">
        <v>0.20000000298023199</v>
      </c>
      <c r="M1192" s="11">
        <v>248.39999999999998</v>
      </c>
      <c r="N1192" s="11">
        <f t="shared" si="37"/>
        <v>2318.1999999970199</v>
      </c>
    </row>
    <row r="1193" spans="3:14" x14ac:dyDescent="0.3">
      <c r="C1193" s="6">
        <v>44114</v>
      </c>
      <c r="D1193" s="7" t="s">
        <v>130</v>
      </c>
      <c r="E1193" s="8">
        <v>2020</v>
      </c>
      <c r="F1193" s="9" t="s">
        <v>135</v>
      </c>
      <c r="G1193" s="9" t="s">
        <v>32</v>
      </c>
      <c r="H1193" s="10" t="s">
        <v>110</v>
      </c>
      <c r="I1193" s="7">
        <v>1</v>
      </c>
      <c r="J1193" s="11">
        <v>38</v>
      </c>
      <c r="K1193" s="11">
        <f t="shared" si="36"/>
        <v>38</v>
      </c>
      <c r="L1193" s="11">
        <v>0.20000000298023199</v>
      </c>
      <c r="M1193" s="11">
        <v>4.5599999999999996</v>
      </c>
      <c r="N1193" s="11">
        <f t="shared" si="37"/>
        <v>42.35999999701977</v>
      </c>
    </row>
    <row r="1194" spans="3:14" x14ac:dyDescent="0.3">
      <c r="C1194" s="6">
        <v>44114</v>
      </c>
      <c r="D1194" s="7" t="s">
        <v>130</v>
      </c>
      <c r="E1194" s="8">
        <v>2020</v>
      </c>
      <c r="F1194" s="9" t="s">
        <v>135</v>
      </c>
      <c r="G1194" s="9" t="s">
        <v>14</v>
      </c>
      <c r="H1194" s="10" t="s">
        <v>87</v>
      </c>
      <c r="I1194" s="7">
        <v>41</v>
      </c>
      <c r="J1194" s="11">
        <v>37</v>
      </c>
      <c r="K1194" s="11">
        <f t="shared" si="36"/>
        <v>1517</v>
      </c>
      <c r="L1194" s="11">
        <v>0.20000000298023199</v>
      </c>
      <c r="M1194" s="11">
        <v>182.04</v>
      </c>
      <c r="N1194" s="11">
        <f t="shared" si="37"/>
        <v>1698.8399999970197</v>
      </c>
    </row>
    <row r="1195" spans="3:14" x14ac:dyDescent="0.3">
      <c r="C1195" s="6">
        <v>44117</v>
      </c>
      <c r="D1195" s="7" t="s">
        <v>130</v>
      </c>
      <c r="E1195" s="8">
        <v>2020</v>
      </c>
      <c r="F1195" s="9" t="s">
        <v>118</v>
      </c>
      <c r="G1195" s="9" t="s">
        <v>14</v>
      </c>
      <c r="H1195" s="10" t="s">
        <v>49</v>
      </c>
      <c r="I1195" s="7">
        <v>43</v>
      </c>
      <c r="J1195" s="11">
        <v>75</v>
      </c>
      <c r="K1195" s="11">
        <f t="shared" si="36"/>
        <v>3225</v>
      </c>
      <c r="L1195" s="11">
        <v>0.15000000596046401</v>
      </c>
      <c r="M1195" s="11">
        <v>387</v>
      </c>
      <c r="N1195" s="11">
        <f t="shared" si="37"/>
        <v>3611.8499999940395</v>
      </c>
    </row>
    <row r="1196" spans="3:14" x14ac:dyDescent="0.3">
      <c r="C1196" s="6">
        <v>44117</v>
      </c>
      <c r="D1196" s="7" t="s">
        <v>130</v>
      </c>
      <c r="E1196" s="8">
        <v>2020</v>
      </c>
      <c r="F1196" s="9" t="s">
        <v>118</v>
      </c>
      <c r="G1196" s="9" t="s">
        <v>14</v>
      </c>
      <c r="H1196" s="10" t="s">
        <v>87</v>
      </c>
      <c r="I1196" s="7">
        <v>3</v>
      </c>
      <c r="J1196" s="11">
        <v>24</v>
      </c>
      <c r="K1196" s="11">
        <f t="shared" si="36"/>
        <v>72</v>
      </c>
      <c r="L1196" s="11">
        <v>0.15000000596046401</v>
      </c>
      <c r="M1196" s="11">
        <v>8.64</v>
      </c>
      <c r="N1196" s="11">
        <f t="shared" si="37"/>
        <v>80.489999994039536</v>
      </c>
    </row>
    <row r="1197" spans="3:14" x14ac:dyDescent="0.3">
      <c r="C1197" s="6">
        <v>44117</v>
      </c>
      <c r="D1197" s="7" t="s">
        <v>130</v>
      </c>
      <c r="E1197" s="8">
        <v>2020</v>
      </c>
      <c r="F1197" s="9" t="s">
        <v>118</v>
      </c>
      <c r="G1197" s="9" t="s">
        <v>37</v>
      </c>
      <c r="H1197" s="10" t="s">
        <v>77</v>
      </c>
      <c r="I1197" s="7">
        <v>73</v>
      </c>
      <c r="J1197" s="11">
        <v>98</v>
      </c>
      <c r="K1197" s="11">
        <f t="shared" si="36"/>
        <v>7154</v>
      </c>
      <c r="L1197" s="11">
        <v>0.15000000596046401</v>
      </c>
      <c r="M1197" s="11">
        <v>858.48</v>
      </c>
      <c r="N1197" s="11">
        <f t="shared" si="37"/>
        <v>8012.3299999940391</v>
      </c>
    </row>
    <row r="1198" spans="3:14" x14ac:dyDescent="0.3">
      <c r="C1198" s="6">
        <v>44117</v>
      </c>
      <c r="D1198" s="7" t="s">
        <v>130</v>
      </c>
      <c r="E1198" s="8">
        <v>2020</v>
      </c>
      <c r="F1198" s="9" t="s">
        <v>195</v>
      </c>
      <c r="G1198" s="9" t="s">
        <v>26</v>
      </c>
      <c r="H1198" s="10" t="s">
        <v>112</v>
      </c>
      <c r="I1198" s="7">
        <v>96</v>
      </c>
      <c r="J1198" s="11">
        <v>75</v>
      </c>
      <c r="K1198" s="11">
        <f t="shared" si="36"/>
        <v>7200</v>
      </c>
      <c r="L1198" s="11">
        <v>0</v>
      </c>
      <c r="M1198" s="11">
        <v>864</v>
      </c>
      <c r="N1198" s="11">
        <f t="shared" si="37"/>
        <v>8064</v>
      </c>
    </row>
    <row r="1199" spans="3:14" x14ac:dyDescent="0.3">
      <c r="C1199" s="6">
        <v>44117</v>
      </c>
      <c r="D1199" s="7" t="s">
        <v>130</v>
      </c>
      <c r="E1199" s="8">
        <v>2020</v>
      </c>
      <c r="F1199" s="9" t="s">
        <v>195</v>
      </c>
      <c r="G1199" s="9" t="s">
        <v>37</v>
      </c>
      <c r="H1199" s="10" t="s">
        <v>77</v>
      </c>
      <c r="I1199" s="7">
        <v>63</v>
      </c>
      <c r="J1199" s="11">
        <v>85</v>
      </c>
      <c r="K1199" s="11">
        <f t="shared" si="36"/>
        <v>5355</v>
      </c>
      <c r="L1199" s="11">
        <v>0</v>
      </c>
      <c r="M1199" s="11">
        <v>642.6</v>
      </c>
      <c r="N1199" s="11">
        <f t="shared" si="37"/>
        <v>5997.6</v>
      </c>
    </row>
    <row r="1200" spans="3:14" x14ac:dyDescent="0.3">
      <c r="C1200" s="6">
        <v>44118</v>
      </c>
      <c r="D1200" s="7" t="s">
        <v>130</v>
      </c>
      <c r="E1200" s="8">
        <v>2020</v>
      </c>
      <c r="F1200" s="9" t="s">
        <v>70</v>
      </c>
      <c r="G1200" s="9" t="s">
        <v>37</v>
      </c>
      <c r="H1200" s="10" t="s">
        <v>46</v>
      </c>
      <c r="I1200" s="7">
        <v>34</v>
      </c>
      <c r="J1200" s="11">
        <v>87</v>
      </c>
      <c r="K1200" s="11">
        <f t="shared" si="36"/>
        <v>2958</v>
      </c>
      <c r="L1200" s="11">
        <v>0</v>
      </c>
      <c r="M1200" s="11">
        <v>354.96</v>
      </c>
      <c r="N1200" s="11">
        <f t="shared" si="37"/>
        <v>3312.96</v>
      </c>
    </row>
    <row r="1201" spans="3:14" x14ac:dyDescent="0.3">
      <c r="C1201" s="6">
        <v>44118</v>
      </c>
      <c r="D1201" s="7" t="s">
        <v>130</v>
      </c>
      <c r="E1201" s="8">
        <v>2020</v>
      </c>
      <c r="F1201" s="9" t="s">
        <v>70</v>
      </c>
      <c r="G1201" s="9" t="s">
        <v>14</v>
      </c>
      <c r="H1201" s="10" t="s">
        <v>49</v>
      </c>
      <c r="I1201" s="7">
        <v>8</v>
      </c>
      <c r="J1201" s="11">
        <v>83</v>
      </c>
      <c r="K1201" s="11">
        <f t="shared" si="36"/>
        <v>664</v>
      </c>
      <c r="L1201" s="11">
        <v>0</v>
      </c>
      <c r="M1201" s="11">
        <v>79.679999999999993</v>
      </c>
      <c r="N1201" s="11">
        <f t="shared" si="37"/>
        <v>743.68</v>
      </c>
    </row>
    <row r="1202" spans="3:14" x14ac:dyDescent="0.3">
      <c r="C1202" s="6">
        <v>44118</v>
      </c>
      <c r="D1202" s="7" t="s">
        <v>130</v>
      </c>
      <c r="E1202" s="8">
        <v>2020</v>
      </c>
      <c r="F1202" s="9" t="s">
        <v>70</v>
      </c>
      <c r="G1202" s="9" t="s">
        <v>24</v>
      </c>
      <c r="H1202" s="10" t="s">
        <v>96</v>
      </c>
      <c r="I1202" s="7">
        <v>10</v>
      </c>
      <c r="J1202" s="11">
        <v>34</v>
      </c>
      <c r="K1202" s="11">
        <f t="shared" si="36"/>
        <v>340</v>
      </c>
      <c r="L1202" s="11">
        <v>0</v>
      </c>
      <c r="M1202" s="11">
        <v>40.799999999999997</v>
      </c>
      <c r="N1202" s="11">
        <f t="shared" si="37"/>
        <v>380.8</v>
      </c>
    </row>
    <row r="1203" spans="3:14" x14ac:dyDescent="0.3">
      <c r="C1203" s="6">
        <v>44118</v>
      </c>
      <c r="D1203" s="7" t="s">
        <v>130</v>
      </c>
      <c r="E1203" s="8">
        <v>2020</v>
      </c>
      <c r="F1203" s="9" t="s">
        <v>161</v>
      </c>
      <c r="G1203" s="9" t="s">
        <v>26</v>
      </c>
      <c r="H1203" s="10" t="s">
        <v>124</v>
      </c>
      <c r="I1203" s="7">
        <v>52</v>
      </c>
      <c r="J1203" s="11">
        <v>41</v>
      </c>
      <c r="K1203" s="11">
        <f t="shared" si="36"/>
        <v>2132</v>
      </c>
      <c r="L1203" s="11">
        <v>0</v>
      </c>
      <c r="M1203" s="11">
        <v>255.84</v>
      </c>
      <c r="N1203" s="11">
        <f t="shared" si="37"/>
        <v>2387.84</v>
      </c>
    </row>
    <row r="1204" spans="3:14" x14ac:dyDescent="0.3">
      <c r="C1204" s="6">
        <v>44118</v>
      </c>
      <c r="D1204" s="7" t="s">
        <v>130</v>
      </c>
      <c r="E1204" s="8">
        <v>2020</v>
      </c>
      <c r="F1204" s="9" t="s">
        <v>161</v>
      </c>
      <c r="G1204" s="9" t="s">
        <v>37</v>
      </c>
      <c r="H1204" s="10" t="s">
        <v>41</v>
      </c>
      <c r="I1204" s="7">
        <v>83</v>
      </c>
      <c r="J1204" s="11">
        <v>73</v>
      </c>
      <c r="K1204" s="11">
        <f t="shared" si="36"/>
        <v>6059</v>
      </c>
      <c r="L1204" s="11">
        <v>0</v>
      </c>
      <c r="M1204" s="11">
        <v>727.07999999999993</v>
      </c>
      <c r="N1204" s="11">
        <f t="shared" si="37"/>
        <v>6786.08</v>
      </c>
    </row>
    <row r="1205" spans="3:14" x14ac:dyDescent="0.3">
      <c r="C1205" s="6">
        <v>44118</v>
      </c>
      <c r="D1205" s="7" t="s">
        <v>130</v>
      </c>
      <c r="E1205" s="8">
        <v>2020</v>
      </c>
      <c r="F1205" s="9" t="s">
        <v>161</v>
      </c>
      <c r="G1205" s="9" t="s">
        <v>32</v>
      </c>
      <c r="H1205" s="10" t="s">
        <v>168</v>
      </c>
      <c r="I1205" s="7">
        <v>44</v>
      </c>
      <c r="J1205" s="11">
        <v>52</v>
      </c>
      <c r="K1205" s="11">
        <f t="shared" si="36"/>
        <v>2288</v>
      </c>
      <c r="L1205" s="11">
        <v>0</v>
      </c>
      <c r="M1205" s="11">
        <v>274.56</v>
      </c>
      <c r="N1205" s="11">
        <f t="shared" si="37"/>
        <v>2562.56</v>
      </c>
    </row>
    <row r="1206" spans="3:14" x14ac:dyDescent="0.3">
      <c r="C1206" s="6">
        <v>44119</v>
      </c>
      <c r="D1206" s="7" t="s">
        <v>130</v>
      </c>
      <c r="E1206" s="8">
        <v>2020</v>
      </c>
      <c r="F1206" s="9" t="s">
        <v>53</v>
      </c>
      <c r="G1206" s="9" t="s">
        <v>14</v>
      </c>
      <c r="H1206" s="10" t="s">
        <v>36</v>
      </c>
      <c r="I1206" s="7">
        <v>98</v>
      </c>
      <c r="J1206" s="11">
        <v>74</v>
      </c>
      <c r="K1206" s="11">
        <f t="shared" si="36"/>
        <v>7252</v>
      </c>
      <c r="L1206" s="11">
        <v>0</v>
      </c>
      <c r="M1206" s="11">
        <v>870.24</v>
      </c>
      <c r="N1206" s="11">
        <f t="shared" si="37"/>
        <v>8122.24</v>
      </c>
    </row>
    <row r="1207" spans="3:14" x14ac:dyDescent="0.3">
      <c r="C1207" s="6">
        <v>44119</v>
      </c>
      <c r="D1207" s="7" t="s">
        <v>130</v>
      </c>
      <c r="E1207" s="8">
        <v>2020</v>
      </c>
      <c r="F1207" s="9" t="s">
        <v>53</v>
      </c>
      <c r="G1207" s="9" t="s">
        <v>14</v>
      </c>
      <c r="H1207" s="10" t="s">
        <v>57</v>
      </c>
      <c r="I1207" s="7">
        <v>49</v>
      </c>
      <c r="J1207" s="11">
        <v>32</v>
      </c>
      <c r="K1207" s="11">
        <f t="shared" si="36"/>
        <v>1568</v>
      </c>
      <c r="L1207" s="11">
        <v>0</v>
      </c>
      <c r="M1207" s="11">
        <v>188.16</v>
      </c>
      <c r="N1207" s="11">
        <f t="shared" si="37"/>
        <v>1756.16</v>
      </c>
    </row>
    <row r="1208" spans="3:14" x14ac:dyDescent="0.3">
      <c r="C1208" s="6">
        <v>44120</v>
      </c>
      <c r="D1208" s="7" t="s">
        <v>130</v>
      </c>
      <c r="E1208" s="8">
        <v>2020</v>
      </c>
      <c r="F1208" s="9" t="s">
        <v>61</v>
      </c>
      <c r="G1208" s="9" t="s">
        <v>32</v>
      </c>
      <c r="H1208" s="10" t="s">
        <v>47</v>
      </c>
      <c r="I1208" s="7">
        <v>8</v>
      </c>
      <c r="J1208" s="11">
        <v>54</v>
      </c>
      <c r="K1208" s="11">
        <f t="shared" si="36"/>
        <v>432</v>
      </c>
      <c r="L1208" s="11">
        <v>0</v>
      </c>
      <c r="M1208" s="11">
        <v>51.839999999999996</v>
      </c>
      <c r="N1208" s="11">
        <f t="shared" si="37"/>
        <v>483.84</v>
      </c>
    </row>
    <row r="1209" spans="3:14" x14ac:dyDescent="0.3">
      <c r="C1209" s="6">
        <v>44120</v>
      </c>
      <c r="D1209" s="7" t="s">
        <v>130</v>
      </c>
      <c r="E1209" s="8">
        <v>2020</v>
      </c>
      <c r="F1209" s="9" t="s">
        <v>61</v>
      </c>
      <c r="G1209" s="9" t="s">
        <v>37</v>
      </c>
      <c r="H1209" s="10" t="s">
        <v>82</v>
      </c>
      <c r="I1209" s="7">
        <v>15</v>
      </c>
      <c r="J1209" s="11">
        <v>87</v>
      </c>
      <c r="K1209" s="11">
        <f t="shared" si="36"/>
        <v>1305</v>
      </c>
      <c r="L1209" s="11">
        <v>0</v>
      </c>
      <c r="M1209" s="11">
        <v>156.6</v>
      </c>
      <c r="N1209" s="11">
        <f t="shared" si="37"/>
        <v>1461.6</v>
      </c>
    </row>
    <row r="1210" spans="3:14" x14ac:dyDescent="0.3">
      <c r="C1210" s="6">
        <v>44120</v>
      </c>
      <c r="D1210" s="7" t="s">
        <v>130</v>
      </c>
      <c r="E1210" s="8">
        <v>2020</v>
      </c>
      <c r="F1210" s="9" t="s">
        <v>61</v>
      </c>
      <c r="G1210" s="9" t="s">
        <v>14</v>
      </c>
      <c r="H1210" s="10" t="s">
        <v>49</v>
      </c>
      <c r="I1210" s="7">
        <v>12</v>
      </c>
      <c r="J1210" s="11">
        <v>69</v>
      </c>
      <c r="K1210" s="11">
        <f t="shared" si="36"/>
        <v>828</v>
      </c>
      <c r="L1210" s="11">
        <v>0</v>
      </c>
      <c r="M1210" s="11">
        <v>99.36</v>
      </c>
      <c r="N1210" s="11">
        <f t="shared" si="37"/>
        <v>927.36</v>
      </c>
    </row>
    <row r="1211" spans="3:14" x14ac:dyDescent="0.3">
      <c r="C1211" s="6">
        <v>44120</v>
      </c>
      <c r="D1211" s="7" t="s">
        <v>130</v>
      </c>
      <c r="E1211" s="8">
        <v>2020</v>
      </c>
      <c r="F1211" s="9" t="s">
        <v>153</v>
      </c>
      <c r="G1211" s="9" t="s">
        <v>42</v>
      </c>
      <c r="H1211" s="10" t="s">
        <v>43</v>
      </c>
      <c r="I1211" s="7">
        <v>35</v>
      </c>
      <c r="J1211" s="11">
        <v>48</v>
      </c>
      <c r="K1211" s="11">
        <f t="shared" si="36"/>
        <v>1680</v>
      </c>
      <c r="L1211" s="11">
        <v>0</v>
      </c>
      <c r="M1211" s="11">
        <v>201.6</v>
      </c>
      <c r="N1211" s="11">
        <f t="shared" si="37"/>
        <v>1881.6</v>
      </c>
    </row>
    <row r="1212" spans="3:14" x14ac:dyDescent="0.3">
      <c r="C1212" s="6">
        <v>44120</v>
      </c>
      <c r="D1212" s="7" t="s">
        <v>130</v>
      </c>
      <c r="E1212" s="8">
        <v>2020</v>
      </c>
      <c r="F1212" s="9" t="s">
        <v>153</v>
      </c>
      <c r="G1212" s="9" t="s">
        <v>16</v>
      </c>
      <c r="H1212" s="10" t="s">
        <v>30</v>
      </c>
      <c r="I1212" s="7">
        <v>68</v>
      </c>
      <c r="J1212" s="11">
        <v>42</v>
      </c>
      <c r="K1212" s="11">
        <f t="shared" si="36"/>
        <v>2856</v>
      </c>
      <c r="L1212" s="11">
        <v>0</v>
      </c>
      <c r="M1212" s="11">
        <v>342.71999999999997</v>
      </c>
      <c r="N1212" s="11">
        <f t="shared" si="37"/>
        <v>3198.72</v>
      </c>
    </row>
    <row r="1213" spans="3:14" x14ac:dyDescent="0.3">
      <c r="C1213" s="6">
        <v>44120</v>
      </c>
      <c r="D1213" s="7" t="s">
        <v>130</v>
      </c>
      <c r="E1213" s="8">
        <v>2020</v>
      </c>
      <c r="F1213" s="9" t="s">
        <v>153</v>
      </c>
      <c r="G1213" s="9" t="s">
        <v>37</v>
      </c>
      <c r="H1213" s="10" t="s">
        <v>63</v>
      </c>
      <c r="I1213" s="7">
        <v>100</v>
      </c>
      <c r="J1213" s="11">
        <v>89</v>
      </c>
      <c r="K1213" s="11">
        <f t="shared" si="36"/>
        <v>8900</v>
      </c>
      <c r="L1213" s="11">
        <v>0.15000000596046401</v>
      </c>
      <c r="M1213" s="11">
        <v>1068</v>
      </c>
      <c r="N1213" s="11">
        <f t="shared" si="37"/>
        <v>9967.8499999940395</v>
      </c>
    </row>
    <row r="1214" spans="3:14" x14ac:dyDescent="0.3">
      <c r="C1214" s="6">
        <v>44121</v>
      </c>
      <c r="D1214" s="7" t="s">
        <v>130</v>
      </c>
      <c r="E1214" s="8">
        <v>2020</v>
      </c>
      <c r="F1214" s="9" t="s">
        <v>126</v>
      </c>
      <c r="G1214" s="9" t="s">
        <v>26</v>
      </c>
      <c r="H1214" s="10" t="s">
        <v>56</v>
      </c>
      <c r="I1214" s="7">
        <v>74</v>
      </c>
      <c r="J1214" s="11">
        <v>86</v>
      </c>
      <c r="K1214" s="11">
        <f t="shared" si="36"/>
        <v>6364</v>
      </c>
      <c r="L1214" s="11">
        <v>0</v>
      </c>
      <c r="M1214" s="11">
        <v>763.68</v>
      </c>
      <c r="N1214" s="11">
        <f t="shared" si="37"/>
        <v>7127.68</v>
      </c>
    </row>
    <row r="1215" spans="3:14" x14ac:dyDescent="0.3">
      <c r="C1215" s="6">
        <v>44121</v>
      </c>
      <c r="D1215" s="7" t="s">
        <v>130</v>
      </c>
      <c r="E1215" s="8">
        <v>2020</v>
      </c>
      <c r="F1215" s="9" t="s">
        <v>126</v>
      </c>
      <c r="G1215" s="9" t="s">
        <v>24</v>
      </c>
      <c r="H1215" s="10" t="s">
        <v>48</v>
      </c>
      <c r="I1215" s="7">
        <v>8</v>
      </c>
      <c r="J1215" s="11">
        <v>32</v>
      </c>
      <c r="K1215" s="11">
        <f t="shared" si="36"/>
        <v>256</v>
      </c>
      <c r="L1215" s="11">
        <v>0</v>
      </c>
      <c r="M1215" s="11">
        <v>30.72</v>
      </c>
      <c r="N1215" s="11">
        <f t="shared" si="37"/>
        <v>286.72000000000003</v>
      </c>
    </row>
    <row r="1216" spans="3:14" x14ac:dyDescent="0.3">
      <c r="C1216" s="6">
        <v>44121</v>
      </c>
      <c r="D1216" s="7" t="s">
        <v>130</v>
      </c>
      <c r="E1216" s="8">
        <v>2020</v>
      </c>
      <c r="F1216" s="9" t="s">
        <v>176</v>
      </c>
      <c r="G1216" s="9" t="s">
        <v>26</v>
      </c>
      <c r="H1216" s="10" t="s">
        <v>148</v>
      </c>
      <c r="I1216" s="7">
        <v>97</v>
      </c>
      <c r="J1216" s="11">
        <v>73</v>
      </c>
      <c r="K1216" s="11">
        <f t="shared" si="36"/>
        <v>7081</v>
      </c>
      <c r="L1216" s="11">
        <v>0</v>
      </c>
      <c r="M1216" s="11">
        <v>849.71999999999991</v>
      </c>
      <c r="N1216" s="11">
        <f t="shared" si="37"/>
        <v>7930.72</v>
      </c>
    </row>
    <row r="1217" spans="3:14" x14ac:dyDescent="0.3">
      <c r="C1217" s="6">
        <v>44121</v>
      </c>
      <c r="D1217" s="7" t="s">
        <v>130</v>
      </c>
      <c r="E1217" s="8">
        <v>2020</v>
      </c>
      <c r="F1217" s="9" t="s">
        <v>176</v>
      </c>
      <c r="G1217" s="9" t="s">
        <v>20</v>
      </c>
      <c r="H1217" s="10" t="s">
        <v>22</v>
      </c>
      <c r="I1217" s="7">
        <v>29</v>
      </c>
      <c r="J1217" s="11">
        <v>53</v>
      </c>
      <c r="K1217" s="11">
        <f t="shared" si="36"/>
        <v>1537</v>
      </c>
      <c r="L1217" s="11">
        <v>0</v>
      </c>
      <c r="M1217" s="11">
        <v>184.44</v>
      </c>
      <c r="N1217" s="11">
        <f t="shared" si="37"/>
        <v>1721.44</v>
      </c>
    </row>
    <row r="1218" spans="3:14" x14ac:dyDescent="0.3">
      <c r="C1218" s="6">
        <v>44121</v>
      </c>
      <c r="D1218" s="7" t="s">
        <v>130</v>
      </c>
      <c r="E1218" s="8">
        <v>2020</v>
      </c>
      <c r="F1218" s="9" t="s">
        <v>176</v>
      </c>
      <c r="G1218" s="9" t="s">
        <v>14</v>
      </c>
      <c r="H1218" s="10" t="s">
        <v>35</v>
      </c>
      <c r="I1218" s="7">
        <v>79</v>
      </c>
      <c r="J1218" s="11">
        <v>88</v>
      </c>
      <c r="K1218" s="11">
        <f t="shared" si="36"/>
        <v>6952</v>
      </c>
      <c r="L1218" s="11">
        <v>0</v>
      </c>
      <c r="M1218" s="11">
        <v>834.24</v>
      </c>
      <c r="N1218" s="11">
        <f t="shared" si="37"/>
        <v>7786.24</v>
      </c>
    </row>
    <row r="1219" spans="3:14" x14ac:dyDescent="0.3">
      <c r="C1219" s="6">
        <v>44124</v>
      </c>
      <c r="D1219" s="7" t="s">
        <v>130</v>
      </c>
      <c r="E1219" s="8">
        <v>2020</v>
      </c>
      <c r="F1219" s="9" t="s">
        <v>175</v>
      </c>
      <c r="G1219" s="9" t="s">
        <v>32</v>
      </c>
      <c r="H1219" s="10" t="s">
        <v>100</v>
      </c>
      <c r="I1219" s="7">
        <v>65</v>
      </c>
      <c r="J1219" s="11">
        <v>33</v>
      </c>
      <c r="K1219" s="11">
        <f t="shared" ref="K1219:K1282" si="38">J1219*I1219</f>
        <v>2145</v>
      </c>
      <c r="L1219" s="11">
        <v>0</v>
      </c>
      <c r="M1219" s="11">
        <v>257.39999999999998</v>
      </c>
      <c r="N1219" s="11">
        <f t="shared" ref="N1219:N1282" si="39">K1219-L1219+M1219</f>
        <v>2402.4</v>
      </c>
    </row>
    <row r="1220" spans="3:14" x14ac:dyDescent="0.3">
      <c r="C1220" s="6">
        <v>44124</v>
      </c>
      <c r="D1220" s="7" t="s">
        <v>130</v>
      </c>
      <c r="E1220" s="8">
        <v>2020</v>
      </c>
      <c r="F1220" s="9" t="s">
        <v>175</v>
      </c>
      <c r="G1220" s="9" t="s">
        <v>32</v>
      </c>
      <c r="H1220" s="10" t="s">
        <v>143</v>
      </c>
      <c r="I1220" s="7">
        <v>72</v>
      </c>
      <c r="J1220" s="11">
        <v>11</v>
      </c>
      <c r="K1220" s="11">
        <f t="shared" si="38"/>
        <v>792</v>
      </c>
      <c r="L1220" s="11">
        <v>0</v>
      </c>
      <c r="M1220" s="11">
        <v>95.039999999999992</v>
      </c>
      <c r="N1220" s="11">
        <f t="shared" si="39"/>
        <v>887.04</v>
      </c>
    </row>
    <row r="1221" spans="3:14" x14ac:dyDescent="0.3">
      <c r="C1221" s="6">
        <v>44125</v>
      </c>
      <c r="D1221" s="7" t="s">
        <v>130</v>
      </c>
      <c r="E1221" s="8">
        <v>2020</v>
      </c>
      <c r="F1221" s="9" t="s">
        <v>135</v>
      </c>
      <c r="G1221" s="9" t="s">
        <v>32</v>
      </c>
      <c r="H1221" s="10" t="s">
        <v>100</v>
      </c>
      <c r="I1221" s="7">
        <v>48</v>
      </c>
      <c r="J1221" s="11">
        <v>33</v>
      </c>
      <c r="K1221" s="11">
        <f t="shared" si="38"/>
        <v>1584</v>
      </c>
      <c r="L1221" s="11">
        <v>0</v>
      </c>
      <c r="M1221" s="11">
        <v>190.07999999999998</v>
      </c>
      <c r="N1221" s="11">
        <f t="shared" si="39"/>
        <v>1774.08</v>
      </c>
    </row>
    <row r="1222" spans="3:14" x14ac:dyDescent="0.3">
      <c r="C1222" s="6">
        <v>44125</v>
      </c>
      <c r="D1222" s="7" t="s">
        <v>130</v>
      </c>
      <c r="E1222" s="8">
        <v>2020</v>
      </c>
      <c r="F1222" s="9" t="s">
        <v>135</v>
      </c>
      <c r="G1222" s="9" t="s">
        <v>24</v>
      </c>
      <c r="H1222" s="10" t="s">
        <v>25</v>
      </c>
      <c r="I1222" s="7">
        <v>77</v>
      </c>
      <c r="J1222" s="11">
        <v>80</v>
      </c>
      <c r="K1222" s="11">
        <f t="shared" si="38"/>
        <v>6160</v>
      </c>
      <c r="L1222" s="11">
        <v>0</v>
      </c>
      <c r="M1222" s="11">
        <v>739.19999999999993</v>
      </c>
      <c r="N1222" s="11">
        <f t="shared" si="39"/>
        <v>6899.2</v>
      </c>
    </row>
    <row r="1223" spans="3:14" x14ac:dyDescent="0.3">
      <c r="C1223" s="6">
        <v>44125</v>
      </c>
      <c r="D1223" s="7" t="s">
        <v>130</v>
      </c>
      <c r="E1223" s="8">
        <v>2020</v>
      </c>
      <c r="F1223" s="9" t="s">
        <v>135</v>
      </c>
      <c r="G1223" s="9" t="s">
        <v>42</v>
      </c>
      <c r="H1223" s="10" t="s">
        <v>51</v>
      </c>
      <c r="I1223" s="7">
        <v>61</v>
      </c>
      <c r="J1223" s="11">
        <v>51</v>
      </c>
      <c r="K1223" s="11">
        <f t="shared" si="38"/>
        <v>3111</v>
      </c>
      <c r="L1223" s="11">
        <v>0</v>
      </c>
      <c r="M1223" s="11">
        <v>373.32</v>
      </c>
      <c r="N1223" s="11">
        <f t="shared" si="39"/>
        <v>3484.32</v>
      </c>
    </row>
    <row r="1224" spans="3:14" x14ac:dyDescent="0.3">
      <c r="C1224" s="6">
        <v>44125</v>
      </c>
      <c r="D1224" s="7" t="s">
        <v>130</v>
      </c>
      <c r="E1224" s="8">
        <v>2020</v>
      </c>
      <c r="F1224" s="9" t="s">
        <v>118</v>
      </c>
      <c r="G1224" s="9" t="s">
        <v>42</v>
      </c>
      <c r="H1224" s="10" t="s">
        <v>51</v>
      </c>
      <c r="I1224" s="7">
        <v>94</v>
      </c>
      <c r="J1224" s="11">
        <v>67</v>
      </c>
      <c r="K1224" s="11">
        <f t="shared" si="38"/>
        <v>6298</v>
      </c>
      <c r="L1224" s="11">
        <v>5.0000000745058101E-2</v>
      </c>
      <c r="M1224" s="11">
        <v>755.76</v>
      </c>
      <c r="N1224" s="11">
        <f t="shared" si="39"/>
        <v>7053.7099999992552</v>
      </c>
    </row>
    <row r="1225" spans="3:14" x14ac:dyDescent="0.3">
      <c r="C1225" s="6">
        <v>44125</v>
      </c>
      <c r="D1225" s="7" t="s">
        <v>130</v>
      </c>
      <c r="E1225" s="8">
        <v>2020</v>
      </c>
      <c r="F1225" s="9" t="s">
        <v>118</v>
      </c>
      <c r="G1225" s="9" t="s">
        <v>16</v>
      </c>
      <c r="H1225" s="10" t="s">
        <v>68</v>
      </c>
      <c r="I1225" s="7">
        <v>44</v>
      </c>
      <c r="J1225" s="11">
        <v>48</v>
      </c>
      <c r="K1225" s="11">
        <f t="shared" si="38"/>
        <v>2112</v>
      </c>
      <c r="L1225" s="11">
        <v>0</v>
      </c>
      <c r="M1225" s="11">
        <v>253.44</v>
      </c>
      <c r="N1225" s="11">
        <f t="shared" si="39"/>
        <v>2365.44</v>
      </c>
    </row>
    <row r="1226" spans="3:14" x14ac:dyDescent="0.3">
      <c r="C1226" s="6">
        <v>44126</v>
      </c>
      <c r="D1226" s="7" t="s">
        <v>130</v>
      </c>
      <c r="E1226" s="8">
        <v>2020</v>
      </c>
      <c r="F1226" s="9" t="s">
        <v>135</v>
      </c>
      <c r="G1226" s="9" t="s">
        <v>24</v>
      </c>
      <c r="H1226" s="10" t="s">
        <v>85</v>
      </c>
      <c r="I1226" s="7">
        <v>95</v>
      </c>
      <c r="J1226" s="11">
        <v>72</v>
      </c>
      <c r="K1226" s="11">
        <f t="shared" si="38"/>
        <v>6840</v>
      </c>
      <c r="L1226" s="11">
        <v>0</v>
      </c>
      <c r="M1226" s="11">
        <v>820.8</v>
      </c>
      <c r="N1226" s="11">
        <f t="shared" si="39"/>
        <v>7660.8</v>
      </c>
    </row>
    <row r="1227" spans="3:14" x14ac:dyDescent="0.3">
      <c r="C1227" s="6">
        <v>44126</v>
      </c>
      <c r="D1227" s="7" t="s">
        <v>130</v>
      </c>
      <c r="E1227" s="8">
        <v>2020</v>
      </c>
      <c r="F1227" s="9" t="s">
        <v>135</v>
      </c>
      <c r="G1227" s="9" t="s">
        <v>32</v>
      </c>
      <c r="H1227" s="10" t="s">
        <v>140</v>
      </c>
      <c r="I1227" s="7">
        <v>36</v>
      </c>
      <c r="J1227" s="11">
        <v>93</v>
      </c>
      <c r="K1227" s="11">
        <f t="shared" si="38"/>
        <v>3348</v>
      </c>
      <c r="L1227" s="11">
        <v>0</v>
      </c>
      <c r="M1227" s="11">
        <v>401.76</v>
      </c>
      <c r="N1227" s="11">
        <f t="shared" si="39"/>
        <v>3749.76</v>
      </c>
    </row>
    <row r="1228" spans="3:14" x14ac:dyDescent="0.3">
      <c r="C1228" s="6">
        <v>44126</v>
      </c>
      <c r="D1228" s="7" t="s">
        <v>130</v>
      </c>
      <c r="E1228" s="8">
        <v>2020</v>
      </c>
      <c r="F1228" s="9" t="s">
        <v>135</v>
      </c>
      <c r="G1228" s="9" t="s">
        <v>24</v>
      </c>
      <c r="H1228" s="10" t="s">
        <v>165</v>
      </c>
      <c r="I1228" s="7">
        <v>41</v>
      </c>
      <c r="J1228" s="11">
        <v>20</v>
      </c>
      <c r="K1228" s="11">
        <f t="shared" si="38"/>
        <v>820</v>
      </c>
      <c r="L1228" s="11">
        <v>0</v>
      </c>
      <c r="M1228" s="11">
        <v>98.399999999999991</v>
      </c>
      <c r="N1228" s="11">
        <f t="shared" si="39"/>
        <v>918.4</v>
      </c>
    </row>
    <row r="1229" spans="3:14" x14ac:dyDescent="0.3">
      <c r="C1229" s="6">
        <v>44126</v>
      </c>
      <c r="D1229" s="7" t="s">
        <v>130</v>
      </c>
      <c r="E1229" s="8">
        <v>2020</v>
      </c>
      <c r="F1229" s="9" t="s">
        <v>135</v>
      </c>
      <c r="G1229" s="9" t="s">
        <v>24</v>
      </c>
      <c r="H1229" s="10" t="s">
        <v>107</v>
      </c>
      <c r="I1229" s="7">
        <v>81</v>
      </c>
      <c r="J1229" s="11">
        <v>58</v>
      </c>
      <c r="K1229" s="11">
        <f t="shared" si="38"/>
        <v>4698</v>
      </c>
      <c r="L1229" s="11">
        <v>0</v>
      </c>
      <c r="M1229" s="11">
        <v>563.76</v>
      </c>
      <c r="N1229" s="11">
        <f t="shared" si="39"/>
        <v>5261.76</v>
      </c>
    </row>
    <row r="1230" spans="3:14" x14ac:dyDescent="0.3">
      <c r="C1230" s="6">
        <v>44126</v>
      </c>
      <c r="D1230" s="7" t="s">
        <v>130</v>
      </c>
      <c r="E1230" s="8">
        <v>2020</v>
      </c>
      <c r="F1230" s="9" t="s">
        <v>135</v>
      </c>
      <c r="G1230" s="9" t="s">
        <v>37</v>
      </c>
      <c r="H1230" s="10" t="s">
        <v>46</v>
      </c>
      <c r="I1230" s="7">
        <v>87</v>
      </c>
      <c r="J1230" s="11">
        <v>51</v>
      </c>
      <c r="K1230" s="11">
        <f t="shared" si="38"/>
        <v>4437</v>
      </c>
      <c r="L1230" s="11">
        <v>0.25</v>
      </c>
      <c r="M1230" s="11">
        <v>532.43999999999994</v>
      </c>
      <c r="N1230" s="11">
        <f t="shared" si="39"/>
        <v>4969.1899999999996</v>
      </c>
    </row>
    <row r="1231" spans="3:14" x14ac:dyDescent="0.3">
      <c r="C1231" s="6">
        <v>44126</v>
      </c>
      <c r="D1231" s="7" t="s">
        <v>130</v>
      </c>
      <c r="E1231" s="8">
        <v>2020</v>
      </c>
      <c r="F1231" s="9" t="s">
        <v>135</v>
      </c>
      <c r="G1231" s="9" t="s">
        <v>42</v>
      </c>
      <c r="H1231" s="10" t="s">
        <v>72</v>
      </c>
      <c r="I1231" s="7">
        <v>30</v>
      </c>
      <c r="J1231" s="11">
        <v>41</v>
      </c>
      <c r="K1231" s="11">
        <f t="shared" si="38"/>
        <v>1230</v>
      </c>
      <c r="L1231" s="11">
        <v>0.25</v>
      </c>
      <c r="M1231" s="11">
        <v>147.6</v>
      </c>
      <c r="N1231" s="11">
        <f t="shared" si="39"/>
        <v>1377.35</v>
      </c>
    </row>
    <row r="1232" spans="3:14" x14ac:dyDescent="0.3">
      <c r="C1232" s="6">
        <v>44126</v>
      </c>
      <c r="D1232" s="7" t="s">
        <v>130</v>
      </c>
      <c r="E1232" s="8">
        <v>2020</v>
      </c>
      <c r="F1232" s="9" t="s">
        <v>135</v>
      </c>
      <c r="G1232" s="9" t="s">
        <v>32</v>
      </c>
      <c r="H1232" s="10" t="s">
        <v>143</v>
      </c>
      <c r="I1232" s="7">
        <v>36</v>
      </c>
      <c r="J1232" s="11">
        <v>58</v>
      </c>
      <c r="K1232" s="11">
        <f t="shared" si="38"/>
        <v>2088</v>
      </c>
      <c r="L1232" s="11">
        <v>0.25</v>
      </c>
      <c r="M1232" s="11">
        <v>250.56</v>
      </c>
      <c r="N1232" s="11">
        <f t="shared" si="39"/>
        <v>2338.31</v>
      </c>
    </row>
    <row r="1233" spans="3:14" x14ac:dyDescent="0.3">
      <c r="C1233" s="6">
        <v>44126</v>
      </c>
      <c r="D1233" s="7" t="s">
        <v>130</v>
      </c>
      <c r="E1233" s="8">
        <v>2020</v>
      </c>
      <c r="F1233" s="9" t="s">
        <v>135</v>
      </c>
      <c r="G1233" s="9" t="s">
        <v>16</v>
      </c>
      <c r="H1233" s="10" t="s">
        <v>68</v>
      </c>
      <c r="I1233" s="7">
        <v>43</v>
      </c>
      <c r="J1233" s="11">
        <v>97</v>
      </c>
      <c r="K1233" s="11">
        <f t="shared" si="38"/>
        <v>4171</v>
      </c>
      <c r="L1233" s="11">
        <v>0.25</v>
      </c>
      <c r="M1233" s="11">
        <v>500.52</v>
      </c>
      <c r="N1233" s="11">
        <f t="shared" si="39"/>
        <v>4671.2700000000004</v>
      </c>
    </row>
    <row r="1234" spans="3:14" x14ac:dyDescent="0.3">
      <c r="C1234" s="6">
        <v>44126</v>
      </c>
      <c r="D1234" s="7" t="s">
        <v>130</v>
      </c>
      <c r="E1234" s="8">
        <v>2020</v>
      </c>
      <c r="F1234" s="9" t="s">
        <v>135</v>
      </c>
      <c r="G1234" s="9" t="s">
        <v>24</v>
      </c>
      <c r="H1234" s="10" t="s">
        <v>128</v>
      </c>
      <c r="I1234" s="7">
        <v>47</v>
      </c>
      <c r="J1234" s="11">
        <v>70</v>
      </c>
      <c r="K1234" s="11">
        <f t="shared" si="38"/>
        <v>3290</v>
      </c>
      <c r="L1234" s="11">
        <v>0.25</v>
      </c>
      <c r="M1234" s="11">
        <v>394.8</v>
      </c>
      <c r="N1234" s="11">
        <f t="shared" si="39"/>
        <v>3684.55</v>
      </c>
    </row>
    <row r="1235" spans="3:14" x14ac:dyDescent="0.3">
      <c r="C1235" s="6">
        <v>44127</v>
      </c>
      <c r="D1235" s="7" t="s">
        <v>130</v>
      </c>
      <c r="E1235" s="8">
        <v>2020</v>
      </c>
      <c r="F1235" s="9" t="s">
        <v>141</v>
      </c>
      <c r="G1235" s="9" t="s">
        <v>24</v>
      </c>
      <c r="H1235" s="10" t="s">
        <v>85</v>
      </c>
      <c r="I1235" s="7">
        <v>1</v>
      </c>
      <c r="J1235" s="11">
        <v>98</v>
      </c>
      <c r="K1235" s="11">
        <f t="shared" si="38"/>
        <v>98</v>
      </c>
      <c r="L1235" s="11">
        <v>0</v>
      </c>
      <c r="M1235" s="11">
        <v>11.76</v>
      </c>
      <c r="N1235" s="11">
        <f t="shared" si="39"/>
        <v>109.76</v>
      </c>
    </row>
    <row r="1236" spans="3:14" x14ac:dyDescent="0.3">
      <c r="C1236" s="6">
        <v>44127</v>
      </c>
      <c r="D1236" s="7" t="s">
        <v>130</v>
      </c>
      <c r="E1236" s="8">
        <v>2020</v>
      </c>
      <c r="F1236" s="9" t="s">
        <v>141</v>
      </c>
      <c r="G1236" s="9" t="s">
        <v>14</v>
      </c>
      <c r="H1236" s="10" t="s">
        <v>87</v>
      </c>
      <c r="I1236" s="7">
        <v>67</v>
      </c>
      <c r="J1236" s="11">
        <v>46</v>
      </c>
      <c r="K1236" s="11">
        <f t="shared" si="38"/>
        <v>3082</v>
      </c>
      <c r="L1236" s="11">
        <v>0</v>
      </c>
      <c r="M1236" s="11">
        <v>369.84</v>
      </c>
      <c r="N1236" s="11">
        <f t="shared" si="39"/>
        <v>3451.84</v>
      </c>
    </row>
    <row r="1237" spans="3:14" x14ac:dyDescent="0.3">
      <c r="C1237" s="6">
        <v>44128</v>
      </c>
      <c r="D1237" s="7" t="s">
        <v>130</v>
      </c>
      <c r="E1237" s="8">
        <v>2020</v>
      </c>
      <c r="F1237" s="9" t="s">
        <v>180</v>
      </c>
      <c r="G1237" s="9" t="s">
        <v>32</v>
      </c>
      <c r="H1237" s="10" t="s">
        <v>59</v>
      </c>
      <c r="I1237" s="7">
        <v>23</v>
      </c>
      <c r="J1237" s="11">
        <v>51</v>
      </c>
      <c r="K1237" s="11">
        <f t="shared" si="38"/>
        <v>1173</v>
      </c>
      <c r="L1237" s="11">
        <v>0</v>
      </c>
      <c r="M1237" s="11">
        <v>140.76</v>
      </c>
      <c r="N1237" s="11">
        <f t="shared" si="39"/>
        <v>1313.76</v>
      </c>
    </row>
    <row r="1238" spans="3:14" x14ac:dyDescent="0.3">
      <c r="C1238" s="6">
        <v>44128</v>
      </c>
      <c r="D1238" s="7" t="s">
        <v>130</v>
      </c>
      <c r="E1238" s="8">
        <v>2020</v>
      </c>
      <c r="F1238" s="9" t="s">
        <v>180</v>
      </c>
      <c r="G1238" s="9" t="s">
        <v>20</v>
      </c>
      <c r="H1238" s="10" t="s">
        <v>22</v>
      </c>
      <c r="I1238" s="7">
        <v>8</v>
      </c>
      <c r="J1238" s="11">
        <v>99</v>
      </c>
      <c r="K1238" s="11">
        <f t="shared" si="38"/>
        <v>792</v>
      </c>
      <c r="L1238" s="11">
        <v>0</v>
      </c>
      <c r="M1238" s="11">
        <v>95.039999999999992</v>
      </c>
      <c r="N1238" s="11">
        <f t="shared" si="39"/>
        <v>887.04</v>
      </c>
    </row>
    <row r="1239" spans="3:14" x14ac:dyDescent="0.3">
      <c r="C1239" s="6">
        <v>44128</v>
      </c>
      <c r="D1239" s="7" t="s">
        <v>130</v>
      </c>
      <c r="E1239" s="8">
        <v>2020</v>
      </c>
      <c r="F1239" s="9" t="s">
        <v>180</v>
      </c>
      <c r="G1239" s="9" t="s">
        <v>26</v>
      </c>
      <c r="H1239" s="10" t="s">
        <v>173</v>
      </c>
      <c r="I1239" s="7">
        <v>10</v>
      </c>
      <c r="J1239" s="11">
        <v>12</v>
      </c>
      <c r="K1239" s="11">
        <f t="shared" si="38"/>
        <v>120</v>
      </c>
      <c r="L1239" s="11">
        <v>0</v>
      </c>
      <c r="M1239" s="11">
        <v>14.399999999999999</v>
      </c>
      <c r="N1239" s="11">
        <f t="shared" si="39"/>
        <v>134.4</v>
      </c>
    </row>
    <row r="1240" spans="3:14" x14ac:dyDescent="0.3">
      <c r="C1240" s="6">
        <v>44128</v>
      </c>
      <c r="D1240" s="7" t="s">
        <v>130</v>
      </c>
      <c r="E1240" s="8">
        <v>2020</v>
      </c>
      <c r="F1240" s="9" t="s">
        <v>75</v>
      </c>
      <c r="G1240" s="9" t="s">
        <v>32</v>
      </c>
      <c r="H1240" s="10" t="s">
        <v>59</v>
      </c>
      <c r="I1240" s="7">
        <v>87</v>
      </c>
      <c r="J1240" s="11">
        <v>65</v>
      </c>
      <c r="K1240" s="11">
        <f t="shared" si="38"/>
        <v>5655</v>
      </c>
      <c r="L1240" s="11">
        <v>5.0000000745058101E-2</v>
      </c>
      <c r="M1240" s="11">
        <v>678.6</v>
      </c>
      <c r="N1240" s="11">
        <f t="shared" si="39"/>
        <v>6333.5499999992553</v>
      </c>
    </row>
    <row r="1241" spans="3:14" x14ac:dyDescent="0.3">
      <c r="C1241" s="6">
        <v>44128</v>
      </c>
      <c r="D1241" s="7" t="s">
        <v>130</v>
      </c>
      <c r="E1241" s="8">
        <v>2020</v>
      </c>
      <c r="F1241" s="9" t="s">
        <v>75</v>
      </c>
      <c r="G1241" s="9" t="s">
        <v>42</v>
      </c>
      <c r="H1241" s="10" t="s">
        <v>109</v>
      </c>
      <c r="I1241" s="7">
        <v>99</v>
      </c>
      <c r="J1241" s="11">
        <v>60</v>
      </c>
      <c r="K1241" s="11">
        <f t="shared" si="38"/>
        <v>5940</v>
      </c>
      <c r="L1241" s="11">
        <v>0</v>
      </c>
      <c r="M1241" s="11">
        <v>712.8</v>
      </c>
      <c r="N1241" s="11">
        <f t="shared" si="39"/>
        <v>6652.8</v>
      </c>
    </row>
    <row r="1242" spans="3:14" x14ac:dyDescent="0.3">
      <c r="C1242" s="6">
        <v>44128</v>
      </c>
      <c r="D1242" s="7" t="s">
        <v>130</v>
      </c>
      <c r="E1242" s="8">
        <v>2020</v>
      </c>
      <c r="F1242" s="9" t="s">
        <v>75</v>
      </c>
      <c r="G1242" s="9" t="s">
        <v>14</v>
      </c>
      <c r="H1242" s="10" t="s">
        <v>117</v>
      </c>
      <c r="I1242" s="7">
        <v>25</v>
      </c>
      <c r="J1242" s="11">
        <v>39</v>
      </c>
      <c r="K1242" s="11">
        <f t="shared" si="38"/>
        <v>975</v>
      </c>
      <c r="L1242" s="11">
        <v>5.0000000745058101E-2</v>
      </c>
      <c r="M1242" s="11">
        <v>117</v>
      </c>
      <c r="N1242" s="11">
        <f t="shared" si="39"/>
        <v>1091.9499999992549</v>
      </c>
    </row>
    <row r="1243" spans="3:14" x14ac:dyDescent="0.3">
      <c r="C1243" s="6">
        <v>44131</v>
      </c>
      <c r="D1243" s="7" t="s">
        <v>130</v>
      </c>
      <c r="E1243" s="8">
        <v>2020</v>
      </c>
      <c r="F1243" s="9" t="s">
        <v>133</v>
      </c>
      <c r="G1243" s="9" t="s">
        <v>14</v>
      </c>
      <c r="H1243" s="10" t="s">
        <v>74</v>
      </c>
      <c r="I1243" s="7">
        <v>35</v>
      </c>
      <c r="J1243" s="11">
        <v>22</v>
      </c>
      <c r="K1243" s="11">
        <f t="shared" si="38"/>
        <v>770</v>
      </c>
      <c r="L1243" s="11">
        <v>0</v>
      </c>
      <c r="M1243" s="11">
        <v>92.399999999999991</v>
      </c>
      <c r="N1243" s="11">
        <f t="shared" si="39"/>
        <v>862.4</v>
      </c>
    </row>
    <row r="1244" spans="3:14" x14ac:dyDescent="0.3">
      <c r="C1244" s="6">
        <v>44131</v>
      </c>
      <c r="D1244" s="7" t="s">
        <v>130</v>
      </c>
      <c r="E1244" s="8">
        <v>2020</v>
      </c>
      <c r="F1244" s="9" t="s">
        <v>133</v>
      </c>
      <c r="G1244" s="9" t="s">
        <v>32</v>
      </c>
      <c r="H1244" s="10" t="s">
        <v>47</v>
      </c>
      <c r="I1244" s="7">
        <v>65</v>
      </c>
      <c r="J1244" s="11">
        <v>50</v>
      </c>
      <c r="K1244" s="11">
        <f t="shared" si="38"/>
        <v>3250</v>
      </c>
      <c r="L1244" s="11">
        <v>0</v>
      </c>
      <c r="M1244" s="11">
        <v>390</v>
      </c>
      <c r="N1244" s="11">
        <f t="shared" si="39"/>
        <v>3640</v>
      </c>
    </row>
    <row r="1245" spans="3:14" x14ac:dyDescent="0.3">
      <c r="C1245" s="6">
        <v>44131</v>
      </c>
      <c r="D1245" s="7" t="s">
        <v>130</v>
      </c>
      <c r="E1245" s="8">
        <v>2020</v>
      </c>
      <c r="F1245" s="9" t="s">
        <v>133</v>
      </c>
      <c r="G1245" s="9" t="s">
        <v>24</v>
      </c>
      <c r="H1245" s="10" t="s">
        <v>48</v>
      </c>
      <c r="I1245" s="7">
        <v>11</v>
      </c>
      <c r="J1245" s="11">
        <v>93</v>
      </c>
      <c r="K1245" s="11">
        <f t="shared" si="38"/>
        <v>1023</v>
      </c>
      <c r="L1245" s="11">
        <v>0</v>
      </c>
      <c r="M1245" s="11">
        <v>122.75999999999999</v>
      </c>
      <c r="N1245" s="11">
        <f t="shared" si="39"/>
        <v>1145.76</v>
      </c>
    </row>
    <row r="1246" spans="3:14" x14ac:dyDescent="0.3">
      <c r="C1246" s="6">
        <v>44131</v>
      </c>
      <c r="D1246" s="7" t="s">
        <v>130</v>
      </c>
      <c r="E1246" s="8">
        <v>2020</v>
      </c>
      <c r="F1246" s="9" t="s">
        <v>133</v>
      </c>
      <c r="G1246" s="9" t="s">
        <v>32</v>
      </c>
      <c r="H1246" s="10" t="s">
        <v>62</v>
      </c>
      <c r="I1246" s="7">
        <v>58</v>
      </c>
      <c r="J1246" s="11">
        <v>91</v>
      </c>
      <c r="K1246" s="11">
        <f t="shared" si="38"/>
        <v>5278</v>
      </c>
      <c r="L1246" s="11">
        <v>0</v>
      </c>
      <c r="M1246" s="11">
        <v>633.36</v>
      </c>
      <c r="N1246" s="11">
        <f t="shared" si="39"/>
        <v>5911.36</v>
      </c>
    </row>
    <row r="1247" spans="3:14" x14ac:dyDescent="0.3">
      <c r="C1247" s="6">
        <v>44131</v>
      </c>
      <c r="D1247" s="7" t="s">
        <v>130</v>
      </c>
      <c r="E1247" s="8">
        <v>2020</v>
      </c>
      <c r="F1247" s="9" t="s">
        <v>193</v>
      </c>
      <c r="G1247" s="9" t="s">
        <v>24</v>
      </c>
      <c r="H1247" s="10" t="s">
        <v>115</v>
      </c>
      <c r="I1247" s="7">
        <v>54</v>
      </c>
      <c r="J1247" s="11">
        <v>11</v>
      </c>
      <c r="K1247" s="11">
        <f t="shared" si="38"/>
        <v>594</v>
      </c>
      <c r="L1247" s="11">
        <v>0.25</v>
      </c>
      <c r="M1247" s="11">
        <v>71.28</v>
      </c>
      <c r="N1247" s="11">
        <f t="shared" si="39"/>
        <v>665.03</v>
      </c>
    </row>
    <row r="1248" spans="3:14" x14ac:dyDescent="0.3">
      <c r="C1248" s="6">
        <v>44131</v>
      </c>
      <c r="D1248" s="7" t="s">
        <v>130</v>
      </c>
      <c r="E1248" s="8">
        <v>2020</v>
      </c>
      <c r="F1248" s="9" t="s">
        <v>193</v>
      </c>
      <c r="G1248" s="9" t="s">
        <v>24</v>
      </c>
      <c r="H1248" s="10" t="s">
        <v>69</v>
      </c>
      <c r="I1248" s="7">
        <v>62</v>
      </c>
      <c r="J1248" s="11">
        <v>58</v>
      </c>
      <c r="K1248" s="11">
        <f t="shared" si="38"/>
        <v>3596</v>
      </c>
      <c r="L1248" s="11">
        <v>0.25</v>
      </c>
      <c r="M1248" s="11">
        <v>431.52</v>
      </c>
      <c r="N1248" s="11">
        <f t="shared" si="39"/>
        <v>4027.27</v>
      </c>
    </row>
    <row r="1249" spans="3:14" x14ac:dyDescent="0.3">
      <c r="C1249" s="6">
        <v>44131</v>
      </c>
      <c r="D1249" s="7" t="s">
        <v>130</v>
      </c>
      <c r="E1249" s="8">
        <v>2020</v>
      </c>
      <c r="F1249" s="9" t="s">
        <v>193</v>
      </c>
      <c r="G1249" s="9" t="s">
        <v>42</v>
      </c>
      <c r="H1249" s="10" t="s">
        <v>109</v>
      </c>
      <c r="I1249" s="7">
        <v>13</v>
      </c>
      <c r="J1249" s="11">
        <v>27</v>
      </c>
      <c r="K1249" s="11">
        <f t="shared" si="38"/>
        <v>351</v>
      </c>
      <c r="L1249" s="11">
        <v>0.25</v>
      </c>
      <c r="M1249" s="11">
        <v>42.12</v>
      </c>
      <c r="N1249" s="11">
        <f t="shared" si="39"/>
        <v>392.87</v>
      </c>
    </row>
    <row r="1250" spans="3:14" x14ac:dyDescent="0.3">
      <c r="C1250" s="6">
        <v>44132</v>
      </c>
      <c r="D1250" s="7" t="s">
        <v>130</v>
      </c>
      <c r="E1250" s="8">
        <v>2020</v>
      </c>
      <c r="F1250" s="9" t="s">
        <v>64</v>
      </c>
      <c r="G1250" s="9" t="s">
        <v>37</v>
      </c>
      <c r="H1250" s="10" t="s">
        <v>65</v>
      </c>
      <c r="I1250" s="7">
        <v>10</v>
      </c>
      <c r="J1250" s="11">
        <v>96</v>
      </c>
      <c r="K1250" s="11">
        <f t="shared" si="38"/>
        <v>960</v>
      </c>
      <c r="L1250" s="11">
        <v>0</v>
      </c>
      <c r="M1250" s="11">
        <v>115.19999999999999</v>
      </c>
      <c r="N1250" s="11">
        <f t="shared" si="39"/>
        <v>1075.2</v>
      </c>
    </row>
    <row r="1251" spans="3:14" x14ac:dyDescent="0.3">
      <c r="C1251" s="6">
        <v>44132</v>
      </c>
      <c r="D1251" s="7" t="s">
        <v>130</v>
      </c>
      <c r="E1251" s="8">
        <v>2020</v>
      </c>
      <c r="F1251" s="9" t="s">
        <v>64</v>
      </c>
      <c r="G1251" s="9" t="s">
        <v>14</v>
      </c>
      <c r="H1251" s="10" t="s">
        <v>87</v>
      </c>
      <c r="I1251" s="7">
        <v>93</v>
      </c>
      <c r="J1251" s="11">
        <v>80</v>
      </c>
      <c r="K1251" s="11">
        <f t="shared" si="38"/>
        <v>7440</v>
      </c>
      <c r="L1251" s="11">
        <v>0</v>
      </c>
      <c r="M1251" s="11">
        <v>892.8</v>
      </c>
      <c r="N1251" s="11">
        <f t="shared" si="39"/>
        <v>8332.7999999999993</v>
      </c>
    </row>
    <row r="1252" spans="3:14" x14ac:dyDescent="0.3">
      <c r="C1252" s="6">
        <v>44133</v>
      </c>
      <c r="D1252" s="7" t="s">
        <v>130</v>
      </c>
      <c r="E1252" s="8">
        <v>2020</v>
      </c>
      <c r="F1252" s="9" t="s">
        <v>84</v>
      </c>
      <c r="G1252" s="9" t="s">
        <v>26</v>
      </c>
      <c r="H1252" s="10" t="s">
        <v>94</v>
      </c>
      <c r="I1252" s="7">
        <v>93</v>
      </c>
      <c r="J1252" s="11">
        <v>46</v>
      </c>
      <c r="K1252" s="11">
        <f t="shared" si="38"/>
        <v>4278</v>
      </c>
      <c r="L1252" s="11">
        <v>5.0000000745058101E-2</v>
      </c>
      <c r="M1252" s="11">
        <v>513.36</v>
      </c>
      <c r="N1252" s="11">
        <f t="shared" si="39"/>
        <v>4791.3099999992546</v>
      </c>
    </row>
    <row r="1253" spans="3:14" x14ac:dyDescent="0.3">
      <c r="C1253" s="6">
        <v>44133</v>
      </c>
      <c r="D1253" s="7" t="s">
        <v>130</v>
      </c>
      <c r="E1253" s="8">
        <v>2020</v>
      </c>
      <c r="F1253" s="9" t="s">
        <v>135</v>
      </c>
      <c r="G1253" s="9" t="s">
        <v>37</v>
      </c>
      <c r="H1253" s="10" t="s">
        <v>46</v>
      </c>
      <c r="I1253" s="7">
        <v>63</v>
      </c>
      <c r="J1253" s="11">
        <v>38</v>
      </c>
      <c r="K1253" s="11">
        <f t="shared" si="38"/>
        <v>2394</v>
      </c>
      <c r="L1253" s="11">
        <v>0</v>
      </c>
      <c r="M1253" s="11">
        <v>287.27999999999997</v>
      </c>
      <c r="N1253" s="11">
        <f t="shared" si="39"/>
        <v>2681.2799999999997</v>
      </c>
    </row>
    <row r="1254" spans="3:14" x14ac:dyDescent="0.3">
      <c r="C1254" s="6">
        <v>44133</v>
      </c>
      <c r="D1254" s="7" t="s">
        <v>130</v>
      </c>
      <c r="E1254" s="8">
        <v>2020</v>
      </c>
      <c r="F1254" s="9" t="s">
        <v>135</v>
      </c>
      <c r="G1254" s="9" t="s">
        <v>14</v>
      </c>
      <c r="H1254" s="10" t="s">
        <v>36</v>
      </c>
      <c r="I1254" s="7">
        <v>76</v>
      </c>
      <c r="J1254" s="11">
        <v>79</v>
      </c>
      <c r="K1254" s="11">
        <f t="shared" si="38"/>
        <v>6004</v>
      </c>
      <c r="L1254" s="11">
        <v>0</v>
      </c>
      <c r="M1254" s="11">
        <v>720.48</v>
      </c>
      <c r="N1254" s="11">
        <f t="shared" si="39"/>
        <v>6724.48</v>
      </c>
    </row>
    <row r="1255" spans="3:14" x14ac:dyDescent="0.3">
      <c r="C1255" s="6">
        <v>44133</v>
      </c>
      <c r="D1255" s="7" t="s">
        <v>130</v>
      </c>
      <c r="E1255" s="8">
        <v>2020</v>
      </c>
      <c r="F1255" s="9" t="s">
        <v>135</v>
      </c>
      <c r="G1255" s="9" t="s">
        <v>32</v>
      </c>
      <c r="H1255" s="10" t="s">
        <v>110</v>
      </c>
      <c r="I1255" s="7">
        <v>42</v>
      </c>
      <c r="J1255" s="11">
        <v>33</v>
      </c>
      <c r="K1255" s="11">
        <f t="shared" si="38"/>
        <v>1386</v>
      </c>
      <c r="L1255" s="11">
        <v>0</v>
      </c>
      <c r="M1255" s="11">
        <v>166.32</v>
      </c>
      <c r="N1255" s="11">
        <f t="shared" si="39"/>
        <v>1552.32</v>
      </c>
    </row>
    <row r="1256" spans="3:14" x14ac:dyDescent="0.3">
      <c r="C1256" s="6">
        <v>44133</v>
      </c>
      <c r="D1256" s="7" t="s">
        <v>130</v>
      </c>
      <c r="E1256" s="8">
        <v>2020</v>
      </c>
      <c r="F1256" s="9" t="s">
        <v>135</v>
      </c>
      <c r="G1256" s="9" t="s">
        <v>37</v>
      </c>
      <c r="H1256" s="10" t="s">
        <v>98</v>
      </c>
      <c r="I1256" s="7">
        <v>41</v>
      </c>
      <c r="J1256" s="11">
        <v>64</v>
      </c>
      <c r="K1256" s="11">
        <f t="shared" si="38"/>
        <v>2624</v>
      </c>
      <c r="L1256" s="11">
        <v>0</v>
      </c>
      <c r="M1256" s="11">
        <v>314.88</v>
      </c>
      <c r="N1256" s="11">
        <f t="shared" si="39"/>
        <v>2938.88</v>
      </c>
    </row>
    <row r="1257" spans="3:14" x14ac:dyDescent="0.3">
      <c r="C1257" s="6">
        <v>44134</v>
      </c>
      <c r="D1257" s="7" t="s">
        <v>130</v>
      </c>
      <c r="E1257" s="8">
        <v>2020</v>
      </c>
      <c r="F1257" s="9" t="s">
        <v>80</v>
      </c>
      <c r="G1257" s="9" t="s">
        <v>32</v>
      </c>
      <c r="H1257" s="10" t="s">
        <v>140</v>
      </c>
      <c r="I1257" s="7">
        <v>45</v>
      </c>
      <c r="J1257" s="11">
        <v>18</v>
      </c>
      <c r="K1257" s="11">
        <f t="shared" si="38"/>
        <v>810</v>
      </c>
      <c r="L1257" s="11">
        <v>0</v>
      </c>
      <c r="M1257" s="11">
        <v>97.2</v>
      </c>
      <c r="N1257" s="11">
        <f t="shared" si="39"/>
        <v>907.2</v>
      </c>
    </row>
    <row r="1258" spans="3:14" x14ac:dyDescent="0.3">
      <c r="C1258" s="6">
        <v>44134</v>
      </c>
      <c r="D1258" s="7" t="s">
        <v>130</v>
      </c>
      <c r="E1258" s="8">
        <v>2020</v>
      </c>
      <c r="F1258" s="9" t="s">
        <v>142</v>
      </c>
      <c r="G1258" s="9" t="s">
        <v>24</v>
      </c>
      <c r="H1258" s="10" t="s">
        <v>85</v>
      </c>
      <c r="I1258" s="7">
        <v>46</v>
      </c>
      <c r="J1258" s="11">
        <v>83</v>
      </c>
      <c r="K1258" s="11">
        <f t="shared" si="38"/>
        <v>3818</v>
      </c>
      <c r="L1258" s="11">
        <v>0</v>
      </c>
      <c r="M1258" s="11">
        <v>458.15999999999997</v>
      </c>
      <c r="N1258" s="11">
        <f t="shared" si="39"/>
        <v>4276.16</v>
      </c>
    </row>
    <row r="1259" spans="3:14" x14ac:dyDescent="0.3">
      <c r="C1259" s="6">
        <v>44134</v>
      </c>
      <c r="D1259" s="7" t="s">
        <v>130</v>
      </c>
      <c r="E1259" s="8">
        <v>2020</v>
      </c>
      <c r="F1259" s="9" t="s">
        <v>142</v>
      </c>
      <c r="G1259" s="9" t="s">
        <v>26</v>
      </c>
      <c r="H1259" s="10" t="s">
        <v>173</v>
      </c>
      <c r="I1259" s="7">
        <v>98</v>
      </c>
      <c r="J1259" s="11">
        <v>98</v>
      </c>
      <c r="K1259" s="11">
        <f t="shared" si="38"/>
        <v>9604</v>
      </c>
      <c r="L1259" s="11">
        <v>0</v>
      </c>
      <c r="M1259" s="11">
        <v>1152.48</v>
      </c>
      <c r="N1259" s="11">
        <f t="shared" si="39"/>
        <v>10756.48</v>
      </c>
    </row>
    <row r="1260" spans="3:14" x14ac:dyDescent="0.3">
      <c r="C1260" s="6">
        <v>44135</v>
      </c>
      <c r="D1260" s="7" t="s">
        <v>130</v>
      </c>
      <c r="E1260" s="8">
        <v>2020</v>
      </c>
      <c r="F1260" s="9" t="s">
        <v>149</v>
      </c>
      <c r="G1260" s="9" t="s">
        <v>24</v>
      </c>
      <c r="H1260" s="10" t="s">
        <v>25</v>
      </c>
      <c r="I1260" s="7">
        <v>19</v>
      </c>
      <c r="J1260" s="11">
        <v>74</v>
      </c>
      <c r="K1260" s="11">
        <f t="shared" si="38"/>
        <v>1406</v>
      </c>
      <c r="L1260" s="11">
        <v>0</v>
      </c>
      <c r="M1260" s="11">
        <v>168.72</v>
      </c>
      <c r="N1260" s="11">
        <f t="shared" si="39"/>
        <v>1574.72</v>
      </c>
    </row>
    <row r="1261" spans="3:14" x14ac:dyDescent="0.3">
      <c r="C1261" s="6">
        <v>44135</v>
      </c>
      <c r="D1261" s="7" t="s">
        <v>130</v>
      </c>
      <c r="E1261" s="8">
        <v>2020</v>
      </c>
      <c r="F1261" s="9" t="s">
        <v>149</v>
      </c>
      <c r="G1261" s="9" t="s">
        <v>16</v>
      </c>
      <c r="H1261" s="10" t="s">
        <v>132</v>
      </c>
      <c r="I1261" s="7">
        <v>76</v>
      </c>
      <c r="J1261" s="11">
        <v>72</v>
      </c>
      <c r="K1261" s="11">
        <f t="shared" si="38"/>
        <v>5472</v>
      </c>
      <c r="L1261" s="11">
        <v>0</v>
      </c>
      <c r="M1261" s="11">
        <v>656.64</v>
      </c>
      <c r="N1261" s="11">
        <f t="shared" si="39"/>
        <v>6128.64</v>
      </c>
    </row>
    <row r="1262" spans="3:14" x14ac:dyDescent="0.3">
      <c r="C1262" s="6">
        <v>44135</v>
      </c>
      <c r="D1262" s="7" t="s">
        <v>130</v>
      </c>
      <c r="E1262" s="8">
        <v>2020</v>
      </c>
      <c r="F1262" s="9" t="s">
        <v>149</v>
      </c>
      <c r="G1262" s="9" t="s">
        <v>42</v>
      </c>
      <c r="H1262" s="10" t="s">
        <v>43</v>
      </c>
      <c r="I1262" s="7">
        <v>97</v>
      </c>
      <c r="J1262" s="11">
        <v>96</v>
      </c>
      <c r="K1262" s="11">
        <f t="shared" si="38"/>
        <v>9312</v>
      </c>
      <c r="L1262" s="11">
        <v>0</v>
      </c>
      <c r="M1262" s="11">
        <v>1117.44</v>
      </c>
      <c r="N1262" s="11">
        <f t="shared" si="39"/>
        <v>10429.44</v>
      </c>
    </row>
    <row r="1263" spans="3:14" x14ac:dyDescent="0.3">
      <c r="C1263" s="6">
        <v>44138</v>
      </c>
      <c r="D1263" s="7" t="s">
        <v>147</v>
      </c>
      <c r="E1263" s="8">
        <v>2020</v>
      </c>
      <c r="F1263" s="9" t="s">
        <v>156</v>
      </c>
      <c r="G1263" s="9" t="s">
        <v>26</v>
      </c>
      <c r="H1263" s="10" t="s">
        <v>124</v>
      </c>
      <c r="I1263" s="7">
        <v>40</v>
      </c>
      <c r="J1263" s="11">
        <v>68</v>
      </c>
      <c r="K1263" s="11">
        <f t="shared" si="38"/>
        <v>2720</v>
      </c>
      <c r="L1263" s="11">
        <v>0</v>
      </c>
      <c r="M1263" s="11">
        <v>326.39999999999998</v>
      </c>
      <c r="N1263" s="11">
        <f t="shared" si="39"/>
        <v>3046.4</v>
      </c>
    </row>
    <row r="1264" spans="3:14" x14ac:dyDescent="0.3">
      <c r="C1264" s="6">
        <v>44138</v>
      </c>
      <c r="D1264" s="7" t="s">
        <v>147</v>
      </c>
      <c r="E1264" s="8">
        <v>2020</v>
      </c>
      <c r="F1264" s="9" t="s">
        <v>156</v>
      </c>
      <c r="G1264" s="9" t="s">
        <v>14</v>
      </c>
      <c r="H1264" s="10" t="s">
        <v>15</v>
      </c>
      <c r="I1264" s="7">
        <v>43</v>
      </c>
      <c r="J1264" s="11">
        <v>96</v>
      </c>
      <c r="K1264" s="11">
        <f t="shared" si="38"/>
        <v>4128</v>
      </c>
      <c r="L1264" s="11">
        <v>0</v>
      </c>
      <c r="M1264" s="11">
        <v>495.35999999999996</v>
      </c>
      <c r="N1264" s="11">
        <f t="shared" si="39"/>
        <v>4623.3599999999997</v>
      </c>
    </row>
    <row r="1265" spans="3:14" x14ac:dyDescent="0.3">
      <c r="C1265" s="6">
        <v>44138</v>
      </c>
      <c r="D1265" s="7" t="s">
        <v>147</v>
      </c>
      <c r="E1265" s="8">
        <v>2020</v>
      </c>
      <c r="F1265" s="9" t="s">
        <v>108</v>
      </c>
      <c r="G1265" s="9" t="s">
        <v>42</v>
      </c>
      <c r="H1265" s="10" t="s">
        <v>72</v>
      </c>
      <c r="I1265" s="7">
        <v>5</v>
      </c>
      <c r="J1265" s="11">
        <v>65</v>
      </c>
      <c r="K1265" s="11">
        <f t="shared" si="38"/>
        <v>325</v>
      </c>
      <c r="L1265" s="11">
        <v>5.0000000745058101E-2</v>
      </c>
      <c r="M1265" s="11">
        <v>39</v>
      </c>
      <c r="N1265" s="11">
        <f t="shared" si="39"/>
        <v>363.94999999925494</v>
      </c>
    </row>
    <row r="1266" spans="3:14" x14ac:dyDescent="0.3">
      <c r="C1266" s="6">
        <v>44138</v>
      </c>
      <c r="D1266" s="7" t="s">
        <v>147</v>
      </c>
      <c r="E1266" s="8">
        <v>2020</v>
      </c>
      <c r="F1266" s="9" t="s">
        <v>108</v>
      </c>
      <c r="G1266" s="9" t="s">
        <v>16</v>
      </c>
      <c r="H1266" s="10" t="s">
        <v>68</v>
      </c>
      <c r="I1266" s="7">
        <v>52</v>
      </c>
      <c r="J1266" s="11">
        <v>46</v>
      </c>
      <c r="K1266" s="11">
        <f t="shared" si="38"/>
        <v>2392</v>
      </c>
      <c r="L1266" s="11">
        <v>5.0000000745058101E-2</v>
      </c>
      <c r="M1266" s="11">
        <v>287.03999999999996</v>
      </c>
      <c r="N1266" s="11">
        <f t="shared" si="39"/>
        <v>2678.9899999992549</v>
      </c>
    </row>
    <row r="1267" spans="3:14" x14ac:dyDescent="0.3">
      <c r="C1267" s="6">
        <v>44138</v>
      </c>
      <c r="D1267" s="7" t="s">
        <v>147</v>
      </c>
      <c r="E1267" s="8">
        <v>2020</v>
      </c>
      <c r="F1267" s="9" t="s">
        <v>108</v>
      </c>
      <c r="G1267" s="9" t="s">
        <v>14</v>
      </c>
      <c r="H1267" s="10" t="s">
        <v>49</v>
      </c>
      <c r="I1267" s="7">
        <v>7</v>
      </c>
      <c r="J1267" s="11">
        <v>42</v>
      </c>
      <c r="K1267" s="11">
        <f t="shared" si="38"/>
        <v>294</v>
      </c>
      <c r="L1267" s="11">
        <v>5.0000000745058101E-2</v>
      </c>
      <c r="M1267" s="11">
        <v>35.28</v>
      </c>
      <c r="N1267" s="11">
        <f t="shared" si="39"/>
        <v>329.22999999925491</v>
      </c>
    </row>
    <row r="1268" spans="3:14" x14ac:dyDescent="0.3">
      <c r="C1268" s="6">
        <v>44139</v>
      </c>
      <c r="D1268" s="7" t="s">
        <v>147</v>
      </c>
      <c r="E1268" s="8">
        <v>2020</v>
      </c>
      <c r="F1268" s="9" t="s">
        <v>161</v>
      </c>
      <c r="G1268" s="9" t="s">
        <v>24</v>
      </c>
      <c r="H1268" s="10" t="s">
        <v>69</v>
      </c>
      <c r="I1268" s="7">
        <v>15</v>
      </c>
      <c r="J1268" s="11">
        <v>48</v>
      </c>
      <c r="K1268" s="11">
        <f t="shared" si="38"/>
        <v>720</v>
      </c>
      <c r="L1268" s="11">
        <v>0</v>
      </c>
      <c r="M1268" s="11">
        <v>86.399999999999991</v>
      </c>
      <c r="N1268" s="11">
        <f t="shared" si="39"/>
        <v>806.4</v>
      </c>
    </row>
    <row r="1269" spans="3:14" x14ac:dyDescent="0.3">
      <c r="C1269" s="6">
        <v>44139</v>
      </c>
      <c r="D1269" s="7" t="s">
        <v>147</v>
      </c>
      <c r="E1269" s="8">
        <v>2020</v>
      </c>
      <c r="F1269" s="9" t="s">
        <v>161</v>
      </c>
      <c r="G1269" s="9" t="s">
        <v>24</v>
      </c>
      <c r="H1269" s="10" t="s">
        <v>76</v>
      </c>
      <c r="I1269" s="7">
        <v>58</v>
      </c>
      <c r="J1269" s="11">
        <v>43</v>
      </c>
      <c r="K1269" s="11">
        <f t="shared" si="38"/>
        <v>2494</v>
      </c>
      <c r="L1269" s="11">
        <v>0</v>
      </c>
      <c r="M1269" s="11">
        <v>299.27999999999997</v>
      </c>
      <c r="N1269" s="11">
        <f t="shared" si="39"/>
        <v>2793.2799999999997</v>
      </c>
    </row>
    <row r="1270" spans="3:14" x14ac:dyDescent="0.3">
      <c r="C1270" s="6">
        <v>44139</v>
      </c>
      <c r="D1270" s="7" t="s">
        <v>147</v>
      </c>
      <c r="E1270" s="8">
        <v>2020</v>
      </c>
      <c r="F1270" s="9" t="s">
        <v>161</v>
      </c>
      <c r="G1270" s="9" t="s">
        <v>42</v>
      </c>
      <c r="H1270" s="10" t="s">
        <v>43</v>
      </c>
      <c r="I1270" s="7">
        <v>54</v>
      </c>
      <c r="J1270" s="11">
        <v>18</v>
      </c>
      <c r="K1270" s="11">
        <f t="shared" si="38"/>
        <v>972</v>
      </c>
      <c r="L1270" s="11">
        <v>0</v>
      </c>
      <c r="M1270" s="11">
        <v>116.64</v>
      </c>
      <c r="N1270" s="11">
        <f t="shared" si="39"/>
        <v>1088.6400000000001</v>
      </c>
    </row>
    <row r="1271" spans="3:14" x14ac:dyDescent="0.3">
      <c r="C1271" s="6">
        <v>44139</v>
      </c>
      <c r="D1271" s="7" t="s">
        <v>147</v>
      </c>
      <c r="E1271" s="8">
        <v>2020</v>
      </c>
      <c r="F1271" s="9" t="s">
        <v>161</v>
      </c>
      <c r="G1271" s="9" t="s">
        <v>14</v>
      </c>
      <c r="H1271" s="10" t="s">
        <v>35</v>
      </c>
      <c r="I1271" s="7">
        <v>80</v>
      </c>
      <c r="J1271" s="11">
        <v>14</v>
      </c>
      <c r="K1271" s="11">
        <f t="shared" si="38"/>
        <v>1120</v>
      </c>
      <c r="L1271" s="11">
        <v>0</v>
      </c>
      <c r="M1271" s="11">
        <v>134.4</v>
      </c>
      <c r="N1271" s="11">
        <f t="shared" si="39"/>
        <v>1254.4000000000001</v>
      </c>
    </row>
    <row r="1272" spans="3:14" x14ac:dyDescent="0.3">
      <c r="C1272" s="6">
        <v>44139</v>
      </c>
      <c r="D1272" s="7" t="s">
        <v>147</v>
      </c>
      <c r="E1272" s="8">
        <v>2020</v>
      </c>
      <c r="F1272" s="9" t="s">
        <v>169</v>
      </c>
      <c r="G1272" s="9" t="s">
        <v>37</v>
      </c>
      <c r="H1272" s="10" t="s">
        <v>104</v>
      </c>
      <c r="I1272" s="7">
        <v>18</v>
      </c>
      <c r="J1272" s="11">
        <v>28</v>
      </c>
      <c r="K1272" s="11">
        <f t="shared" si="38"/>
        <v>504</v>
      </c>
      <c r="L1272" s="11">
        <v>0</v>
      </c>
      <c r="M1272" s="11">
        <v>60.48</v>
      </c>
      <c r="N1272" s="11">
        <f t="shared" si="39"/>
        <v>564.48</v>
      </c>
    </row>
    <row r="1273" spans="3:14" x14ac:dyDescent="0.3">
      <c r="C1273" s="6">
        <v>44139</v>
      </c>
      <c r="D1273" s="7" t="s">
        <v>147</v>
      </c>
      <c r="E1273" s="8">
        <v>2020</v>
      </c>
      <c r="F1273" s="9" t="s">
        <v>169</v>
      </c>
      <c r="G1273" s="9" t="s">
        <v>32</v>
      </c>
      <c r="H1273" s="10" t="s">
        <v>59</v>
      </c>
      <c r="I1273" s="7">
        <v>33</v>
      </c>
      <c r="J1273" s="11">
        <v>35</v>
      </c>
      <c r="K1273" s="11">
        <f t="shared" si="38"/>
        <v>1155</v>
      </c>
      <c r="L1273" s="11">
        <v>0</v>
      </c>
      <c r="M1273" s="11">
        <v>138.6</v>
      </c>
      <c r="N1273" s="11">
        <f t="shared" si="39"/>
        <v>1293.5999999999999</v>
      </c>
    </row>
    <row r="1274" spans="3:14" x14ac:dyDescent="0.3">
      <c r="C1274" s="6">
        <v>44139</v>
      </c>
      <c r="D1274" s="7" t="s">
        <v>147</v>
      </c>
      <c r="E1274" s="8">
        <v>2020</v>
      </c>
      <c r="F1274" s="9" t="s">
        <v>169</v>
      </c>
      <c r="G1274" s="9" t="s">
        <v>32</v>
      </c>
      <c r="H1274" s="10" t="s">
        <v>151</v>
      </c>
      <c r="I1274" s="7">
        <v>29</v>
      </c>
      <c r="J1274" s="11">
        <v>13</v>
      </c>
      <c r="K1274" s="11">
        <f t="shared" si="38"/>
        <v>377</v>
      </c>
      <c r="L1274" s="11">
        <v>0</v>
      </c>
      <c r="M1274" s="11">
        <v>45.239999999999995</v>
      </c>
      <c r="N1274" s="11">
        <f t="shared" si="39"/>
        <v>422.24</v>
      </c>
    </row>
    <row r="1275" spans="3:14" x14ac:dyDescent="0.3">
      <c r="C1275" s="6">
        <v>44140</v>
      </c>
      <c r="D1275" s="7" t="s">
        <v>147</v>
      </c>
      <c r="E1275" s="8">
        <v>2020</v>
      </c>
      <c r="F1275" s="9" t="s">
        <v>141</v>
      </c>
      <c r="G1275" s="9" t="s">
        <v>32</v>
      </c>
      <c r="H1275" s="10" t="s">
        <v>47</v>
      </c>
      <c r="I1275" s="7">
        <v>25</v>
      </c>
      <c r="J1275" s="11">
        <v>31</v>
      </c>
      <c r="K1275" s="11">
        <f t="shared" si="38"/>
        <v>775</v>
      </c>
      <c r="L1275" s="11">
        <v>5.0000000745058101E-2</v>
      </c>
      <c r="M1275" s="11">
        <v>93</v>
      </c>
      <c r="N1275" s="11">
        <f t="shared" si="39"/>
        <v>867.94999999925494</v>
      </c>
    </row>
    <row r="1276" spans="3:14" x14ac:dyDescent="0.3">
      <c r="C1276" s="6">
        <v>44140</v>
      </c>
      <c r="D1276" s="7" t="s">
        <v>147</v>
      </c>
      <c r="E1276" s="8">
        <v>2020</v>
      </c>
      <c r="F1276" s="9" t="s">
        <v>141</v>
      </c>
      <c r="G1276" s="9" t="s">
        <v>14</v>
      </c>
      <c r="H1276" s="10" t="s">
        <v>36</v>
      </c>
      <c r="I1276" s="7">
        <v>95</v>
      </c>
      <c r="J1276" s="11">
        <v>82</v>
      </c>
      <c r="K1276" s="11">
        <f t="shared" si="38"/>
        <v>7790</v>
      </c>
      <c r="L1276" s="11">
        <v>5.0000000745058101E-2</v>
      </c>
      <c r="M1276" s="11">
        <v>934.8</v>
      </c>
      <c r="N1276" s="11">
        <f t="shared" si="39"/>
        <v>8724.7499999992542</v>
      </c>
    </row>
    <row r="1277" spans="3:14" x14ac:dyDescent="0.3">
      <c r="C1277" s="6">
        <v>44140</v>
      </c>
      <c r="D1277" s="7" t="s">
        <v>147</v>
      </c>
      <c r="E1277" s="8">
        <v>2020</v>
      </c>
      <c r="F1277" s="9" t="s">
        <v>141</v>
      </c>
      <c r="G1277" s="9" t="s">
        <v>26</v>
      </c>
      <c r="H1277" s="10" t="s">
        <v>27</v>
      </c>
      <c r="I1277" s="7">
        <v>24</v>
      </c>
      <c r="J1277" s="11">
        <v>87</v>
      </c>
      <c r="K1277" s="11">
        <f t="shared" si="38"/>
        <v>2088</v>
      </c>
      <c r="L1277" s="11">
        <v>5.0000000745058101E-2</v>
      </c>
      <c r="M1277" s="11">
        <v>250.56</v>
      </c>
      <c r="N1277" s="11">
        <f t="shared" si="39"/>
        <v>2338.5099999992549</v>
      </c>
    </row>
    <row r="1278" spans="3:14" x14ac:dyDescent="0.3">
      <c r="C1278" s="6">
        <v>44141</v>
      </c>
      <c r="D1278" s="7" t="s">
        <v>147</v>
      </c>
      <c r="E1278" s="8">
        <v>2020</v>
      </c>
      <c r="F1278" s="9" t="s">
        <v>40</v>
      </c>
      <c r="G1278" s="9" t="s">
        <v>32</v>
      </c>
      <c r="H1278" s="10" t="s">
        <v>59</v>
      </c>
      <c r="I1278" s="7">
        <v>80</v>
      </c>
      <c r="J1278" s="11">
        <v>61</v>
      </c>
      <c r="K1278" s="11">
        <f t="shared" si="38"/>
        <v>4880</v>
      </c>
      <c r="L1278" s="11">
        <v>5.0000000745058101E-2</v>
      </c>
      <c r="M1278" s="11">
        <v>585.6</v>
      </c>
      <c r="N1278" s="11">
        <f t="shared" si="39"/>
        <v>5465.5499999992553</v>
      </c>
    </row>
    <row r="1279" spans="3:14" x14ac:dyDescent="0.3">
      <c r="C1279" s="6">
        <v>44141</v>
      </c>
      <c r="D1279" s="7" t="s">
        <v>147</v>
      </c>
      <c r="E1279" s="8">
        <v>2020</v>
      </c>
      <c r="F1279" s="9" t="s">
        <v>40</v>
      </c>
      <c r="G1279" s="9" t="s">
        <v>20</v>
      </c>
      <c r="H1279" s="10" t="s">
        <v>22</v>
      </c>
      <c r="I1279" s="7">
        <v>39</v>
      </c>
      <c r="J1279" s="11">
        <v>34</v>
      </c>
      <c r="K1279" s="11">
        <f t="shared" si="38"/>
        <v>1326</v>
      </c>
      <c r="L1279" s="11">
        <v>5.0000000745058101E-2</v>
      </c>
      <c r="M1279" s="11">
        <v>159.12</v>
      </c>
      <c r="N1279" s="11">
        <f t="shared" si="39"/>
        <v>1485.0699999992548</v>
      </c>
    </row>
    <row r="1280" spans="3:14" x14ac:dyDescent="0.3">
      <c r="C1280" s="6">
        <v>44141</v>
      </c>
      <c r="D1280" s="7" t="s">
        <v>147</v>
      </c>
      <c r="E1280" s="8">
        <v>2020</v>
      </c>
      <c r="F1280" s="9" t="s">
        <v>141</v>
      </c>
      <c r="G1280" s="9" t="s">
        <v>37</v>
      </c>
      <c r="H1280" s="10" t="s">
        <v>77</v>
      </c>
      <c r="I1280" s="7">
        <v>19</v>
      </c>
      <c r="J1280" s="11">
        <v>50</v>
      </c>
      <c r="K1280" s="11">
        <f t="shared" si="38"/>
        <v>950</v>
      </c>
      <c r="L1280" s="11">
        <v>0</v>
      </c>
      <c r="M1280" s="11">
        <v>114</v>
      </c>
      <c r="N1280" s="11">
        <f t="shared" si="39"/>
        <v>1064</v>
      </c>
    </row>
    <row r="1281" spans="3:14" x14ac:dyDescent="0.3">
      <c r="C1281" s="6">
        <v>44142</v>
      </c>
      <c r="D1281" s="7" t="s">
        <v>147</v>
      </c>
      <c r="E1281" s="8">
        <v>2020</v>
      </c>
      <c r="F1281" s="9" t="s">
        <v>93</v>
      </c>
      <c r="G1281" s="9" t="s">
        <v>20</v>
      </c>
      <c r="H1281" s="10" t="s">
        <v>136</v>
      </c>
      <c r="I1281" s="7">
        <v>2</v>
      </c>
      <c r="J1281" s="11">
        <v>36</v>
      </c>
      <c r="K1281" s="11">
        <f t="shared" si="38"/>
        <v>72</v>
      </c>
      <c r="L1281" s="11">
        <v>0</v>
      </c>
      <c r="M1281" s="11">
        <v>8.64</v>
      </c>
      <c r="N1281" s="11">
        <f t="shared" si="39"/>
        <v>80.64</v>
      </c>
    </row>
    <row r="1282" spans="3:14" x14ac:dyDescent="0.3">
      <c r="C1282" s="6">
        <v>44142</v>
      </c>
      <c r="D1282" s="7" t="s">
        <v>147</v>
      </c>
      <c r="E1282" s="8">
        <v>2020</v>
      </c>
      <c r="F1282" s="9" t="s">
        <v>93</v>
      </c>
      <c r="G1282" s="9" t="s">
        <v>20</v>
      </c>
      <c r="H1282" s="10" t="s">
        <v>92</v>
      </c>
      <c r="I1282" s="7">
        <v>35</v>
      </c>
      <c r="J1282" s="11">
        <v>45</v>
      </c>
      <c r="K1282" s="11">
        <f t="shared" si="38"/>
        <v>1575</v>
      </c>
      <c r="L1282" s="11">
        <v>0</v>
      </c>
      <c r="M1282" s="11">
        <v>189</v>
      </c>
      <c r="N1282" s="11">
        <f t="shared" si="39"/>
        <v>1764</v>
      </c>
    </row>
    <row r="1283" spans="3:14" x14ac:dyDescent="0.3">
      <c r="C1283" s="6">
        <v>44142</v>
      </c>
      <c r="D1283" s="7" t="s">
        <v>147</v>
      </c>
      <c r="E1283" s="8">
        <v>2020</v>
      </c>
      <c r="F1283" s="9" t="s">
        <v>93</v>
      </c>
      <c r="G1283" s="9" t="s">
        <v>16</v>
      </c>
      <c r="H1283" s="10" t="s">
        <v>132</v>
      </c>
      <c r="I1283" s="7">
        <v>24</v>
      </c>
      <c r="J1283" s="11">
        <v>19</v>
      </c>
      <c r="K1283" s="11">
        <f t="shared" ref="K1283:K1346" si="40">J1283*I1283</f>
        <v>456</v>
      </c>
      <c r="L1283" s="11">
        <v>0</v>
      </c>
      <c r="M1283" s="11">
        <v>54.72</v>
      </c>
      <c r="N1283" s="11">
        <f t="shared" ref="N1283:N1346" si="41">K1283-L1283+M1283</f>
        <v>510.72</v>
      </c>
    </row>
    <row r="1284" spans="3:14" x14ac:dyDescent="0.3">
      <c r="C1284" s="6">
        <v>44142</v>
      </c>
      <c r="D1284" s="7" t="s">
        <v>147</v>
      </c>
      <c r="E1284" s="8">
        <v>2020</v>
      </c>
      <c r="F1284" s="9" t="s">
        <v>176</v>
      </c>
      <c r="G1284" s="9" t="s">
        <v>26</v>
      </c>
      <c r="H1284" s="10" t="s">
        <v>125</v>
      </c>
      <c r="I1284" s="7">
        <v>81</v>
      </c>
      <c r="J1284" s="11">
        <v>49</v>
      </c>
      <c r="K1284" s="11">
        <f t="shared" si="40"/>
        <v>3969</v>
      </c>
      <c r="L1284" s="11">
        <v>0</v>
      </c>
      <c r="M1284" s="11">
        <v>476.28</v>
      </c>
      <c r="N1284" s="11">
        <f t="shared" si="41"/>
        <v>4445.28</v>
      </c>
    </row>
    <row r="1285" spans="3:14" x14ac:dyDescent="0.3">
      <c r="C1285" s="6">
        <v>44142</v>
      </c>
      <c r="D1285" s="7" t="s">
        <v>147</v>
      </c>
      <c r="E1285" s="8">
        <v>2020</v>
      </c>
      <c r="F1285" s="9" t="s">
        <v>176</v>
      </c>
      <c r="G1285" s="9" t="s">
        <v>24</v>
      </c>
      <c r="H1285" s="10" t="s">
        <v>69</v>
      </c>
      <c r="I1285" s="7">
        <v>65</v>
      </c>
      <c r="J1285" s="11">
        <v>30</v>
      </c>
      <c r="K1285" s="11">
        <f t="shared" si="40"/>
        <v>1950</v>
      </c>
      <c r="L1285" s="11">
        <v>0</v>
      </c>
      <c r="M1285" s="11">
        <v>234</v>
      </c>
      <c r="N1285" s="11">
        <f t="shared" si="41"/>
        <v>2184</v>
      </c>
    </row>
    <row r="1286" spans="3:14" x14ac:dyDescent="0.3">
      <c r="C1286" s="6">
        <v>44142</v>
      </c>
      <c r="D1286" s="7" t="s">
        <v>147</v>
      </c>
      <c r="E1286" s="8">
        <v>2020</v>
      </c>
      <c r="F1286" s="9" t="s">
        <v>176</v>
      </c>
      <c r="G1286" s="9" t="s">
        <v>37</v>
      </c>
      <c r="H1286" s="10" t="s">
        <v>77</v>
      </c>
      <c r="I1286" s="7">
        <v>63</v>
      </c>
      <c r="J1286" s="11">
        <v>73</v>
      </c>
      <c r="K1286" s="11">
        <f t="shared" si="40"/>
        <v>4599</v>
      </c>
      <c r="L1286" s="11">
        <v>0</v>
      </c>
      <c r="M1286" s="11">
        <v>551.88</v>
      </c>
      <c r="N1286" s="11">
        <f t="shared" si="41"/>
        <v>5150.88</v>
      </c>
    </row>
    <row r="1287" spans="3:14" x14ac:dyDescent="0.3">
      <c r="C1287" s="6">
        <v>44145</v>
      </c>
      <c r="D1287" s="7" t="s">
        <v>147</v>
      </c>
      <c r="E1287" s="8">
        <v>2020</v>
      </c>
      <c r="F1287" s="9" t="s">
        <v>193</v>
      </c>
      <c r="G1287" s="9" t="s">
        <v>26</v>
      </c>
      <c r="H1287" s="10" t="s">
        <v>173</v>
      </c>
      <c r="I1287" s="7">
        <v>8</v>
      </c>
      <c r="J1287" s="11">
        <v>72</v>
      </c>
      <c r="K1287" s="11">
        <f t="shared" si="40"/>
        <v>576</v>
      </c>
      <c r="L1287" s="11">
        <v>0.10000000149011599</v>
      </c>
      <c r="M1287" s="11">
        <v>69.12</v>
      </c>
      <c r="N1287" s="11">
        <f t="shared" si="41"/>
        <v>645.01999999850989</v>
      </c>
    </row>
    <row r="1288" spans="3:14" x14ac:dyDescent="0.3">
      <c r="C1288" s="6">
        <v>44145</v>
      </c>
      <c r="D1288" s="7" t="s">
        <v>147</v>
      </c>
      <c r="E1288" s="8">
        <v>2020</v>
      </c>
      <c r="F1288" s="9" t="s">
        <v>193</v>
      </c>
      <c r="G1288" s="9" t="s">
        <v>26</v>
      </c>
      <c r="H1288" s="10" t="s">
        <v>52</v>
      </c>
      <c r="I1288" s="7">
        <v>46</v>
      </c>
      <c r="J1288" s="11">
        <v>100</v>
      </c>
      <c r="K1288" s="11">
        <f t="shared" si="40"/>
        <v>4600</v>
      </c>
      <c r="L1288" s="11">
        <v>0.10000000149011599</v>
      </c>
      <c r="M1288" s="11">
        <v>552</v>
      </c>
      <c r="N1288" s="11">
        <f t="shared" si="41"/>
        <v>5151.8999999985099</v>
      </c>
    </row>
    <row r="1289" spans="3:14" x14ac:dyDescent="0.3">
      <c r="C1289" s="6">
        <v>44146</v>
      </c>
      <c r="D1289" s="7" t="s">
        <v>147</v>
      </c>
      <c r="E1289" s="8">
        <v>2020</v>
      </c>
      <c r="F1289" s="9" t="s">
        <v>118</v>
      </c>
      <c r="G1289" s="9" t="s">
        <v>26</v>
      </c>
      <c r="H1289" s="10" t="s">
        <v>27</v>
      </c>
      <c r="I1289" s="7">
        <v>72</v>
      </c>
      <c r="J1289" s="11">
        <v>77</v>
      </c>
      <c r="K1289" s="11">
        <f t="shared" si="40"/>
        <v>5544</v>
      </c>
      <c r="L1289" s="11">
        <v>0</v>
      </c>
      <c r="M1289" s="11">
        <v>665.28</v>
      </c>
      <c r="N1289" s="11">
        <f t="shared" si="41"/>
        <v>6209.28</v>
      </c>
    </row>
    <row r="1290" spans="3:14" x14ac:dyDescent="0.3">
      <c r="C1290" s="6">
        <v>44146</v>
      </c>
      <c r="D1290" s="7" t="s">
        <v>147</v>
      </c>
      <c r="E1290" s="8">
        <v>2020</v>
      </c>
      <c r="F1290" s="9" t="s">
        <v>118</v>
      </c>
      <c r="G1290" s="9" t="s">
        <v>37</v>
      </c>
      <c r="H1290" s="10" t="s">
        <v>98</v>
      </c>
      <c r="I1290" s="7">
        <v>9</v>
      </c>
      <c r="J1290" s="11">
        <v>62</v>
      </c>
      <c r="K1290" s="11">
        <f t="shared" si="40"/>
        <v>558</v>
      </c>
      <c r="L1290" s="11">
        <v>0</v>
      </c>
      <c r="M1290" s="11">
        <v>66.959999999999994</v>
      </c>
      <c r="N1290" s="11">
        <f t="shared" si="41"/>
        <v>624.96</v>
      </c>
    </row>
    <row r="1291" spans="3:14" x14ac:dyDescent="0.3">
      <c r="C1291" s="6">
        <v>44146</v>
      </c>
      <c r="D1291" s="7" t="s">
        <v>147</v>
      </c>
      <c r="E1291" s="8">
        <v>2020</v>
      </c>
      <c r="F1291" s="9" t="s">
        <v>86</v>
      </c>
      <c r="G1291" s="9" t="s">
        <v>24</v>
      </c>
      <c r="H1291" s="10" t="s">
        <v>90</v>
      </c>
      <c r="I1291" s="7">
        <v>46</v>
      </c>
      <c r="J1291" s="11">
        <v>43</v>
      </c>
      <c r="K1291" s="11">
        <f t="shared" si="40"/>
        <v>1978</v>
      </c>
      <c r="L1291" s="11">
        <v>0</v>
      </c>
      <c r="M1291" s="11">
        <v>237.35999999999999</v>
      </c>
      <c r="N1291" s="11">
        <f t="shared" si="41"/>
        <v>2215.36</v>
      </c>
    </row>
    <row r="1292" spans="3:14" x14ac:dyDescent="0.3">
      <c r="C1292" s="6">
        <v>44146</v>
      </c>
      <c r="D1292" s="7" t="s">
        <v>147</v>
      </c>
      <c r="E1292" s="8">
        <v>2020</v>
      </c>
      <c r="F1292" s="9" t="s">
        <v>86</v>
      </c>
      <c r="G1292" s="9" t="s">
        <v>24</v>
      </c>
      <c r="H1292" s="10" t="s">
        <v>25</v>
      </c>
      <c r="I1292" s="7">
        <v>26</v>
      </c>
      <c r="J1292" s="11">
        <v>48</v>
      </c>
      <c r="K1292" s="11">
        <f t="shared" si="40"/>
        <v>1248</v>
      </c>
      <c r="L1292" s="11">
        <v>0</v>
      </c>
      <c r="M1292" s="11">
        <v>149.76</v>
      </c>
      <c r="N1292" s="11">
        <f t="shared" si="41"/>
        <v>1397.76</v>
      </c>
    </row>
    <row r="1293" spans="3:14" x14ac:dyDescent="0.3">
      <c r="C1293" s="6">
        <v>44147</v>
      </c>
      <c r="D1293" s="7" t="s">
        <v>147</v>
      </c>
      <c r="E1293" s="8">
        <v>2020</v>
      </c>
      <c r="F1293" s="9" t="s">
        <v>197</v>
      </c>
      <c r="G1293" s="9" t="s">
        <v>32</v>
      </c>
      <c r="H1293" s="10" t="s">
        <v>47</v>
      </c>
      <c r="I1293" s="7">
        <v>83</v>
      </c>
      <c r="J1293" s="11">
        <v>44</v>
      </c>
      <c r="K1293" s="11">
        <f t="shared" si="40"/>
        <v>3652</v>
      </c>
      <c r="L1293" s="11">
        <v>0</v>
      </c>
      <c r="M1293" s="11">
        <v>438.24</v>
      </c>
      <c r="N1293" s="11">
        <f t="shared" si="41"/>
        <v>4090.24</v>
      </c>
    </row>
    <row r="1294" spans="3:14" x14ac:dyDescent="0.3">
      <c r="C1294" s="6">
        <v>44147</v>
      </c>
      <c r="D1294" s="7" t="s">
        <v>147</v>
      </c>
      <c r="E1294" s="8">
        <v>2020</v>
      </c>
      <c r="F1294" s="9" t="s">
        <v>86</v>
      </c>
      <c r="G1294" s="9" t="s">
        <v>24</v>
      </c>
      <c r="H1294" s="10" t="s">
        <v>48</v>
      </c>
      <c r="I1294" s="7">
        <v>18</v>
      </c>
      <c r="J1294" s="11">
        <v>24</v>
      </c>
      <c r="K1294" s="11">
        <f t="shared" si="40"/>
        <v>432</v>
      </c>
      <c r="L1294" s="11">
        <v>0</v>
      </c>
      <c r="M1294" s="11">
        <v>51.839999999999996</v>
      </c>
      <c r="N1294" s="11">
        <f t="shared" si="41"/>
        <v>483.84</v>
      </c>
    </row>
    <row r="1295" spans="3:14" x14ac:dyDescent="0.3">
      <c r="C1295" s="6">
        <v>44147</v>
      </c>
      <c r="D1295" s="7" t="s">
        <v>147</v>
      </c>
      <c r="E1295" s="8">
        <v>2020</v>
      </c>
      <c r="F1295" s="9" t="s">
        <v>86</v>
      </c>
      <c r="G1295" s="9" t="s">
        <v>16</v>
      </c>
      <c r="H1295" s="10" t="s">
        <v>132</v>
      </c>
      <c r="I1295" s="7">
        <v>76</v>
      </c>
      <c r="J1295" s="11">
        <v>67</v>
      </c>
      <c r="K1295" s="11">
        <f t="shared" si="40"/>
        <v>5092</v>
      </c>
      <c r="L1295" s="11">
        <v>0</v>
      </c>
      <c r="M1295" s="11">
        <v>611.04</v>
      </c>
      <c r="N1295" s="11">
        <f t="shared" si="41"/>
        <v>5703.04</v>
      </c>
    </row>
    <row r="1296" spans="3:14" x14ac:dyDescent="0.3">
      <c r="C1296" s="6">
        <v>44148</v>
      </c>
      <c r="D1296" s="7" t="s">
        <v>147</v>
      </c>
      <c r="E1296" s="8">
        <v>2020</v>
      </c>
      <c r="F1296" s="9" t="s">
        <v>80</v>
      </c>
      <c r="G1296" s="9" t="s">
        <v>20</v>
      </c>
      <c r="H1296" s="10" t="s">
        <v>92</v>
      </c>
      <c r="I1296" s="7">
        <v>82</v>
      </c>
      <c r="J1296" s="11">
        <v>78</v>
      </c>
      <c r="K1296" s="11">
        <f t="shared" si="40"/>
        <v>6396</v>
      </c>
      <c r="L1296" s="11">
        <v>0.20000000298023199</v>
      </c>
      <c r="M1296" s="11">
        <v>767.52</v>
      </c>
      <c r="N1296" s="11">
        <f t="shared" si="41"/>
        <v>7163.3199999970202</v>
      </c>
    </row>
    <row r="1297" spans="3:14" x14ac:dyDescent="0.3">
      <c r="C1297" s="6">
        <v>44148</v>
      </c>
      <c r="D1297" s="7" t="s">
        <v>147</v>
      </c>
      <c r="E1297" s="8">
        <v>2020</v>
      </c>
      <c r="F1297" s="9" t="s">
        <v>80</v>
      </c>
      <c r="G1297" s="9" t="s">
        <v>37</v>
      </c>
      <c r="H1297" s="10" t="s">
        <v>65</v>
      </c>
      <c r="I1297" s="7">
        <v>67</v>
      </c>
      <c r="J1297" s="11">
        <v>20</v>
      </c>
      <c r="K1297" s="11">
        <f t="shared" si="40"/>
        <v>1340</v>
      </c>
      <c r="L1297" s="11">
        <v>0.20000000298023199</v>
      </c>
      <c r="M1297" s="11">
        <v>160.79999999999998</v>
      </c>
      <c r="N1297" s="11">
        <f t="shared" si="41"/>
        <v>1500.5999999970197</v>
      </c>
    </row>
    <row r="1298" spans="3:14" x14ac:dyDescent="0.3">
      <c r="C1298" s="6">
        <v>44148</v>
      </c>
      <c r="D1298" s="7" t="s">
        <v>147</v>
      </c>
      <c r="E1298" s="8">
        <v>2020</v>
      </c>
      <c r="F1298" s="9" t="s">
        <v>80</v>
      </c>
      <c r="G1298" s="9" t="s">
        <v>24</v>
      </c>
      <c r="H1298" s="10" t="s">
        <v>165</v>
      </c>
      <c r="I1298" s="7">
        <v>26</v>
      </c>
      <c r="J1298" s="11">
        <v>56</v>
      </c>
      <c r="K1298" s="11">
        <f t="shared" si="40"/>
        <v>1456</v>
      </c>
      <c r="L1298" s="11">
        <v>0.20000000298023199</v>
      </c>
      <c r="M1298" s="11">
        <v>174.72</v>
      </c>
      <c r="N1298" s="11">
        <f t="shared" si="41"/>
        <v>1630.5199999970198</v>
      </c>
    </row>
    <row r="1299" spans="3:14" x14ac:dyDescent="0.3">
      <c r="C1299" s="6">
        <v>44148</v>
      </c>
      <c r="D1299" s="7" t="s">
        <v>147</v>
      </c>
      <c r="E1299" s="8">
        <v>2020</v>
      </c>
      <c r="F1299" s="9" t="s">
        <v>80</v>
      </c>
      <c r="G1299" s="9" t="s">
        <v>16</v>
      </c>
      <c r="H1299" s="10" t="s">
        <v>68</v>
      </c>
      <c r="I1299" s="7">
        <v>35</v>
      </c>
      <c r="J1299" s="11">
        <v>88</v>
      </c>
      <c r="K1299" s="11">
        <f t="shared" si="40"/>
        <v>3080</v>
      </c>
      <c r="L1299" s="11">
        <v>0.20000000298023199</v>
      </c>
      <c r="M1299" s="11">
        <v>369.59999999999997</v>
      </c>
      <c r="N1299" s="11">
        <f t="shared" si="41"/>
        <v>3449.3999999970197</v>
      </c>
    </row>
    <row r="1300" spans="3:14" x14ac:dyDescent="0.3">
      <c r="C1300" s="6">
        <v>44149</v>
      </c>
      <c r="D1300" s="7" t="s">
        <v>147</v>
      </c>
      <c r="E1300" s="8">
        <v>2020</v>
      </c>
      <c r="F1300" s="9" t="s">
        <v>153</v>
      </c>
      <c r="G1300" s="9" t="s">
        <v>37</v>
      </c>
      <c r="H1300" s="10" t="s">
        <v>46</v>
      </c>
      <c r="I1300" s="7">
        <v>32</v>
      </c>
      <c r="J1300" s="11">
        <v>36</v>
      </c>
      <c r="K1300" s="11">
        <f t="shared" si="40"/>
        <v>1152</v>
      </c>
      <c r="L1300" s="11">
        <v>0.20000000298023199</v>
      </c>
      <c r="M1300" s="11">
        <v>138.24</v>
      </c>
      <c r="N1300" s="11">
        <f t="shared" si="41"/>
        <v>1290.0399999970198</v>
      </c>
    </row>
    <row r="1301" spans="3:14" x14ac:dyDescent="0.3">
      <c r="C1301" s="6">
        <v>44149</v>
      </c>
      <c r="D1301" s="7" t="s">
        <v>147</v>
      </c>
      <c r="E1301" s="8">
        <v>2020</v>
      </c>
      <c r="F1301" s="9" t="s">
        <v>166</v>
      </c>
      <c r="G1301" s="9" t="s">
        <v>26</v>
      </c>
      <c r="H1301" s="10" t="s">
        <v>112</v>
      </c>
      <c r="I1301" s="7">
        <v>8</v>
      </c>
      <c r="J1301" s="11">
        <v>37</v>
      </c>
      <c r="K1301" s="11">
        <f t="shared" si="40"/>
        <v>296</v>
      </c>
      <c r="L1301" s="11">
        <v>0</v>
      </c>
      <c r="M1301" s="11">
        <v>35.519999999999996</v>
      </c>
      <c r="N1301" s="11">
        <f t="shared" si="41"/>
        <v>331.52</v>
      </c>
    </row>
    <row r="1302" spans="3:14" x14ac:dyDescent="0.3">
      <c r="C1302" s="6">
        <v>44149</v>
      </c>
      <c r="D1302" s="7" t="s">
        <v>147</v>
      </c>
      <c r="E1302" s="8">
        <v>2020</v>
      </c>
      <c r="F1302" s="9" t="s">
        <v>166</v>
      </c>
      <c r="G1302" s="9" t="s">
        <v>14</v>
      </c>
      <c r="H1302" s="10" t="s">
        <v>35</v>
      </c>
      <c r="I1302" s="7">
        <v>21</v>
      </c>
      <c r="J1302" s="11">
        <v>31</v>
      </c>
      <c r="K1302" s="11">
        <f t="shared" si="40"/>
        <v>651</v>
      </c>
      <c r="L1302" s="11">
        <v>0</v>
      </c>
      <c r="M1302" s="11">
        <v>78.11999999999999</v>
      </c>
      <c r="N1302" s="11">
        <f t="shared" si="41"/>
        <v>729.12</v>
      </c>
    </row>
    <row r="1303" spans="3:14" x14ac:dyDescent="0.3">
      <c r="C1303" s="6">
        <v>44149</v>
      </c>
      <c r="D1303" s="7" t="s">
        <v>147</v>
      </c>
      <c r="E1303" s="8">
        <v>2020</v>
      </c>
      <c r="F1303" s="9" t="s">
        <v>166</v>
      </c>
      <c r="G1303" s="9" t="s">
        <v>14</v>
      </c>
      <c r="H1303" s="10" t="s">
        <v>18</v>
      </c>
      <c r="I1303" s="7">
        <v>22</v>
      </c>
      <c r="J1303" s="11">
        <v>10</v>
      </c>
      <c r="K1303" s="11">
        <f t="shared" si="40"/>
        <v>220</v>
      </c>
      <c r="L1303" s="11">
        <v>0</v>
      </c>
      <c r="M1303" s="11">
        <v>26.4</v>
      </c>
      <c r="N1303" s="11">
        <f t="shared" si="41"/>
        <v>246.4</v>
      </c>
    </row>
    <row r="1304" spans="3:14" x14ac:dyDescent="0.3">
      <c r="C1304" s="6">
        <v>44152</v>
      </c>
      <c r="D1304" s="7" t="s">
        <v>147</v>
      </c>
      <c r="E1304" s="8">
        <v>2020</v>
      </c>
      <c r="F1304" s="9" t="s">
        <v>153</v>
      </c>
      <c r="G1304" s="9" t="s">
        <v>24</v>
      </c>
      <c r="H1304" s="10" t="s">
        <v>107</v>
      </c>
      <c r="I1304" s="7">
        <v>84</v>
      </c>
      <c r="J1304" s="11">
        <v>51</v>
      </c>
      <c r="K1304" s="11">
        <f t="shared" si="40"/>
        <v>4284</v>
      </c>
      <c r="L1304" s="11">
        <v>5.0000000745058101E-2</v>
      </c>
      <c r="M1304" s="11">
        <v>514.07999999999993</v>
      </c>
      <c r="N1304" s="11">
        <f t="shared" si="41"/>
        <v>4798.0299999992549</v>
      </c>
    </row>
    <row r="1305" spans="3:14" x14ac:dyDescent="0.3">
      <c r="C1305" s="6">
        <v>44152</v>
      </c>
      <c r="D1305" s="7" t="s">
        <v>147</v>
      </c>
      <c r="E1305" s="8">
        <v>2020</v>
      </c>
      <c r="F1305" s="9" t="s">
        <v>159</v>
      </c>
      <c r="G1305" s="9" t="s">
        <v>24</v>
      </c>
      <c r="H1305" s="10" t="s">
        <v>76</v>
      </c>
      <c r="I1305" s="7">
        <v>52</v>
      </c>
      <c r="J1305" s="11">
        <v>12</v>
      </c>
      <c r="K1305" s="11">
        <f t="shared" si="40"/>
        <v>624</v>
      </c>
      <c r="L1305" s="11">
        <v>0.20000000298023199</v>
      </c>
      <c r="M1305" s="11">
        <v>74.88</v>
      </c>
      <c r="N1305" s="11">
        <f t="shared" si="41"/>
        <v>698.67999999701976</v>
      </c>
    </row>
    <row r="1306" spans="3:14" x14ac:dyDescent="0.3">
      <c r="C1306" s="6">
        <v>44153</v>
      </c>
      <c r="D1306" s="7" t="s">
        <v>147</v>
      </c>
      <c r="E1306" s="8">
        <v>2020</v>
      </c>
      <c r="F1306" s="9" t="s">
        <v>84</v>
      </c>
      <c r="G1306" s="9" t="s">
        <v>24</v>
      </c>
      <c r="H1306" s="10" t="s">
        <v>115</v>
      </c>
      <c r="I1306" s="7">
        <v>39</v>
      </c>
      <c r="J1306" s="11">
        <v>19</v>
      </c>
      <c r="K1306" s="11">
        <f t="shared" si="40"/>
        <v>741</v>
      </c>
      <c r="L1306" s="11">
        <v>0</v>
      </c>
      <c r="M1306" s="11">
        <v>88.92</v>
      </c>
      <c r="N1306" s="11">
        <f t="shared" si="41"/>
        <v>829.92</v>
      </c>
    </row>
    <row r="1307" spans="3:14" x14ac:dyDescent="0.3">
      <c r="C1307" s="6">
        <v>44153</v>
      </c>
      <c r="D1307" s="7" t="s">
        <v>147</v>
      </c>
      <c r="E1307" s="8">
        <v>2020</v>
      </c>
      <c r="F1307" s="9" t="s">
        <v>84</v>
      </c>
      <c r="G1307" s="9" t="s">
        <v>26</v>
      </c>
      <c r="H1307" s="10" t="s">
        <v>94</v>
      </c>
      <c r="I1307" s="7">
        <v>32</v>
      </c>
      <c r="J1307" s="11">
        <v>99</v>
      </c>
      <c r="K1307" s="11">
        <f t="shared" si="40"/>
        <v>3168</v>
      </c>
      <c r="L1307" s="11">
        <v>0</v>
      </c>
      <c r="M1307" s="11">
        <v>380.15999999999997</v>
      </c>
      <c r="N1307" s="11">
        <f t="shared" si="41"/>
        <v>3548.16</v>
      </c>
    </row>
    <row r="1308" spans="3:14" x14ac:dyDescent="0.3">
      <c r="C1308" s="6">
        <v>44153</v>
      </c>
      <c r="D1308" s="7" t="s">
        <v>147</v>
      </c>
      <c r="E1308" s="8">
        <v>2020</v>
      </c>
      <c r="F1308" s="9" t="s">
        <v>84</v>
      </c>
      <c r="G1308" s="9" t="s">
        <v>14</v>
      </c>
      <c r="H1308" s="10" t="s">
        <v>49</v>
      </c>
      <c r="I1308" s="7">
        <v>100</v>
      </c>
      <c r="J1308" s="11">
        <v>71</v>
      </c>
      <c r="K1308" s="11">
        <f t="shared" si="40"/>
        <v>7100</v>
      </c>
      <c r="L1308" s="11">
        <v>0</v>
      </c>
      <c r="M1308" s="11">
        <v>852</v>
      </c>
      <c r="N1308" s="11">
        <f t="shared" si="41"/>
        <v>7952</v>
      </c>
    </row>
    <row r="1309" spans="3:14" x14ac:dyDescent="0.3">
      <c r="C1309" s="6">
        <v>44153</v>
      </c>
      <c r="D1309" s="7" t="s">
        <v>147</v>
      </c>
      <c r="E1309" s="8">
        <v>2020</v>
      </c>
      <c r="F1309" s="9" t="s">
        <v>84</v>
      </c>
      <c r="G1309" s="9" t="s">
        <v>14</v>
      </c>
      <c r="H1309" s="10" t="s">
        <v>18</v>
      </c>
      <c r="I1309" s="7">
        <v>27</v>
      </c>
      <c r="J1309" s="11">
        <v>30</v>
      </c>
      <c r="K1309" s="11">
        <f t="shared" si="40"/>
        <v>810</v>
      </c>
      <c r="L1309" s="11">
        <v>0</v>
      </c>
      <c r="M1309" s="11">
        <v>97.2</v>
      </c>
      <c r="N1309" s="11">
        <f t="shared" si="41"/>
        <v>907.2</v>
      </c>
    </row>
    <row r="1310" spans="3:14" x14ac:dyDescent="0.3">
      <c r="C1310" s="6">
        <v>44154</v>
      </c>
      <c r="D1310" s="7" t="s">
        <v>147</v>
      </c>
      <c r="E1310" s="8">
        <v>2020</v>
      </c>
      <c r="F1310" s="9" t="s">
        <v>40</v>
      </c>
      <c r="G1310" s="9" t="s">
        <v>24</v>
      </c>
      <c r="H1310" s="10" t="s">
        <v>90</v>
      </c>
      <c r="I1310" s="7">
        <v>42</v>
      </c>
      <c r="J1310" s="11">
        <v>18</v>
      </c>
      <c r="K1310" s="11">
        <f t="shared" si="40"/>
        <v>756</v>
      </c>
      <c r="L1310" s="11">
        <v>0</v>
      </c>
      <c r="M1310" s="11">
        <v>90.72</v>
      </c>
      <c r="N1310" s="11">
        <f t="shared" si="41"/>
        <v>846.72</v>
      </c>
    </row>
    <row r="1311" spans="3:14" x14ac:dyDescent="0.3">
      <c r="C1311" s="6">
        <v>44154</v>
      </c>
      <c r="D1311" s="7" t="s">
        <v>147</v>
      </c>
      <c r="E1311" s="8">
        <v>2020</v>
      </c>
      <c r="F1311" s="9" t="s">
        <v>40</v>
      </c>
      <c r="G1311" s="9" t="s">
        <v>16</v>
      </c>
      <c r="H1311" s="10" t="s">
        <v>17</v>
      </c>
      <c r="I1311" s="7">
        <v>36</v>
      </c>
      <c r="J1311" s="11">
        <v>11</v>
      </c>
      <c r="K1311" s="11">
        <f t="shared" si="40"/>
        <v>396</v>
      </c>
      <c r="L1311" s="11">
        <v>0</v>
      </c>
      <c r="M1311" s="11">
        <v>47.519999999999996</v>
      </c>
      <c r="N1311" s="11">
        <f t="shared" si="41"/>
        <v>443.52</v>
      </c>
    </row>
    <row r="1312" spans="3:14" x14ac:dyDescent="0.3">
      <c r="C1312" s="6">
        <v>44154</v>
      </c>
      <c r="D1312" s="7" t="s">
        <v>147</v>
      </c>
      <c r="E1312" s="8">
        <v>2020</v>
      </c>
      <c r="F1312" s="9" t="s">
        <v>40</v>
      </c>
      <c r="G1312" s="9" t="s">
        <v>32</v>
      </c>
      <c r="H1312" s="10" t="s">
        <v>62</v>
      </c>
      <c r="I1312" s="7">
        <v>46</v>
      </c>
      <c r="J1312" s="11">
        <v>59</v>
      </c>
      <c r="K1312" s="11">
        <f t="shared" si="40"/>
        <v>2714</v>
      </c>
      <c r="L1312" s="11">
        <v>0</v>
      </c>
      <c r="M1312" s="11">
        <v>325.68</v>
      </c>
      <c r="N1312" s="11">
        <f t="shared" si="41"/>
        <v>3039.68</v>
      </c>
    </row>
    <row r="1313" spans="3:14" x14ac:dyDescent="0.3">
      <c r="C1313" s="6">
        <v>44154</v>
      </c>
      <c r="D1313" s="7" t="s">
        <v>147</v>
      </c>
      <c r="E1313" s="8">
        <v>2020</v>
      </c>
      <c r="F1313" s="9" t="s">
        <v>40</v>
      </c>
      <c r="G1313" s="9" t="s">
        <v>14</v>
      </c>
      <c r="H1313" s="10" t="s">
        <v>117</v>
      </c>
      <c r="I1313" s="7">
        <v>22</v>
      </c>
      <c r="J1313" s="11">
        <v>82</v>
      </c>
      <c r="K1313" s="11">
        <f t="shared" si="40"/>
        <v>1804</v>
      </c>
      <c r="L1313" s="11">
        <v>0</v>
      </c>
      <c r="M1313" s="11">
        <v>216.48</v>
      </c>
      <c r="N1313" s="11">
        <f t="shared" si="41"/>
        <v>2020.48</v>
      </c>
    </row>
    <row r="1314" spans="3:14" x14ac:dyDescent="0.3">
      <c r="C1314" s="6">
        <v>44154</v>
      </c>
      <c r="D1314" s="7" t="s">
        <v>147</v>
      </c>
      <c r="E1314" s="8">
        <v>2020</v>
      </c>
      <c r="F1314" s="9" t="s">
        <v>152</v>
      </c>
      <c r="G1314" s="9" t="s">
        <v>14</v>
      </c>
      <c r="H1314" s="10" t="s">
        <v>36</v>
      </c>
      <c r="I1314" s="7">
        <v>94</v>
      </c>
      <c r="J1314" s="11">
        <v>77</v>
      </c>
      <c r="K1314" s="11">
        <f t="shared" si="40"/>
        <v>7238</v>
      </c>
      <c r="L1314" s="11">
        <v>0</v>
      </c>
      <c r="M1314" s="11">
        <v>868.56</v>
      </c>
      <c r="N1314" s="11">
        <f t="shared" si="41"/>
        <v>8106.5599999999995</v>
      </c>
    </row>
    <row r="1315" spans="3:14" x14ac:dyDescent="0.3">
      <c r="C1315" s="6">
        <v>44154</v>
      </c>
      <c r="D1315" s="7" t="s">
        <v>147</v>
      </c>
      <c r="E1315" s="8">
        <v>2020</v>
      </c>
      <c r="F1315" s="9" t="s">
        <v>152</v>
      </c>
      <c r="G1315" s="9" t="s">
        <v>24</v>
      </c>
      <c r="H1315" s="10" t="s">
        <v>25</v>
      </c>
      <c r="I1315" s="7">
        <v>87</v>
      </c>
      <c r="J1315" s="11">
        <v>83</v>
      </c>
      <c r="K1315" s="11">
        <f t="shared" si="40"/>
        <v>7221</v>
      </c>
      <c r="L1315" s="11">
        <v>0</v>
      </c>
      <c r="M1315" s="11">
        <v>866.52</v>
      </c>
      <c r="N1315" s="11">
        <f t="shared" si="41"/>
        <v>8087.52</v>
      </c>
    </row>
    <row r="1316" spans="3:14" x14ac:dyDescent="0.3">
      <c r="C1316" s="6">
        <v>44154</v>
      </c>
      <c r="D1316" s="7" t="s">
        <v>147</v>
      </c>
      <c r="E1316" s="8">
        <v>2020</v>
      </c>
      <c r="F1316" s="9" t="s">
        <v>152</v>
      </c>
      <c r="G1316" s="9" t="s">
        <v>26</v>
      </c>
      <c r="H1316" s="10" t="s">
        <v>95</v>
      </c>
      <c r="I1316" s="7">
        <v>11</v>
      </c>
      <c r="J1316" s="11">
        <v>74</v>
      </c>
      <c r="K1316" s="11">
        <f t="shared" si="40"/>
        <v>814</v>
      </c>
      <c r="L1316" s="11">
        <v>0</v>
      </c>
      <c r="M1316" s="11">
        <v>97.679999999999993</v>
      </c>
      <c r="N1316" s="11">
        <f t="shared" si="41"/>
        <v>911.68</v>
      </c>
    </row>
    <row r="1317" spans="3:14" x14ac:dyDescent="0.3">
      <c r="C1317" s="6">
        <v>44154</v>
      </c>
      <c r="D1317" s="7" t="s">
        <v>147</v>
      </c>
      <c r="E1317" s="8">
        <v>2020</v>
      </c>
      <c r="F1317" s="9" t="s">
        <v>152</v>
      </c>
      <c r="G1317" s="9" t="s">
        <v>14</v>
      </c>
      <c r="H1317" s="10" t="s">
        <v>117</v>
      </c>
      <c r="I1317" s="7">
        <v>46</v>
      </c>
      <c r="J1317" s="11">
        <v>30</v>
      </c>
      <c r="K1317" s="11">
        <f t="shared" si="40"/>
        <v>1380</v>
      </c>
      <c r="L1317" s="11">
        <v>0</v>
      </c>
      <c r="M1317" s="11">
        <v>165.6</v>
      </c>
      <c r="N1317" s="11">
        <f t="shared" si="41"/>
        <v>1545.6</v>
      </c>
    </row>
    <row r="1318" spans="3:14" x14ac:dyDescent="0.3">
      <c r="C1318" s="6">
        <v>44155</v>
      </c>
      <c r="D1318" s="7" t="s">
        <v>147</v>
      </c>
      <c r="E1318" s="8">
        <v>2020</v>
      </c>
      <c r="F1318" s="9" t="s">
        <v>135</v>
      </c>
      <c r="G1318" s="9" t="s">
        <v>16</v>
      </c>
      <c r="H1318" s="10" t="s">
        <v>145</v>
      </c>
      <c r="I1318" s="7">
        <v>75</v>
      </c>
      <c r="J1318" s="11">
        <v>32</v>
      </c>
      <c r="K1318" s="11">
        <f t="shared" si="40"/>
        <v>2400</v>
      </c>
      <c r="L1318" s="11">
        <v>0</v>
      </c>
      <c r="M1318" s="11">
        <v>288</v>
      </c>
      <c r="N1318" s="11">
        <f t="shared" si="41"/>
        <v>2688</v>
      </c>
    </row>
    <row r="1319" spans="3:14" x14ac:dyDescent="0.3">
      <c r="C1319" s="6">
        <v>44155</v>
      </c>
      <c r="D1319" s="7" t="s">
        <v>147</v>
      </c>
      <c r="E1319" s="8">
        <v>2020</v>
      </c>
      <c r="F1319" s="9" t="s">
        <v>135</v>
      </c>
      <c r="G1319" s="9" t="s">
        <v>24</v>
      </c>
      <c r="H1319" s="10" t="s">
        <v>76</v>
      </c>
      <c r="I1319" s="7">
        <v>36</v>
      </c>
      <c r="J1319" s="11">
        <v>49</v>
      </c>
      <c r="K1319" s="11">
        <f t="shared" si="40"/>
        <v>1764</v>
      </c>
      <c r="L1319" s="11">
        <v>0</v>
      </c>
      <c r="M1319" s="11">
        <v>211.67999999999998</v>
      </c>
      <c r="N1319" s="11">
        <f t="shared" si="41"/>
        <v>1975.68</v>
      </c>
    </row>
    <row r="1320" spans="3:14" x14ac:dyDescent="0.3">
      <c r="C1320" s="6">
        <v>44155</v>
      </c>
      <c r="D1320" s="7" t="s">
        <v>147</v>
      </c>
      <c r="E1320" s="8">
        <v>2020</v>
      </c>
      <c r="F1320" s="9" t="s">
        <v>135</v>
      </c>
      <c r="G1320" s="9" t="s">
        <v>16</v>
      </c>
      <c r="H1320" s="10" t="s">
        <v>68</v>
      </c>
      <c r="I1320" s="7">
        <v>7</v>
      </c>
      <c r="J1320" s="11">
        <v>33</v>
      </c>
      <c r="K1320" s="11">
        <f t="shared" si="40"/>
        <v>231</v>
      </c>
      <c r="L1320" s="11">
        <v>0</v>
      </c>
      <c r="M1320" s="11">
        <v>27.72</v>
      </c>
      <c r="N1320" s="11">
        <f t="shared" si="41"/>
        <v>258.72000000000003</v>
      </c>
    </row>
    <row r="1321" spans="3:14" x14ac:dyDescent="0.3">
      <c r="C1321" s="6">
        <v>44155</v>
      </c>
      <c r="D1321" s="7" t="s">
        <v>147</v>
      </c>
      <c r="E1321" s="8">
        <v>2020</v>
      </c>
      <c r="F1321" s="9" t="s">
        <v>129</v>
      </c>
      <c r="G1321" s="9" t="s">
        <v>16</v>
      </c>
      <c r="H1321" s="10" t="s">
        <v>68</v>
      </c>
      <c r="I1321" s="7">
        <v>79</v>
      </c>
      <c r="J1321" s="11">
        <v>51</v>
      </c>
      <c r="K1321" s="11">
        <f t="shared" si="40"/>
        <v>4029</v>
      </c>
      <c r="L1321" s="11">
        <v>0</v>
      </c>
      <c r="M1321" s="11">
        <v>483.47999999999996</v>
      </c>
      <c r="N1321" s="11">
        <f t="shared" si="41"/>
        <v>4512.4799999999996</v>
      </c>
    </row>
    <row r="1322" spans="3:14" x14ac:dyDescent="0.3">
      <c r="C1322" s="6">
        <v>44155</v>
      </c>
      <c r="D1322" s="7" t="s">
        <v>147</v>
      </c>
      <c r="E1322" s="8">
        <v>2020</v>
      </c>
      <c r="F1322" s="9" t="s">
        <v>129</v>
      </c>
      <c r="G1322" s="9" t="s">
        <v>14</v>
      </c>
      <c r="H1322" s="10" t="s">
        <v>49</v>
      </c>
      <c r="I1322" s="7">
        <v>30</v>
      </c>
      <c r="J1322" s="11">
        <v>81</v>
      </c>
      <c r="K1322" s="11">
        <f t="shared" si="40"/>
        <v>2430</v>
      </c>
      <c r="L1322" s="11">
        <v>0</v>
      </c>
      <c r="M1322" s="11">
        <v>291.59999999999997</v>
      </c>
      <c r="N1322" s="11">
        <f t="shared" si="41"/>
        <v>2721.6</v>
      </c>
    </row>
    <row r="1323" spans="3:14" x14ac:dyDescent="0.3">
      <c r="C1323" s="6">
        <v>44155</v>
      </c>
      <c r="D1323" s="7" t="s">
        <v>147</v>
      </c>
      <c r="E1323" s="8">
        <v>2020</v>
      </c>
      <c r="F1323" s="9" t="s">
        <v>129</v>
      </c>
      <c r="G1323" s="9" t="s">
        <v>37</v>
      </c>
      <c r="H1323" s="10" t="s">
        <v>77</v>
      </c>
      <c r="I1323" s="7">
        <v>27</v>
      </c>
      <c r="J1323" s="11">
        <v>75</v>
      </c>
      <c r="K1323" s="11">
        <f t="shared" si="40"/>
        <v>2025</v>
      </c>
      <c r="L1323" s="11">
        <v>0</v>
      </c>
      <c r="M1323" s="11">
        <v>243</v>
      </c>
      <c r="N1323" s="11">
        <f t="shared" si="41"/>
        <v>2268</v>
      </c>
    </row>
    <row r="1324" spans="3:14" x14ac:dyDescent="0.3">
      <c r="C1324" s="6">
        <v>44156</v>
      </c>
      <c r="D1324" s="7" t="s">
        <v>147</v>
      </c>
      <c r="E1324" s="8">
        <v>2020</v>
      </c>
      <c r="F1324" s="9" t="s">
        <v>73</v>
      </c>
      <c r="G1324" s="9" t="s">
        <v>20</v>
      </c>
      <c r="H1324" s="10" t="s">
        <v>136</v>
      </c>
      <c r="I1324" s="7">
        <v>29</v>
      </c>
      <c r="J1324" s="11">
        <v>33</v>
      </c>
      <c r="K1324" s="11">
        <f t="shared" si="40"/>
        <v>957</v>
      </c>
      <c r="L1324" s="11">
        <v>0.15000000596046401</v>
      </c>
      <c r="M1324" s="11">
        <v>114.83999999999999</v>
      </c>
      <c r="N1324" s="11">
        <f t="shared" si="41"/>
        <v>1071.6899999940395</v>
      </c>
    </row>
    <row r="1325" spans="3:14" x14ac:dyDescent="0.3">
      <c r="C1325" s="6">
        <v>44156</v>
      </c>
      <c r="D1325" s="7" t="s">
        <v>147</v>
      </c>
      <c r="E1325" s="8">
        <v>2020</v>
      </c>
      <c r="F1325" s="9" t="s">
        <v>73</v>
      </c>
      <c r="G1325" s="9" t="s">
        <v>24</v>
      </c>
      <c r="H1325" s="10" t="s">
        <v>165</v>
      </c>
      <c r="I1325" s="7">
        <v>1</v>
      </c>
      <c r="J1325" s="11">
        <v>57</v>
      </c>
      <c r="K1325" s="11">
        <f t="shared" si="40"/>
        <v>57</v>
      </c>
      <c r="L1325" s="11">
        <v>0.15000000596046401</v>
      </c>
      <c r="M1325" s="11">
        <v>6.84</v>
      </c>
      <c r="N1325" s="11">
        <f t="shared" si="41"/>
        <v>63.689999994039539</v>
      </c>
    </row>
    <row r="1326" spans="3:14" x14ac:dyDescent="0.3">
      <c r="C1326" s="6">
        <v>44156</v>
      </c>
      <c r="D1326" s="7" t="s">
        <v>147</v>
      </c>
      <c r="E1326" s="8">
        <v>2020</v>
      </c>
      <c r="F1326" s="9" t="s">
        <v>73</v>
      </c>
      <c r="G1326" s="9" t="s">
        <v>14</v>
      </c>
      <c r="H1326" s="10" t="s">
        <v>49</v>
      </c>
      <c r="I1326" s="7">
        <v>11</v>
      </c>
      <c r="J1326" s="11">
        <v>37</v>
      </c>
      <c r="K1326" s="11">
        <f t="shared" si="40"/>
        <v>407</v>
      </c>
      <c r="L1326" s="11">
        <v>0.15000000596046401</v>
      </c>
      <c r="M1326" s="11">
        <v>48.839999999999996</v>
      </c>
      <c r="N1326" s="11">
        <f t="shared" si="41"/>
        <v>455.68999999403951</v>
      </c>
    </row>
    <row r="1327" spans="3:14" x14ac:dyDescent="0.3">
      <c r="C1327" s="6">
        <v>44159</v>
      </c>
      <c r="D1327" s="7" t="s">
        <v>147</v>
      </c>
      <c r="E1327" s="8">
        <v>2020</v>
      </c>
      <c r="F1327" s="9" t="s">
        <v>45</v>
      </c>
      <c r="G1327" s="9" t="s">
        <v>32</v>
      </c>
      <c r="H1327" s="10" t="s">
        <v>140</v>
      </c>
      <c r="I1327" s="7">
        <v>21</v>
      </c>
      <c r="J1327" s="11">
        <v>63</v>
      </c>
      <c r="K1327" s="11">
        <f t="shared" si="40"/>
        <v>1323</v>
      </c>
      <c r="L1327" s="11">
        <v>0.10000000149011599</v>
      </c>
      <c r="M1327" s="11">
        <v>158.76</v>
      </c>
      <c r="N1327" s="11">
        <f t="shared" si="41"/>
        <v>1481.6599999985099</v>
      </c>
    </row>
    <row r="1328" spans="3:14" x14ac:dyDescent="0.3">
      <c r="C1328" s="6">
        <v>44159</v>
      </c>
      <c r="D1328" s="7" t="s">
        <v>147</v>
      </c>
      <c r="E1328" s="8">
        <v>2020</v>
      </c>
      <c r="F1328" s="9" t="s">
        <v>45</v>
      </c>
      <c r="G1328" s="9" t="s">
        <v>24</v>
      </c>
      <c r="H1328" s="10" t="s">
        <v>69</v>
      </c>
      <c r="I1328" s="7">
        <v>36</v>
      </c>
      <c r="J1328" s="11">
        <v>85</v>
      </c>
      <c r="K1328" s="11">
        <f t="shared" si="40"/>
        <v>3060</v>
      </c>
      <c r="L1328" s="11">
        <v>0</v>
      </c>
      <c r="M1328" s="11">
        <v>367.2</v>
      </c>
      <c r="N1328" s="11">
        <f t="shared" si="41"/>
        <v>3427.2</v>
      </c>
    </row>
    <row r="1329" spans="3:14" x14ac:dyDescent="0.3">
      <c r="C1329" s="6">
        <v>44159</v>
      </c>
      <c r="D1329" s="7" t="s">
        <v>147</v>
      </c>
      <c r="E1329" s="8">
        <v>2020</v>
      </c>
      <c r="F1329" s="9" t="s">
        <v>45</v>
      </c>
      <c r="G1329" s="9" t="s">
        <v>32</v>
      </c>
      <c r="H1329" s="10" t="s">
        <v>151</v>
      </c>
      <c r="I1329" s="7">
        <v>87</v>
      </c>
      <c r="J1329" s="11">
        <v>98</v>
      </c>
      <c r="K1329" s="11">
        <f t="shared" si="40"/>
        <v>8526</v>
      </c>
      <c r="L1329" s="11">
        <v>0.10000000149011599</v>
      </c>
      <c r="M1329" s="11">
        <v>1023.12</v>
      </c>
      <c r="N1329" s="11">
        <f t="shared" si="41"/>
        <v>9549.0199999985107</v>
      </c>
    </row>
    <row r="1330" spans="3:14" x14ac:dyDescent="0.3">
      <c r="C1330" s="6">
        <v>44159</v>
      </c>
      <c r="D1330" s="7" t="s">
        <v>147</v>
      </c>
      <c r="E1330" s="8">
        <v>2020</v>
      </c>
      <c r="F1330" s="9" t="s">
        <v>45</v>
      </c>
      <c r="G1330" s="9" t="s">
        <v>24</v>
      </c>
      <c r="H1330" s="10" t="s">
        <v>96</v>
      </c>
      <c r="I1330" s="7">
        <v>10</v>
      </c>
      <c r="J1330" s="11">
        <v>69</v>
      </c>
      <c r="K1330" s="11">
        <f t="shared" si="40"/>
        <v>690</v>
      </c>
      <c r="L1330" s="11">
        <v>0</v>
      </c>
      <c r="M1330" s="11">
        <v>82.8</v>
      </c>
      <c r="N1330" s="11">
        <f t="shared" si="41"/>
        <v>772.8</v>
      </c>
    </row>
    <row r="1331" spans="3:14" x14ac:dyDescent="0.3">
      <c r="C1331" s="6">
        <v>44159</v>
      </c>
      <c r="D1331" s="7" t="s">
        <v>147</v>
      </c>
      <c r="E1331" s="8">
        <v>2020</v>
      </c>
      <c r="F1331" s="9" t="s">
        <v>186</v>
      </c>
      <c r="G1331" s="9" t="s">
        <v>37</v>
      </c>
      <c r="H1331" s="10" t="s">
        <v>104</v>
      </c>
      <c r="I1331" s="7">
        <v>64</v>
      </c>
      <c r="J1331" s="11">
        <v>75</v>
      </c>
      <c r="K1331" s="11">
        <f t="shared" si="40"/>
        <v>4800</v>
      </c>
      <c r="L1331" s="11">
        <v>0</v>
      </c>
      <c r="M1331" s="11">
        <v>576</v>
      </c>
      <c r="N1331" s="11">
        <f t="shared" si="41"/>
        <v>5376</v>
      </c>
    </row>
    <row r="1332" spans="3:14" x14ac:dyDescent="0.3">
      <c r="C1332" s="6">
        <v>44159</v>
      </c>
      <c r="D1332" s="7" t="s">
        <v>147</v>
      </c>
      <c r="E1332" s="8">
        <v>2020</v>
      </c>
      <c r="F1332" s="9" t="s">
        <v>186</v>
      </c>
      <c r="G1332" s="9" t="s">
        <v>14</v>
      </c>
      <c r="H1332" s="10" t="s">
        <v>117</v>
      </c>
      <c r="I1332" s="7">
        <v>71</v>
      </c>
      <c r="J1332" s="11">
        <v>27</v>
      </c>
      <c r="K1332" s="11">
        <f t="shared" si="40"/>
        <v>1917</v>
      </c>
      <c r="L1332" s="11">
        <v>0</v>
      </c>
      <c r="M1332" s="11">
        <v>230.04</v>
      </c>
      <c r="N1332" s="11">
        <f t="shared" si="41"/>
        <v>2147.04</v>
      </c>
    </row>
    <row r="1333" spans="3:14" x14ac:dyDescent="0.3">
      <c r="C1333" s="6">
        <v>44160</v>
      </c>
      <c r="D1333" s="7" t="s">
        <v>147</v>
      </c>
      <c r="E1333" s="8">
        <v>2020</v>
      </c>
      <c r="F1333" s="9" t="s">
        <v>175</v>
      </c>
      <c r="G1333" s="9" t="s">
        <v>24</v>
      </c>
      <c r="H1333" s="10" t="s">
        <v>165</v>
      </c>
      <c r="I1333" s="7">
        <v>57</v>
      </c>
      <c r="J1333" s="11">
        <v>32</v>
      </c>
      <c r="K1333" s="11">
        <f t="shared" si="40"/>
        <v>1824</v>
      </c>
      <c r="L1333" s="11">
        <v>0</v>
      </c>
      <c r="M1333" s="11">
        <v>218.88</v>
      </c>
      <c r="N1333" s="11">
        <f t="shared" si="41"/>
        <v>2042.88</v>
      </c>
    </row>
    <row r="1334" spans="3:14" x14ac:dyDescent="0.3">
      <c r="C1334" s="6">
        <v>44160</v>
      </c>
      <c r="D1334" s="7" t="s">
        <v>147</v>
      </c>
      <c r="E1334" s="8">
        <v>2020</v>
      </c>
      <c r="F1334" s="9" t="s">
        <v>175</v>
      </c>
      <c r="G1334" s="9" t="s">
        <v>20</v>
      </c>
      <c r="H1334" s="10" t="s">
        <v>44</v>
      </c>
      <c r="I1334" s="7">
        <v>89</v>
      </c>
      <c r="J1334" s="11">
        <v>98</v>
      </c>
      <c r="K1334" s="11">
        <f t="shared" si="40"/>
        <v>8722</v>
      </c>
      <c r="L1334" s="11">
        <v>0</v>
      </c>
      <c r="M1334" s="11">
        <v>1046.6399999999999</v>
      </c>
      <c r="N1334" s="11">
        <f t="shared" si="41"/>
        <v>9768.64</v>
      </c>
    </row>
    <row r="1335" spans="3:14" x14ac:dyDescent="0.3">
      <c r="C1335" s="6">
        <v>44160</v>
      </c>
      <c r="D1335" s="7" t="s">
        <v>147</v>
      </c>
      <c r="E1335" s="8">
        <v>2020</v>
      </c>
      <c r="F1335" s="9" t="s">
        <v>88</v>
      </c>
      <c r="G1335" s="9" t="s">
        <v>24</v>
      </c>
      <c r="H1335" s="10" t="s">
        <v>76</v>
      </c>
      <c r="I1335" s="7">
        <v>90</v>
      </c>
      <c r="J1335" s="11">
        <v>38</v>
      </c>
      <c r="K1335" s="11">
        <f t="shared" si="40"/>
        <v>3420</v>
      </c>
      <c r="L1335" s="11">
        <v>0</v>
      </c>
      <c r="M1335" s="11">
        <v>410.4</v>
      </c>
      <c r="N1335" s="11">
        <f t="shared" si="41"/>
        <v>3830.4</v>
      </c>
    </row>
    <row r="1336" spans="3:14" x14ac:dyDescent="0.3">
      <c r="C1336" s="6">
        <v>44161</v>
      </c>
      <c r="D1336" s="7" t="s">
        <v>147</v>
      </c>
      <c r="E1336" s="8">
        <v>2020</v>
      </c>
      <c r="F1336" s="9" t="s">
        <v>141</v>
      </c>
      <c r="G1336" s="9" t="s">
        <v>32</v>
      </c>
      <c r="H1336" s="10" t="s">
        <v>143</v>
      </c>
      <c r="I1336" s="7">
        <v>25</v>
      </c>
      <c r="J1336" s="11">
        <v>41</v>
      </c>
      <c r="K1336" s="11">
        <f t="shared" si="40"/>
        <v>1025</v>
      </c>
      <c r="L1336" s="11">
        <v>0.25</v>
      </c>
      <c r="M1336" s="11">
        <v>123</v>
      </c>
      <c r="N1336" s="11">
        <f t="shared" si="41"/>
        <v>1147.75</v>
      </c>
    </row>
    <row r="1337" spans="3:14" x14ac:dyDescent="0.3">
      <c r="C1337" s="6">
        <v>44161</v>
      </c>
      <c r="D1337" s="7" t="s">
        <v>147</v>
      </c>
      <c r="E1337" s="8">
        <v>2020</v>
      </c>
      <c r="F1337" s="9" t="s">
        <v>141</v>
      </c>
      <c r="G1337" s="9" t="s">
        <v>16</v>
      </c>
      <c r="H1337" s="10" t="s">
        <v>68</v>
      </c>
      <c r="I1337" s="7">
        <v>6</v>
      </c>
      <c r="J1337" s="11">
        <v>20</v>
      </c>
      <c r="K1337" s="11">
        <f t="shared" si="40"/>
        <v>120</v>
      </c>
      <c r="L1337" s="11">
        <v>0.25</v>
      </c>
      <c r="M1337" s="11">
        <v>14.399999999999999</v>
      </c>
      <c r="N1337" s="11">
        <f t="shared" si="41"/>
        <v>134.15</v>
      </c>
    </row>
    <row r="1338" spans="3:14" x14ac:dyDescent="0.3">
      <c r="C1338" s="6">
        <v>44161</v>
      </c>
      <c r="D1338" s="7" t="s">
        <v>147</v>
      </c>
      <c r="E1338" s="8">
        <v>2020</v>
      </c>
      <c r="F1338" s="9" t="s">
        <v>141</v>
      </c>
      <c r="G1338" s="9" t="s">
        <v>16</v>
      </c>
      <c r="H1338" s="10" t="s">
        <v>30</v>
      </c>
      <c r="I1338" s="7">
        <v>3</v>
      </c>
      <c r="J1338" s="11">
        <v>69</v>
      </c>
      <c r="K1338" s="11">
        <f t="shared" si="40"/>
        <v>207</v>
      </c>
      <c r="L1338" s="11">
        <v>0.25</v>
      </c>
      <c r="M1338" s="11">
        <v>24.84</v>
      </c>
      <c r="N1338" s="11">
        <f t="shared" si="41"/>
        <v>231.59</v>
      </c>
    </row>
    <row r="1339" spans="3:14" x14ac:dyDescent="0.3">
      <c r="C1339" s="6">
        <v>44161</v>
      </c>
      <c r="D1339" s="7" t="s">
        <v>147</v>
      </c>
      <c r="E1339" s="8">
        <v>2020</v>
      </c>
      <c r="F1339" s="9" t="s">
        <v>141</v>
      </c>
      <c r="G1339" s="9" t="s">
        <v>14</v>
      </c>
      <c r="H1339" s="10" t="s">
        <v>117</v>
      </c>
      <c r="I1339" s="7">
        <v>79</v>
      </c>
      <c r="J1339" s="11">
        <v>28</v>
      </c>
      <c r="K1339" s="11">
        <f t="shared" si="40"/>
        <v>2212</v>
      </c>
      <c r="L1339" s="11">
        <v>0.25</v>
      </c>
      <c r="M1339" s="11">
        <v>265.44</v>
      </c>
      <c r="N1339" s="11">
        <f t="shared" si="41"/>
        <v>2477.19</v>
      </c>
    </row>
    <row r="1340" spans="3:14" x14ac:dyDescent="0.3">
      <c r="C1340" s="6">
        <v>44162</v>
      </c>
      <c r="D1340" s="7" t="s">
        <v>147</v>
      </c>
      <c r="E1340" s="8">
        <v>2020</v>
      </c>
      <c r="F1340" s="9" t="s">
        <v>83</v>
      </c>
      <c r="G1340" s="9" t="s">
        <v>24</v>
      </c>
      <c r="H1340" s="10" t="s">
        <v>115</v>
      </c>
      <c r="I1340" s="7">
        <v>18</v>
      </c>
      <c r="J1340" s="11">
        <v>51</v>
      </c>
      <c r="K1340" s="11">
        <f t="shared" si="40"/>
        <v>918</v>
      </c>
      <c r="L1340" s="11">
        <v>0.20000000298023199</v>
      </c>
      <c r="M1340" s="11">
        <v>110.16</v>
      </c>
      <c r="N1340" s="11">
        <f t="shared" si="41"/>
        <v>1027.9599999970198</v>
      </c>
    </row>
    <row r="1341" spans="3:14" x14ac:dyDescent="0.3">
      <c r="C1341" s="6">
        <v>44162</v>
      </c>
      <c r="D1341" s="7" t="s">
        <v>147</v>
      </c>
      <c r="E1341" s="8">
        <v>2020</v>
      </c>
      <c r="F1341" s="9" t="s">
        <v>83</v>
      </c>
      <c r="G1341" s="9" t="s">
        <v>24</v>
      </c>
      <c r="H1341" s="10" t="s">
        <v>48</v>
      </c>
      <c r="I1341" s="7">
        <v>75</v>
      </c>
      <c r="J1341" s="11">
        <v>44</v>
      </c>
      <c r="K1341" s="11">
        <f t="shared" si="40"/>
        <v>3300</v>
      </c>
      <c r="L1341" s="11">
        <v>0.20000000298023199</v>
      </c>
      <c r="M1341" s="11">
        <v>396</v>
      </c>
      <c r="N1341" s="11">
        <f t="shared" si="41"/>
        <v>3695.7999999970198</v>
      </c>
    </row>
    <row r="1342" spans="3:14" x14ac:dyDescent="0.3">
      <c r="C1342" s="6">
        <v>44162</v>
      </c>
      <c r="D1342" s="7" t="s">
        <v>147</v>
      </c>
      <c r="E1342" s="8">
        <v>2020</v>
      </c>
      <c r="F1342" s="9" t="s">
        <v>83</v>
      </c>
      <c r="G1342" s="9" t="s">
        <v>32</v>
      </c>
      <c r="H1342" s="10" t="s">
        <v>110</v>
      </c>
      <c r="I1342" s="7">
        <v>10</v>
      </c>
      <c r="J1342" s="11">
        <v>84</v>
      </c>
      <c r="K1342" s="11">
        <f t="shared" si="40"/>
        <v>840</v>
      </c>
      <c r="L1342" s="11">
        <v>0.20000000298023199</v>
      </c>
      <c r="M1342" s="11">
        <v>100.8</v>
      </c>
      <c r="N1342" s="11">
        <f t="shared" si="41"/>
        <v>940.59999999701972</v>
      </c>
    </row>
    <row r="1343" spans="3:14" x14ac:dyDescent="0.3">
      <c r="C1343" s="6">
        <v>44162</v>
      </c>
      <c r="D1343" s="7" t="s">
        <v>147</v>
      </c>
      <c r="E1343" s="8">
        <v>2020</v>
      </c>
      <c r="F1343" s="9" t="s">
        <v>83</v>
      </c>
      <c r="G1343" s="9" t="s">
        <v>14</v>
      </c>
      <c r="H1343" s="10" t="s">
        <v>117</v>
      </c>
      <c r="I1343" s="7">
        <v>96</v>
      </c>
      <c r="J1343" s="11">
        <v>66</v>
      </c>
      <c r="K1343" s="11">
        <f t="shared" si="40"/>
        <v>6336</v>
      </c>
      <c r="L1343" s="11">
        <v>0.20000000298023199</v>
      </c>
      <c r="M1343" s="11">
        <v>760.31999999999994</v>
      </c>
      <c r="N1343" s="11">
        <f t="shared" si="41"/>
        <v>7096.1199999970195</v>
      </c>
    </row>
    <row r="1344" spans="3:14" x14ac:dyDescent="0.3">
      <c r="C1344" s="6">
        <v>44162</v>
      </c>
      <c r="D1344" s="7" t="s">
        <v>147</v>
      </c>
      <c r="E1344" s="8">
        <v>2020</v>
      </c>
      <c r="F1344" s="9" t="s">
        <v>135</v>
      </c>
      <c r="G1344" s="9" t="s">
        <v>37</v>
      </c>
      <c r="H1344" s="10" t="s">
        <v>106</v>
      </c>
      <c r="I1344" s="7">
        <v>12</v>
      </c>
      <c r="J1344" s="11">
        <v>51</v>
      </c>
      <c r="K1344" s="11">
        <f t="shared" si="40"/>
        <v>612</v>
      </c>
      <c r="L1344" s="11">
        <v>0</v>
      </c>
      <c r="M1344" s="11">
        <v>73.44</v>
      </c>
      <c r="N1344" s="11">
        <f t="shared" si="41"/>
        <v>685.44</v>
      </c>
    </row>
    <row r="1345" spans="3:14" x14ac:dyDescent="0.3">
      <c r="C1345" s="6">
        <v>44162</v>
      </c>
      <c r="D1345" s="7" t="s">
        <v>147</v>
      </c>
      <c r="E1345" s="8">
        <v>2020</v>
      </c>
      <c r="F1345" s="9" t="s">
        <v>135</v>
      </c>
      <c r="G1345" s="9" t="s">
        <v>14</v>
      </c>
      <c r="H1345" s="10" t="s">
        <v>49</v>
      </c>
      <c r="I1345" s="7">
        <v>82</v>
      </c>
      <c r="J1345" s="11">
        <v>29</v>
      </c>
      <c r="K1345" s="11">
        <f t="shared" si="40"/>
        <v>2378</v>
      </c>
      <c r="L1345" s="11">
        <v>0</v>
      </c>
      <c r="M1345" s="11">
        <v>285.36</v>
      </c>
      <c r="N1345" s="11">
        <f t="shared" si="41"/>
        <v>2663.36</v>
      </c>
    </row>
    <row r="1346" spans="3:14" x14ac:dyDescent="0.3">
      <c r="C1346" s="6">
        <v>44162</v>
      </c>
      <c r="D1346" s="7" t="s">
        <v>147</v>
      </c>
      <c r="E1346" s="8">
        <v>2020</v>
      </c>
      <c r="F1346" s="9" t="s">
        <v>135</v>
      </c>
      <c r="G1346" s="9" t="s">
        <v>32</v>
      </c>
      <c r="H1346" s="10" t="s">
        <v>62</v>
      </c>
      <c r="I1346" s="7">
        <v>59</v>
      </c>
      <c r="J1346" s="11">
        <v>22</v>
      </c>
      <c r="K1346" s="11">
        <f t="shared" si="40"/>
        <v>1298</v>
      </c>
      <c r="L1346" s="11">
        <v>0</v>
      </c>
      <c r="M1346" s="11">
        <v>155.76</v>
      </c>
      <c r="N1346" s="11">
        <f t="shared" si="41"/>
        <v>1453.76</v>
      </c>
    </row>
    <row r="1347" spans="3:14" x14ac:dyDescent="0.3">
      <c r="C1347" s="6">
        <v>44162</v>
      </c>
      <c r="D1347" s="7" t="s">
        <v>147</v>
      </c>
      <c r="E1347" s="8">
        <v>2020</v>
      </c>
      <c r="F1347" s="9" t="s">
        <v>135</v>
      </c>
      <c r="G1347" s="9" t="s">
        <v>16</v>
      </c>
      <c r="H1347" s="10" t="s">
        <v>113</v>
      </c>
      <c r="I1347" s="7">
        <v>2</v>
      </c>
      <c r="J1347" s="11">
        <v>66</v>
      </c>
      <c r="K1347" s="11">
        <f t="shared" ref="K1347:K1410" si="42">J1347*I1347</f>
        <v>132</v>
      </c>
      <c r="L1347" s="11">
        <v>0</v>
      </c>
      <c r="M1347" s="11">
        <v>15.84</v>
      </c>
      <c r="N1347" s="11">
        <f t="shared" ref="N1347:N1410" si="43">K1347-L1347+M1347</f>
        <v>147.84</v>
      </c>
    </row>
    <row r="1348" spans="3:14" x14ac:dyDescent="0.3">
      <c r="C1348" s="6">
        <v>44163</v>
      </c>
      <c r="D1348" s="7" t="s">
        <v>147</v>
      </c>
      <c r="E1348" s="8">
        <v>2020</v>
      </c>
      <c r="F1348" s="9" t="s">
        <v>45</v>
      </c>
      <c r="G1348" s="9" t="s">
        <v>32</v>
      </c>
      <c r="H1348" s="10" t="s">
        <v>140</v>
      </c>
      <c r="I1348" s="7">
        <v>20</v>
      </c>
      <c r="J1348" s="11">
        <v>84</v>
      </c>
      <c r="K1348" s="11">
        <f t="shared" si="42"/>
        <v>1680</v>
      </c>
      <c r="L1348" s="11">
        <v>0</v>
      </c>
      <c r="M1348" s="11">
        <v>201.6</v>
      </c>
      <c r="N1348" s="11">
        <f t="shared" si="43"/>
        <v>1881.6</v>
      </c>
    </row>
    <row r="1349" spans="3:14" x14ac:dyDescent="0.3">
      <c r="C1349" s="6">
        <v>44163</v>
      </c>
      <c r="D1349" s="7" t="s">
        <v>147</v>
      </c>
      <c r="E1349" s="8">
        <v>2020</v>
      </c>
      <c r="F1349" s="9" t="s">
        <v>45</v>
      </c>
      <c r="G1349" s="9" t="s">
        <v>16</v>
      </c>
      <c r="H1349" s="10" t="s">
        <v>132</v>
      </c>
      <c r="I1349" s="7">
        <v>5</v>
      </c>
      <c r="J1349" s="11">
        <v>23</v>
      </c>
      <c r="K1349" s="11">
        <f t="shared" si="42"/>
        <v>115</v>
      </c>
      <c r="L1349" s="11">
        <v>0</v>
      </c>
      <c r="M1349" s="11">
        <v>13.799999999999999</v>
      </c>
      <c r="N1349" s="11">
        <f t="shared" si="43"/>
        <v>128.80000000000001</v>
      </c>
    </row>
    <row r="1350" spans="3:14" x14ac:dyDescent="0.3">
      <c r="C1350" s="6">
        <v>44163</v>
      </c>
      <c r="D1350" s="7" t="s">
        <v>147</v>
      </c>
      <c r="E1350" s="8">
        <v>2020</v>
      </c>
      <c r="F1350" s="9" t="s">
        <v>45</v>
      </c>
      <c r="G1350" s="9" t="s">
        <v>37</v>
      </c>
      <c r="H1350" s="10" t="s">
        <v>63</v>
      </c>
      <c r="I1350" s="7">
        <v>63</v>
      </c>
      <c r="J1350" s="11">
        <v>75</v>
      </c>
      <c r="K1350" s="11">
        <f t="shared" si="42"/>
        <v>4725</v>
      </c>
      <c r="L1350" s="11">
        <v>0</v>
      </c>
      <c r="M1350" s="11">
        <v>567</v>
      </c>
      <c r="N1350" s="11">
        <f t="shared" si="43"/>
        <v>5292</v>
      </c>
    </row>
    <row r="1351" spans="3:14" x14ac:dyDescent="0.3">
      <c r="C1351" s="6">
        <v>44163</v>
      </c>
      <c r="D1351" s="7" t="s">
        <v>147</v>
      </c>
      <c r="E1351" s="8">
        <v>2020</v>
      </c>
      <c r="F1351" s="9" t="s">
        <v>123</v>
      </c>
      <c r="G1351" s="9" t="s">
        <v>14</v>
      </c>
      <c r="H1351" s="10" t="s">
        <v>57</v>
      </c>
      <c r="I1351" s="7">
        <v>9</v>
      </c>
      <c r="J1351" s="11">
        <v>85</v>
      </c>
      <c r="K1351" s="11">
        <f t="shared" si="42"/>
        <v>765</v>
      </c>
      <c r="L1351" s="11">
        <v>0</v>
      </c>
      <c r="M1351" s="11">
        <v>91.8</v>
      </c>
      <c r="N1351" s="11">
        <f t="shared" si="43"/>
        <v>856.8</v>
      </c>
    </row>
    <row r="1352" spans="3:14" x14ac:dyDescent="0.3">
      <c r="C1352" s="6">
        <v>44166</v>
      </c>
      <c r="D1352" s="7" t="s">
        <v>160</v>
      </c>
      <c r="E1352" s="8">
        <v>2020</v>
      </c>
      <c r="F1352" s="9" t="s">
        <v>190</v>
      </c>
      <c r="G1352" s="9" t="s">
        <v>32</v>
      </c>
      <c r="H1352" s="10" t="s">
        <v>134</v>
      </c>
      <c r="I1352" s="7">
        <v>15</v>
      </c>
      <c r="J1352" s="11">
        <v>32</v>
      </c>
      <c r="K1352" s="11">
        <f t="shared" si="42"/>
        <v>480</v>
      </c>
      <c r="L1352" s="11">
        <v>0.25</v>
      </c>
      <c r="M1352" s="11">
        <v>57.599999999999994</v>
      </c>
      <c r="N1352" s="11">
        <f t="shared" si="43"/>
        <v>537.35</v>
      </c>
    </row>
    <row r="1353" spans="3:14" x14ac:dyDescent="0.3">
      <c r="C1353" s="6">
        <v>44166</v>
      </c>
      <c r="D1353" s="7" t="s">
        <v>160</v>
      </c>
      <c r="E1353" s="8">
        <v>2020</v>
      </c>
      <c r="F1353" s="9" t="s">
        <v>190</v>
      </c>
      <c r="G1353" s="9" t="s">
        <v>32</v>
      </c>
      <c r="H1353" s="10" t="s">
        <v>54</v>
      </c>
      <c r="I1353" s="7">
        <v>16</v>
      </c>
      <c r="J1353" s="11">
        <v>83</v>
      </c>
      <c r="K1353" s="11">
        <f t="shared" si="42"/>
        <v>1328</v>
      </c>
      <c r="L1353" s="11">
        <v>0</v>
      </c>
      <c r="M1353" s="11">
        <v>159.35999999999999</v>
      </c>
      <c r="N1353" s="11">
        <f t="shared" si="43"/>
        <v>1487.36</v>
      </c>
    </row>
    <row r="1354" spans="3:14" x14ac:dyDescent="0.3">
      <c r="C1354" s="6">
        <v>44166</v>
      </c>
      <c r="D1354" s="7" t="s">
        <v>160</v>
      </c>
      <c r="E1354" s="8">
        <v>2020</v>
      </c>
      <c r="F1354" s="9" t="s">
        <v>190</v>
      </c>
      <c r="G1354" s="9" t="s">
        <v>37</v>
      </c>
      <c r="H1354" s="10" t="s">
        <v>82</v>
      </c>
      <c r="I1354" s="7">
        <v>24</v>
      </c>
      <c r="J1354" s="11">
        <v>27</v>
      </c>
      <c r="K1354" s="11">
        <f t="shared" si="42"/>
        <v>648</v>
      </c>
      <c r="L1354" s="11">
        <v>0.25</v>
      </c>
      <c r="M1354" s="11">
        <v>77.759999999999991</v>
      </c>
      <c r="N1354" s="11">
        <f t="shared" si="43"/>
        <v>725.51</v>
      </c>
    </row>
    <row r="1355" spans="3:14" x14ac:dyDescent="0.3">
      <c r="C1355" s="6">
        <v>44167</v>
      </c>
      <c r="D1355" s="7" t="s">
        <v>160</v>
      </c>
      <c r="E1355" s="8">
        <v>2020</v>
      </c>
      <c r="F1355" s="9" t="s">
        <v>66</v>
      </c>
      <c r="G1355" s="9" t="s">
        <v>32</v>
      </c>
      <c r="H1355" s="10" t="s">
        <v>134</v>
      </c>
      <c r="I1355" s="7">
        <v>66</v>
      </c>
      <c r="J1355" s="11">
        <v>62</v>
      </c>
      <c r="K1355" s="11">
        <f t="shared" si="42"/>
        <v>4092</v>
      </c>
      <c r="L1355" s="11">
        <v>0.25</v>
      </c>
      <c r="M1355" s="11">
        <v>491.03999999999996</v>
      </c>
      <c r="N1355" s="11">
        <f t="shared" si="43"/>
        <v>4582.79</v>
      </c>
    </row>
    <row r="1356" spans="3:14" x14ac:dyDescent="0.3">
      <c r="C1356" s="6">
        <v>44167</v>
      </c>
      <c r="D1356" s="7" t="s">
        <v>160</v>
      </c>
      <c r="E1356" s="8">
        <v>2020</v>
      </c>
      <c r="F1356" s="9" t="s">
        <v>66</v>
      </c>
      <c r="G1356" s="9" t="s">
        <v>37</v>
      </c>
      <c r="H1356" s="10" t="s">
        <v>98</v>
      </c>
      <c r="I1356" s="7">
        <v>98</v>
      </c>
      <c r="J1356" s="11">
        <v>55</v>
      </c>
      <c r="K1356" s="11">
        <f t="shared" si="42"/>
        <v>5390</v>
      </c>
      <c r="L1356" s="11">
        <v>0</v>
      </c>
      <c r="M1356" s="11">
        <v>646.79999999999995</v>
      </c>
      <c r="N1356" s="11">
        <f t="shared" si="43"/>
        <v>6036.8</v>
      </c>
    </row>
    <row r="1357" spans="3:14" x14ac:dyDescent="0.3">
      <c r="C1357" s="6">
        <v>44167</v>
      </c>
      <c r="D1357" s="7" t="s">
        <v>160</v>
      </c>
      <c r="E1357" s="8">
        <v>2020</v>
      </c>
      <c r="F1357" s="9" t="s">
        <v>70</v>
      </c>
      <c r="G1357" s="9" t="s">
        <v>37</v>
      </c>
      <c r="H1357" s="10" t="s">
        <v>38</v>
      </c>
      <c r="I1357" s="7">
        <v>65</v>
      </c>
      <c r="J1357" s="11">
        <v>51</v>
      </c>
      <c r="K1357" s="11">
        <f t="shared" si="42"/>
        <v>3315</v>
      </c>
      <c r="L1357" s="11">
        <v>0</v>
      </c>
      <c r="M1357" s="11">
        <v>397.8</v>
      </c>
      <c r="N1357" s="11">
        <f t="shared" si="43"/>
        <v>3712.8</v>
      </c>
    </row>
    <row r="1358" spans="3:14" x14ac:dyDescent="0.3">
      <c r="C1358" s="6">
        <v>44167</v>
      </c>
      <c r="D1358" s="7" t="s">
        <v>160</v>
      </c>
      <c r="E1358" s="8">
        <v>2020</v>
      </c>
      <c r="F1358" s="9" t="s">
        <v>70</v>
      </c>
      <c r="G1358" s="9" t="s">
        <v>32</v>
      </c>
      <c r="H1358" s="10" t="s">
        <v>143</v>
      </c>
      <c r="I1358" s="7">
        <v>12</v>
      </c>
      <c r="J1358" s="11">
        <v>29</v>
      </c>
      <c r="K1358" s="11">
        <f t="shared" si="42"/>
        <v>348</v>
      </c>
      <c r="L1358" s="11">
        <v>0</v>
      </c>
      <c r="M1358" s="11">
        <v>41.76</v>
      </c>
      <c r="N1358" s="11">
        <f t="shared" si="43"/>
        <v>389.76</v>
      </c>
    </row>
    <row r="1359" spans="3:14" x14ac:dyDescent="0.3">
      <c r="C1359" s="6">
        <v>44167</v>
      </c>
      <c r="D1359" s="7" t="s">
        <v>160</v>
      </c>
      <c r="E1359" s="8">
        <v>2020</v>
      </c>
      <c r="F1359" s="9" t="s">
        <v>70</v>
      </c>
      <c r="G1359" s="9" t="s">
        <v>20</v>
      </c>
      <c r="H1359" s="10" t="s">
        <v>22</v>
      </c>
      <c r="I1359" s="7">
        <v>59</v>
      </c>
      <c r="J1359" s="11">
        <v>90</v>
      </c>
      <c r="K1359" s="11">
        <f t="shared" si="42"/>
        <v>5310</v>
      </c>
      <c r="L1359" s="11">
        <v>0</v>
      </c>
      <c r="M1359" s="11">
        <v>637.19999999999993</v>
      </c>
      <c r="N1359" s="11">
        <f t="shared" si="43"/>
        <v>5947.2</v>
      </c>
    </row>
    <row r="1360" spans="3:14" x14ac:dyDescent="0.3">
      <c r="C1360" s="6">
        <v>44167</v>
      </c>
      <c r="D1360" s="7" t="s">
        <v>160</v>
      </c>
      <c r="E1360" s="8">
        <v>2020</v>
      </c>
      <c r="F1360" s="9" t="s">
        <v>70</v>
      </c>
      <c r="G1360" s="9" t="s">
        <v>16</v>
      </c>
      <c r="H1360" s="10" t="s">
        <v>68</v>
      </c>
      <c r="I1360" s="7">
        <v>6</v>
      </c>
      <c r="J1360" s="11">
        <v>44</v>
      </c>
      <c r="K1360" s="11">
        <f t="shared" si="42"/>
        <v>264</v>
      </c>
      <c r="L1360" s="11">
        <v>0</v>
      </c>
      <c r="M1360" s="11">
        <v>31.68</v>
      </c>
      <c r="N1360" s="11">
        <f t="shared" si="43"/>
        <v>295.68</v>
      </c>
    </row>
    <row r="1361" spans="3:14" x14ac:dyDescent="0.3">
      <c r="C1361" s="6">
        <v>44168</v>
      </c>
      <c r="D1361" s="7" t="s">
        <v>160</v>
      </c>
      <c r="E1361" s="8">
        <v>2020</v>
      </c>
      <c r="F1361" s="9" t="s">
        <v>171</v>
      </c>
      <c r="G1361" s="9" t="s">
        <v>32</v>
      </c>
      <c r="H1361" s="10" t="s">
        <v>59</v>
      </c>
      <c r="I1361" s="7">
        <v>20</v>
      </c>
      <c r="J1361" s="11">
        <v>88</v>
      </c>
      <c r="K1361" s="11">
        <f t="shared" si="42"/>
        <v>1760</v>
      </c>
      <c r="L1361" s="11">
        <v>0</v>
      </c>
      <c r="M1361" s="11">
        <v>211.2</v>
      </c>
      <c r="N1361" s="11">
        <f t="shared" si="43"/>
        <v>1971.2</v>
      </c>
    </row>
    <row r="1362" spans="3:14" x14ac:dyDescent="0.3">
      <c r="C1362" s="6">
        <v>44168</v>
      </c>
      <c r="D1362" s="7" t="s">
        <v>160</v>
      </c>
      <c r="E1362" s="8">
        <v>2020</v>
      </c>
      <c r="F1362" s="9" t="s">
        <v>171</v>
      </c>
      <c r="G1362" s="9" t="s">
        <v>16</v>
      </c>
      <c r="H1362" s="10" t="s">
        <v>29</v>
      </c>
      <c r="I1362" s="7">
        <v>60</v>
      </c>
      <c r="J1362" s="11">
        <v>84</v>
      </c>
      <c r="K1362" s="11">
        <f t="shared" si="42"/>
        <v>5040</v>
      </c>
      <c r="L1362" s="11">
        <v>0</v>
      </c>
      <c r="M1362" s="11">
        <v>604.79999999999995</v>
      </c>
      <c r="N1362" s="11">
        <f t="shared" si="43"/>
        <v>5644.8</v>
      </c>
    </row>
    <row r="1363" spans="3:14" x14ac:dyDescent="0.3">
      <c r="C1363" s="6">
        <v>44168</v>
      </c>
      <c r="D1363" s="7" t="s">
        <v>160</v>
      </c>
      <c r="E1363" s="8">
        <v>2020</v>
      </c>
      <c r="F1363" s="9" t="s">
        <v>171</v>
      </c>
      <c r="G1363" s="9" t="s">
        <v>37</v>
      </c>
      <c r="H1363" s="10" t="s">
        <v>41</v>
      </c>
      <c r="I1363" s="7">
        <v>22</v>
      </c>
      <c r="J1363" s="11">
        <v>50</v>
      </c>
      <c r="K1363" s="11">
        <f t="shared" si="42"/>
        <v>1100</v>
      </c>
      <c r="L1363" s="11">
        <v>0</v>
      </c>
      <c r="M1363" s="11">
        <v>132</v>
      </c>
      <c r="N1363" s="11">
        <f t="shared" si="43"/>
        <v>1232</v>
      </c>
    </row>
    <row r="1364" spans="3:14" x14ac:dyDescent="0.3">
      <c r="C1364" s="6">
        <v>44168</v>
      </c>
      <c r="D1364" s="7" t="s">
        <v>160</v>
      </c>
      <c r="E1364" s="8">
        <v>2020</v>
      </c>
      <c r="F1364" s="9" t="s">
        <v>55</v>
      </c>
      <c r="G1364" s="9" t="s">
        <v>26</v>
      </c>
      <c r="H1364" s="10" t="s">
        <v>112</v>
      </c>
      <c r="I1364" s="7">
        <v>29</v>
      </c>
      <c r="J1364" s="11">
        <v>96</v>
      </c>
      <c r="K1364" s="11">
        <f t="shared" si="42"/>
        <v>2784</v>
      </c>
      <c r="L1364" s="11">
        <v>0.10000000149011599</v>
      </c>
      <c r="M1364" s="11">
        <v>334.08</v>
      </c>
      <c r="N1364" s="11">
        <f t="shared" si="43"/>
        <v>3117.9799999985098</v>
      </c>
    </row>
    <row r="1365" spans="3:14" x14ac:dyDescent="0.3">
      <c r="C1365" s="6">
        <v>44168</v>
      </c>
      <c r="D1365" s="7" t="s">
        <v>160</v>
      </c>
      <c r="E1365" s="8">
        <v>2020</v>
      </c>
      <c r="F1365" s="9" t="s">
        <v>55</v>
      </c>
      <c r="G1365" s="9" t="s">
        <v>37</v>
      </c>
      <c r="H1365" s="10" t="s">
        <v>38</v>
      </c>
      <c r="I1365" s="7">
        <v>77</v>
      </c>
      <c r="J1365" s="11">
        <v>12</v>
      </c>
      <c r="K1365" s="11">
        <f t="shared" si="42"/>
        <v>924</v>
      </c>
      <c r="L1365" s="11">
        <v>0.10000000149011599</v>
      </c>
      <c r="M1365" s="11">
        <v>110.88</v>
      </c>
      <c r="N1365" s="11">
        <f t="shared" si="43"/>
        <v>1034.77999999851</v>
      </c>
    </row>
    <row r="1366" spans="3:14" x14ac:dyDescent="0.3">
      <c r="C1366" s="6">
        <v>44169</v>
      </c>
      <c r="D1366" s="7" t="s">
        <v>160</v>
      </c>
      <c r="E1366" s="8">
        <v>2020</v>
      </c>
      <c r="F1366" s="9" t="s">
        <v>84</v>
      </c>
      <c r="G1366" s="9" t="s">
        <v>26</v>
      </c>
      <c r="H1366" s="10" t="s">
        <v>27</v>
      </c>
      <c r="I1366" s="7">
        <v>100</v>
      </c>
      <c r="J1366" s="11">
        <v>67</v>
      </c>
      <c r="K1366" s="11">
        <f t="shared" si="42"/>
        <v>6700</v>
      </c>
      <c r="L1366" s="11">
        <v>0.10000000149011599</v>
      </c>
      <c r="M1366" s="11">
        <v>804</v>
      </c>
      <c r="N1366" s="11">
        <f t="shared" si="43"/>
        <v>7503.8999999985099</v>
      </c>
    </row>
    <row r="1367" spans="3:14" x14ac:dyDescent="0.3">
      <c r="C1367" s="6">
        <v>44170</v>
      </c>
      <c r="D1367" s="7" t="s">
        <v>160</v>
      </c>
      <c r="E1367" s="8">
        <v>2020</v>
      </c>
      <c r="F1367" s="9" t="s">
        <v>170</v>
      </c>
      <c r="G1367" s="9" t="s">
        <v>37</v>
      </c>
      <c r="H1367" s="10" t="s">
        <v>46</v>
      </c>
      <c r="I1367" s="7">
        <v>26</v>
      </c>
      <c r="J1367" s="11">
        <v>88</v>
      </c>
      <c r="K1367" s="11">
        <f t="shared" si="42"/>
        <v>2288</v>
      </c>
      <c r="L1367" s="11">
        <v>0</v>
      </c>
      <c r="M1367" s="11">
        <v>274.56</v>
      </c>
      <c r="N1367" s="11">
        <f t="shared" si="43"/>
        <v>2562.56</v>
      </c>
    </row>
    <row r="1368" spans="3:14" x14ac:dyDescent="0.3">
      <c r="C1368" s="6">
        <v>44170</v>
      </c>
      <c r="D1368" s="7" t="s">
        <v>160</v>
      </c>
      <c r="E1368" s="8">
        <v>2020</v>
      </c>
      <c r="F1368" s="9" t="s">
        <v>170</v>
      </c>
      <c r="G1368" s="9" t="s">
        <v>20</v>
      </c>
      <c r="H1368" s="10" t="s">
        <v>67</v>
      </c>
      <c r="I1368" s="7">
        <v>46</v>
      </c>
      <c r="J1368" s="11">
        <v>80</v>
      </c>
      <c r="K1368" s="11">
        <f t="shared" si="42"/>
        <v>3680</v>
      </c>
      <c r="L1368" s="11">
        <v>0</v>
      </c>
      <c r="M1368" s="11">
        <v>441.59999999999997</v>
      </c>
      <c r="N1368" s="11">
        <f t="shared" si="43"/>
        <v>4121.6000000000004</v>
      </c>
    </row>
    <row r="1369" spans="3:14" x14ac:dyDescent="0.3">
      <c r="C1369" s="6">
        <v>44170</v>
      </c>
      <c r="D1369" s="7" t="s">
        <v>160</v>
      </c>
      <c r="E1369" s="8">
        <v>2020</v>
      </c>
      <c r="F1369" s="9" t="s">
        <v>170</v>
      </c>
      <c r="G1369" s="9" t="s">
        <v>32</v>
      </c>
      <c r="H1369" s="10" t="s">
        <v>110</v>
      </c>
      <c r="I1369" s="7">
        <v>94</v>
      </c>
      <c r="J1369" s="11">
        <v>30</v>
      </c>
      <c r="K1369" s="11">
        <f t="shared" si="42"/>
        <v>2820</v>
      </c>
      <c r="L1369" s="11">
        <v>0</v>
      </c>
      <c r="M1369" s="11">
        <v>338.4</v>
      </c>
      <c r="N1369" s="11">
        <f t="shared" si="43"/>
        <v>3158.4</v>
      </c>
    </row>
    <row r="1370" spans="3:14" x14ac:dyDescent="0.3">
      <c r="C1370" s="6">
        <v>44170</v>
      </c>
      <c r="D1370" s="7" t="s">
        <v>160</v>
      </c>
      <c r="E1370" s="8">
        <v>2020</v>
      </c>
      <c r="F1370" s="9" t="s">
        <v>31</v>
      </c>
      <c r="G1370" s="9" t="s">
        <v>16</v>
      </c>
      <c r="H1370" s="10" t="s">
        <v>17</v>
      </c>
      <c r="I1370" s="7">
        <v>68</v>
      </c>
      <c r="J1370" s="11">
        <v>24</v>
      </c>
      <c r="K1370" s="11">
        <f t="shared" si="42"/>
        <v>1632</v>
      </c>
      <c r="L1370" s="11">
        <v>0</v>
      </c>
      <c r="M1370" s="11">
        <v>195.84</v>
      </c>
      <c r="N1370" s="11">
        <f t="shared" si="43"/>
        <v>1827.84</v>
      </c>
    </row>
    <row r="1371" spans="3:14" x14ac:dyDescent="0.3">
      <c r="C1371" s="6">
        <v>44173</v>
      </c>
      <c r="D1371" s="7" t="s">
        <v>160</v>
      </c>
      <c r="E1371" s="8">
        <v>2020</v>
      </c>
      <c r="F1371" s="9" t="s">
        <v>153</v>
      </c>
      <c r="G1371" s="9" t="s">
        <v>16</v>
      </c>
      <c r="H1371" s="10" t="s">
        <v>29</v>
      </c>
      <c r="I1371" s="7">
        <v>65</v>
      </c>
      <c r="J1371" s="11">
        <v>80</v>
      </c>
      <c r="K1371" s="11">
        <f t="shared" si="42"/>
        <v>5200</v>
      </c>
      <c r="L1371" s="11">
        <v>0</v>
      </c>
      <c r="M1371" s="11">
        <v>624</v>
      </c>
      <c r="N1371" s="11">
        <f t="shared" si="43"/>
        <v>5824</v>
      </c>
    </row>
    <row r="1372" spans="3:14" x14ac:dyDescent="0.3">
      <c r="C1372" s="6">
        <v>44173</v>
      </c>
      <c r="D1372" s="7" t="s">
        <v>160</v>
      </c>
      <c r="E1372" s="8">
        <v>2020</v>
      </c>
      <c r="F1372" s="9" t="s">
        <v>153</v>
      </c>
      <c r="G1372" s="9" t="s">
        <v>14</v>
      </c>
      <c r="H1372" s="10" t="s">
        <v>36</v>
      </c>
      <c r="I1372" s="7">
        <v>71</v>
      </c>
      <c r="J1372" s="11">
        <v>43</v>
      </c>
      <c r="K1372" s="11">
        <f t="shared" si="42"/>
        <v>3053</v>
      </c>
      <c r="L1372" s="11">
        <v>0</v>
      </c>
      <c r="M1372" s="11">
        <v>366.36</v>
      </c>
      <c r="N1372" s="11">
        <f t="shared" si="43"/>
        <v>3419.36</v>
      </c>
    </row>
    <row r="1373" spans="3:14" x14ac:dyDescent="0.3">
      <c r="C1373" s="6">
        <v>44173</v>
      </c>
      <c r="D1373" s="7" t="s">
        <v>160</v>
      </c>
      <c r="E1373" s="8">
        <v>2020</v>
      </c>
      <c r="F1373" s="9" t="s">
        <v>153</v>
      </c>
      <c r="G1373" s="9" t="s">
        <v>14</v>
      </c>
      <c r="H1373" s="10" t="s">
        <v>35</v>
      </c>
      <c r="I1373" s="7">
        <v>70</v>
      </c>
      <c r="J1373" s="11">
        <v>29</v>
      </c>
      <c r="K1373" s="11">
        <f t="shared" si="42"/>
        <v>2030</v>
      </c>
      <c r="L1373" s="11">
        <v>0</v>
      </c>
      <c r="M1373" s="11">
        <v>243.6</v>
      </c>
      <c r="N1373" s="11">
        <f t="shared" si="43"/>
        <v>2273.6</v>
      </c>
    </row>
    <row r="1374" spans="3:14" x14ac:dyDescent="0.3">
      <c r="C1374" s="6">
        <v>44173</v>
      </c>
      <c r="D1374" s="7" t="s">
        <v>160</v>
      </c>
      <c r="E1374" s="8">
        <v>2020</v>
      </c>
      <c r="F1374" s="9" t="s">
        <v>153</v>
      </c>
      <c r="G1374" s="9" t="s">
        <v>14</v>
      </c>
      <c r="H1374" s="10" t="s">
        <v>87</v>
      </c>
      <c r="I1374" s="7">
        <v>26</v>
      </c>
      <c r="J1374" s="11">
        <v>74</v>
      </c>
      <c r="K1374" s="11">
        <f t="shared" si="42"/>
        <v>1924</v>
      </c>
      <c r="L1374" s="11">
        <v>0</v>
      </c>
      <c r="M1374" s="11">
        <v>230.88</v>
      </c>
      <c r="N1374" s="11">
        <f t="shared" si="43"/>
        <v>2154.88</v>
      </c>
    </row>
    <row r="1375" spans="3:14" x14ac:dyDescent="0.3">
      <c r="C1375" s="6">
        <v>44173</v>
      </c>
      <c r="D1375" s="7" t="s">
        <v>160</v>
      </c>
      <c r="E1375" s="8">
        <v>2020</v>
      </c>
      <c r="F1375" s="9" t="s">
        <v>159</v>
      </c>
      <c r="G1375" s="9" t="s">
        <v>24</v>
      </c>
      <c r="H1375" s="10" t="s">
        <v>25</v>
      </c>
      <c r="I1375" s="7">
        <v>53</v>
      </c>
      <c r="J1375" s="11">
        <v>25</v>
      </c>
      <c r="K1375" s="11">
        <f t="shared" si="42"/>
        <v>1325</v>
      </c>
      <c r="L1375" s="11">
        <v>5.0000000745058101E-2</v>
      </c>
      <c r="M1375" s="11">
        <v>159</v>
      </c>
      <c r="N1375" s="11">
        <f t="shared" si="43"/>
        <v>1483.9499999992549</v>
      </c>
    </row>
    <row r="1376" spans="3:14" x14ac:dyDescent="0.3">
      <c r="C1376" s="6">
        <v>44173</v>
      </c>
      <c r="D1376" s="7" t="s">
        <v>160</v>
      </c>
      <c r="E1376" s="8">
        <v>2020</v>
      </c>
      <c r="F1376" s="9" t="s">
        <v>159</v>
      </c>
      <c r="G1376" s="9" t="s">
        <v>16</v>
      </c>
      <c r="H1376" s="10" t="s">
        <v>132</v>
      </c>
      <c r="I1376" s="7">
        <v>87</v>
      </c>
      <c r="J1376" s="11">
        <v>98</v>
      </c>
      <c r="K1376" s="11">
        <f t="shared" si="42"/>
        <v>8526</v>
      </c>
      <c r="L1376" s="11">
        <v>5.0000000745058101E-2</v>
      </c>
      <c r="M1376" s="11">
        <v>1023.12</v>
      </c>
      <c r="N1376" s="11">
        <f t="shared" si="43"/>
        <v>9549.0699999992557</v>
      </c>
    </row>
    <row r="1377" spans="3:14" x14ac:dyDescent="0.3">
      <c r="C1377" s="6">
        <v>44173</v>
      </c>
      <c r="D1377" s="7" t="s">
        <v>160</v>
      </c>
      <c r="E1377" s="8">
        <v>2020</v>
      </c>
      <c r="F1377" s="9" t="s">
        <v>159</v>
      </c>
      <c r="G1377" s="9" t="s">
        <v>26</v>
      </c>
      <c r="H1377" s="10" t="s">
        <v>173</v>
      </c>
      <c r="I1377" s="7">
        <v>15</v>
      </c>
      <c r="J1377" s="11">
        <v>22</v>
      </c>
      <c r="K1377" s="11">
        <f t="shared" si="42"/>
        <v>330</v>
      </c>
      <c r="L1377" s="11">
        <v>0</v>
      </c>
      <c r="M1377" s="11">
        <v>39.6</v>
      </c>
      <c r="N1377" s="11">
        <f t="shared" si="43"/>
        <v>369.6</v>
      </c>
    </row>
    <row r="1378" spans="3:14" x14ac:dyDescent="0.3">
      <c r="C1378" s="6">
        <v>44173</v>
      </c>
      <c r="D1378" s="7" t="s">
        <v>160</v>
      </c>
      <c r="E1378" s="8">
        <v>2020</v>
      </c>
      <c r="F1378" s="9" t="s">
        <v>159</v>
      </c>
      <c r="G1378" s="9" t="s">
        <v>32</v>
      </c>
      <c r="H1378" s="10" t="s">
        <v>62</v>
      </c>
      <c r="I1378" s="7">
        <v>56</v>
      </c>
      <c r="J1378" s="11">
        <v>15</v>
      </c>
      <c r="K1378" s="11">
        <f t="shared" si="42"/>
        <v>840</v>
      </c>
      <c r="L1378" s="11">
        <v>0</v>
      </c>
      <c r="M1378" s="11">
        <v>100.8</v>
      </c>
      <c r="N1378" s="11">
        <f t="shared" si="43"/>
        <v>940.8</v>
      </c>
    </row>
    <row r="1379" spans="3:14" x14ac:dyDescent="0.3">
      <c r="C1379" s="6">
        <v>44174</v>
      </c>
      <c r="D1379" s="7" t="s">
        <v>160</v>
      </c>
      <c r="E1379" s="8">
        <v>2020</v>
      </c>
      <c r="F1379" s="9" t="s">
        <v>23</v>
      </c>
      <c r="G1379" s="9" t="s">
        <v>14</v>
      </c>
      <c r="H1379" s="10" t="s">
        <v>15</v>
      </c>
      <c r="I1379" s="7">
        <v>7</v>
      </c>
      <c r="J1379" s="11">
        <v>12</v>
      </c>
      <c r="K1379" s="11">
        <f t="shared" si="42"/>
        <v>84</v>
      </c>
      <c r="L1379" s="11">
        <v>0.25</v>
      </c>
      <c r="M1379" s="11">
        <v>10.08</v>
      </c>
      <c r="N1379" s="11">
        <f t="shared" si="43"/>
        <v>93.83</v>
      </c>
    </row>
    <row r="1380" spans="3:14" x14ac:dyDescent="0.3">
      <c r="C1380" s="6">
        <v>44175</v>
      </c>
      <c r="D1380" s="7" t="s">
        <v>160</v>
      </c>
      <c r="E1380" s="8">
        <v>2020</v>
      </c>
      <c r="F1380" s="9" t="s">
        <v>55</v>
      </c>
      <c r="G1380" s="9" t="s">
        <v>14</v>
      </c>
      <c r="H1380" s="10" t="s">
        <v>87</v>
      </c>
      <c r="I1380" s="7">
        <v>30</v>
      </c>
      <c r="J1380" s="11">
        <v>31</v>
      </c>
      <c r="K1380" s="11">
        <f t="shared" si="42"/>
        <v>930</v>
      </c>
      <c r="L1380" s="11">
        <v>0</v>
      </c>
      <c r="M1380" s="11">
        <v>111.6</v>
      </c>
      <c r="N1380" s="11">
        <f t="shared" si="43"/>
        <v>1041.5999999999999</v>
      </c>
    </row>
    <row r="1381" spans="3:14" x14ac:dyDescent="0.3">
      <c r="C1381" s="6">
        <v>44175</v>
      </c>
      <c r="D1381" s="7" t="s">
        <v>160</v>
      </c>
      <c r="E1381" s="8">
        <v>2020</v>
      </c>
      <c r="F1381" s="9" t="s">
        <v>97</v>
      </c>
      <c r="G1381" s="9" t="s">
        <v>42</v>
      </c>
      <c r="H1381" s="10" t="s">
        <v>79</v>
      </c>
      <c r="I1381" s="7">
        <v>27</v>
      </c>
      <c r="J1381" s="11">
        <v>24</v>
      </c>
      <c r="K1381" s="11">
        <f t="shared" si="42"/>
        <v>648</v>
      </c>
      <c r="L1381" s="11">
        <v>0</v>
      </c>
      <c r="M1381" s="11">
        <v>77.759999999999991</v>
      </c>
      <c r="N1381" s="11">
        <f t="shared" si="43"/>
        <v>725.76</v>
      </c>
    </row>
    <row r="1382" spans="3:14" x14ac:dyDescent="0.3">
      <c r="C1382" s="6">
        <v>44175</v>
      </c>
      <c r="D1382" s="7" t="s">
        <v>160</v>
      </c>
      <c r="E1382" s="8">
        <v>2020</v>
      </c>
      <c r="F1382" s="9" t="s">
        <v>97</v>
      </c>
      <c r="G1382" s="9" t="s">
        <v>14</v>
      </c>
      <c r="H1382" s="10" t="s">
        <v>49</v>
      </c>
      <c r="I1382" s="7">
        <v>53</v>
      </c>
      <c r="J1382" s="11">
        <v>59</v>
      </c>
      <c r="K1382" s="11">
        <f t="shared" si="42"/>
        <v>3127</v>
      </c>
      <c r="L1382" s="11">
        <v>0</v>
      </c>
      <c r="M1382" s="11">
        <v>375.24</v>
      </c>
      <c r="N1382" s="11">
        <f t="shared" si="43"/>
        <v>3502.24</v>
      </c>
    </row>
    <row r="1383" spans="3:14" x14ac:dyDescent="0.3">
      <c r="C1383" s="6">
        <v>44176</v>
      </c>
      <c r="D1383" s="7" t="s">
        <v>160</v>
      </c>
      <c r="E1383" s="8">
        <v>2020</v>
      </c>
      <c r="F1383" s="9" t="s">
        <v>55</v>
      </c>
      <c r="G1383" s="9" t="s">
        <v>42</v>
      </c>
      <c r="H1383" s="10" t="s">
        <v>72</v>
      </c>
      <c r="I1383" s="7">
        <v>16</v>
      </c>
      <c r="J1383" s="11">
        <v>86</v>
      </c>
      <c r="K1383" s="11">
        <f t="shared" si="42"/>
        <v>1376</v>
      </c>
      <c r="L1383" s="11">
        <v>0</v>
      </c>
      <c r="M1383" s="11">
        <v>165.12</v>
      </c>
      <c r="N1383" s="11">
        <f t="shared" si="43"/>
        <v>1541.12</v>
      </c>
    </row>
    <row r="1384" spans="3:14" x14ac:dyDescent="0.3">
      <c r="C1384" s="6">
        <v>44176</v>
      </c>
      <c r="D1384" s="7" t="s">
        <v>160</v>
      </c>
      <c r="E1384" s="8">
        <v>2020</v>
      </c>
      <c r="F1384" s="9" t="s">
        <v>55</v>
      </c>
      <c r="G1384" s="9" t="s">
        <v>14</v>
      </c>
      <c r="H1384" s="10" t="s">
        <v>36</v>
      </c>
      <c r="I1384" s="7">
        <v>72</v>
      </c>
      <c r="J1384" s="11">
        <v>90</v>
      </c>
      <c r="K1384" s="11">
        <f t="shared" si="42"/>
        <v>6480</v>
      </c>
      <c r="L1384" s="11">
        <v>0.20000000298023199</v>
      </c>
      <c r="M1384" s="11">
        <v>777.6</v>
      </c>
      <c r="N1384" s="11">
        <f t="shared" si="43"/>
        <v>7257.3999999970201</v>
      </c>
    </row>
    <row r="1385" spans="3:14" x14ac:dyDescent="0.3">
      <c r="C1385" s="6">
        <v>44176</v>
      </c>
      <c r="D1385" s="7" t="s">
        <v>160</v>
      </c>
      <c r="E1385" s="8">
        <v>2020</v>
      </c>
      <c r="F1385" s="9" t="s">
        <v>55</v>
      </c>
      <c r="G1385" s="9" t="s">
        <v>37</v>
      </c>
      <c r="H1385" s="10" t="s">
        <v>98</v>
      </c>
      <c r="I1385" s="7">
        <v>93</v>
      </c>
      <c r="J1385" s="11">
        <v>15</v>
      </c>
      <c r="K1385" s="11">
        <f t="shared" si="42"/>
        <v>1395</v>
      </c>
      <c r="L1385" s="11">
        <v>0.20000000298023199</v>
      </c>
      <c r="M1385" s="11">
        <v>167.4</v>
      </c>
      <c r="N1385" s="11">
        <f t="shared" si="43"/>
        <v>1562.1999999970199</v>
      </c>
    </row>
    <row r="1386" spans="3:14" x14ac:dyDescent="0.3">
      <c r="C1386" s="6">
        <v>44176</v>
      </c>
      <c r="D1386" s="7" t="s">
        <v>160</v>
      </c>
      <c r="E1386" s="8">
        <v>2020</v>
      </c>
      <c r="F1386" s="9" t="s">
        <v>70</v>
      </c>
      <c r="G1386" s="9" t="s">
        <v>14</v>
      </c>
      <c r="H1386" s="10" t="s">
        <v>36</v>
      </c>
      <c r="I1386" s="7">
        <v>9</v>
      </c>
      <c r="J1386" s="11">
        <v>14</v>
      </c>
      <c r="K1386" s="11">
        <f t="shared" si="42"/>
        <v>126</v>
      </c>
      <c r="L1386" s="11">
        <v>0.25</v>
      </c>
      <c r="M1386" s="11">
        <v>15.12</v>
      </c>
      <c r="N1386" s="11">
        <f t="shared" si="43"/>
        <v>140.87</v>
      </c>
    </row>
    <row r="1387" spans="3:14" x14ac:dyDescent="0.3">
      <c r="C1387" s="6">
        <v>44176</v>
      </c>
      <c r="D1387" s="7" t="s">
        <v>160</v>
      </c>
      <c r="E1387" s="8">
        <v>2020</v>
      </c>
      <c r="F1387" s="9" t="s">
        <v>70</v>
      </c>
      <c r="G1387" s="9" t="s">
        <v>26</v>
      </c>
      <c r="H1387" s="10" t="s">
        <v>119</v>
      </c>
      <c r="I1387" s="7">
        <v>23</v>
      </c>
      <c r="J1387" s="11">
        <v>51</v>
      </c>
      <c r="K1387" s="11">
        <f t="shared" si="42"/>
        <v>1173</v>
      </c>
      <c r="L1387" s="11">
        <v>0</v>
      </c>
      <c r="M1387" s="11">
        <v>140.76</v>
      </c>
      <c r="N1387" s="11">
        <f t="shared" si="43"/>
        <v>1313.76</v>
      </c>
    </row>
    <row r="1388" spans="3:14" x14ac:dyDescent="0.3">
      <c r="C1388" s="6">
        <v>44177</v>
      </c>
      <c r="D1388" s="7" t="s">
        <v>160</v>
      </c>
      <c r="E1388" s="8">
        <v>2020</v>
      </c>
      <c r="F1388" s="9" t="s">
        <v>194</v>
      </c>
      <c r="G1388" s="9" t="s">
        <v>24</v>
      </c>
      <c r="H1388" s="10" t="s">
        <v>85</v>
      </c>
      <c r="I1388" s="7">
        <v>13</v>
      </c>
      <c r="J1388" s="11">
        <v>24</v>
      </c>
      <c r="K1388" s="11">
        <f t="shared" si="42"/>
        <v>312</v>
      </c>
      <c r="L1388" s="11">
        <v>0</v>
      </c>
      <c r="M1388" s="11">
        <v>37.44</v>
      </c>
      <c r="N1388" s="11">
        <f t="shared" si="43"/>
        <v>349.44</v>
      </c>
    </row>
    <row r="1389" spans="3:14" x14ac:dyDescent="0.3">
      <c r="C1389" s="6">
        <v>44177</v>
      </c>
      <c r="D1389" s="7" t="s">
        <v>160</v>
      </c>
      <c r="E1389" s="8">
        <v>2020</v>
      </c>
      <c r="F1389" s="9" t="s">
        <v>194</v>
      </c>
      <c r="G1389" s="9" t="s">
        <v>37</v>
      </c>
      <c r="H1389" s="10" t="s">
        <v>103</v>
      </c>
      <c r="I1389" s="7">
        <v>60</v>
      </c>
      <c r="J1389" s="11">
        <v>54</v>
      </c>
      <c r="K1389" s="11">
        <f t="shared" si="42"/>
        <v>3240</v>
      </c>
      <c r="L1389" s="11">
        <v>0</v>
      </c>
      <c r="M1389" s="11">
        <v>388.8</v>
      </c>
      <c r="N1389" s="11">
        <f t="shared" si="43"/>
        <v>3628.8</v>
      </c>
    </row>
    <row r="1390" spans="3:14" x14ac:dyDescent="0.3">
      <c r="C1390" s="6">
        <v>44180</v>
      </c>
      <c r="D1390" s="7" t="s">
        <v>160</v>
      </c>
      <c r="E1390" s="8">
        <v>2020</v>
      </c>
      <c r="F1390" s="9" t="s">
        <v>55</v>
      </c>
      <c r="G1390" s="9" t="s">
        <v>14</v>
      </c>
      <c r="H1390" s="10" t="s">
        <v>36</v>
      </c>
      <c r="I1390" s="7">
        <v>15</v>
      </c>
      <c r="J1390" s="11">
        <v>10</v>
      </c>
      <c r="K1390" s="11">
        <f t="shared" si="42"/>
        <v>150</v>
      </c>
      <c r="L1390" s="11">
        <v>5.0000000745058101E-2</v>
      </c>
      <c r="M1390" s="11">
        <v>18</v>
      </c>
      <c r="N1390" s="11">
        <f t="shared" si="43"/>
        <v>167.94999999925494</v>
      </c>
    </row>
    <row r="1391" spans="3:14" x14ac:dyDescent="0.3">
      <c r="C1391" s="6">
        <v>44180</v>
      </c>
      <c r="D1391" s="7" t="s">
        <v>160</v>
      </c>
      <c r="E1391" s="8">
        <v>2020</v>
      </c>
      <c r="F1391" s="9" t="s">
        <v>55</v>
      </c>
      <c r="G1391" s="9" t="s">
        <v>16</v>
      </c>
      <c r="H1391" s="10" t="s">
        <v>17</v>
      </c>
      <c r="I1391" s="7">
        <v>90</v>
      </c>
      <c r="J1391" s="11">
        <v>89</v>
      </c>
      <c r="K1391" s="11">
        <f t="shared" si="42"/>
        <v>8010</v>
      </c>
      <c r="L1391" s="11">
        <v>5.0000000745058101E-2</v>
      </c>
      <c r="M1391" s="11">
        <v>961.19999999999993</v>
      </c>
      <c r="N1391" s="11">
        <f t="shared" si="43"/>
        <v>8971.1499999992557</v>
      </c>
    </row>
    <row r="1392" spans="3:14" x14ac:dyDescent="0.3">
      <c r="C1392" s="6">
        <v>44180</v>
      </c>
      <c r="D1392" s="7" t="s">
        <v>160</v>
      </c>
      <c r="E1392" s="8">
        <v>2020</v>
      </c>
      <c r="F1392" s="9" t="s">
        <v>55</v>
      </c>
      <c r="G1392" s="9" t="s">
        <v>24</v>
      </c>
      <c r="H1392" s="10" t="s">
        <v>165</v>
      </c>
      <c r="I1392" s="7">
        <v>78</v>
      </c>
      <c r="J1392" s="11">
        <v>17</v>
      </c>
      <c r="K1392" s="11">
        <f t="shared" si="42"/>
        <v>1326</v>
      </c>
      <c r="L1392" s="11">
        <v>5.0000000745058101E-2</v>
      </c>
      <c r="M1392" s="11">
        <v>159.12</v>
      </c>
      <c r="N1392" s="11">
        <f t="shared" si="43"/>
        <v>1485.0699999992548</v>
      </c>
    </row>
    <row r="1393" spans="3:14" x14ac:dyDescent="0.3">
      <c r="C1393" s="6">
        <v>44180</v>
      </c>
      <c r="D1393" s="7" t="s">
        <v>160</v>
      </c>
      <c r="E1393" s="8">
        <v>2020</v>
      </c>
      <c r="F1393" s="9" t="s">
        <v>55</v>
      </c>
      <c r="G1393" s="9" t="s">
        <v>20</v>
      </c>
      <c r="H1393" s="10" t="s">
        <v>22</v>
      </c>
      <c r="I1393" s="7">
        <v>62</v>
      </c>
      <c r="J1393" s="11">
        <v>26</v>
      </c>
      <c r="K1393" s="11">
        <f t="shared" si="42"/>
        <v>1612</v>
      </c>
      <c r="L1393" s="11">
        <v>5.0000000745058101E-2</v>
      </c>
      <c r="M1393" s="11">
        <v>193.44</v>
      </c>
      <c r="N1393" s="11">
        <f t="shared" si="43"/>
        <v>1805.389999999255</v>
      </c>
    </row>
    <row r="1394" spans="3:14" x14ac:dyDescent="0.3">
      <c r="C1394" s="6">
        <v>44180</v>
      </c>
      <c r="D1394" s="7" t="s">
        <v>160</v>
      </c>
      <c r="E1394" s="8">
        <v>2020</v>
      </c>
      <c r="F1394" s="9" t="s">
        <v>176</v>
      </c>
      <c r="G1394" s="9" t="s">
        <v>16</v>
      </c>
      <c r="H1394" s="10" t="s">
        <v>17</v>
      </c>
      <c r="I1394" s="7">
        <v>62</v>
      </c>
      <c r="J1394" s="11">
        <v>13</v>
      </c>
      <c r="K1394" s="11">
        <f t="shared" si="42"/>
        <v>806</v>
      </c>
      <c r="L1394" s="11">
        <v>0.20000000298023199</v>
      </c>
      <c r="M1394" s="11">
        <v>96.72</v>
      </c>
      <c r="N1394" s="11">
        <f t="shared" si="43"/>
        <v>902.5199999970198</v>
      </c>
    </row>
    <row r="1395" spans="3:14" x14ac:dyDescent="0.3">
      <c r="C1395" s="6">
        <v>44181</v>
      </c>
      <c r="D1395" s="7" t="s">
        <v>160</v>
      </c>
      <c r="E1395" s="8">
        <v>2020</v>
      </c>
      <c r="F1395" s="9" t="s">
        <v>93</v>
      </c>
      <c r="G1395" s="9" t="s">
        <v>24</v>
      </c>
      <c r="H1395" s="10" t="s">
        <v>25</v>
      </c>
      <c r="I1395" s="7">
        <v>75</v>
      </c>
      <c r="J1395" s="11">
        <v>51</v>
      </c>
      <c r="K1395" s="11">
        <f t="shared" si="42"/>
        <v>3825</v>
      </c>
      <c r="L1395" s="11">
        <v>0</v>
      </c>
      <c r="M1395" s="11">
        <v>459</v>
      </c>
      <c r="N1395" s="11">
        <f t="shared" si="43"/>
        <v>4284</v>
      </c>
    </row>
    <row r="1396" spans="3:14" x14ac:dyDescent="0.3">
      <c r="C1396" s="6">
        <v>44181</v>
      </c>
      <c r="D1396" s="7" t="s">
        <v>160</v>
      </c>
      <c r="E1396" s="8">
        <v>2020</v>
      </c>
      <c r="F1396" s="9" t="s">
        <v>91</v>
      </c>
      <c r="G1396" s="9" t="s">
        <v>32</v>
      </c>
      <c r="H1396" s="10" t="s">
        <v>47</v>
      </c>
      <c r="I1396" s="7">
        <v>50</v>
      </c>
      <c r="J1396" s="11">
        <v>88</v>
      </c>
      <c r="K1396" s="11">
        <f t="shared" si="42"/>
        <v>4400</v>
      </c>
      <c r="L1396" s="11">
        <v>0</v>
      </c>
      <c r="M1396" s="11">
        <v>528</v>
      </c>
      <c r="N1396" s="11">
        <f t="shared" si="43"/>
        <v>4928</v>
      </c>
    </row>
    <row r="1397" spans="3:14" x14ac:dyDescent="0.3">
      <c r="C1397" s="6">
        <v>44181</v>
      </c>
      <c r="D1397" s="7" t="s">
        <v>160</v>
      </c>
      <c r="E1397" s="8">
        <v>2020</v>
      </c>
      <c r="F1397" s="9" t="s">
        <v>91</v>
      </c>
      <c r="G1397" s="9" t="s">
        <v>32</v>
      </c>
      <c r="H1397" s="10" t="s">
        <v>62</v>
      </c>
      <c r="I1397" s="7">
        <v>9</v>
      </c>
      <c r="J1397" s="11">
        <v>34</v>
      </c>
      <c r="K1397" s="11">
        <f t="shared" si="42"/>
        <v>306</v>
      </c>
      <c r="L1397" s="11">
        <v>0</v>
      </c>
      <c r="M1397" s="11">
        <v>36.72</v>
      </c>
      <c r="N1397" s="11">
        <f t="shared" si="43"/>
        <v>342.72</v>
      </c>
    </row>
    <row r="1398" spans="3:14" x14ac:dyDescent="0.3">
      <c r="C1398" s="6">
        <v>44181</v>
      </c>
      <c r="D1398" s="7" t="s">
        <v>160</v>
      </c>
      <c r="E1398" s="8">
        <v>2020</v>
      </c>
      <c r="F1398" s="9" t="s">
        <v>101</v>
      </c>
      <c r="G1398" s="9" t="s">
        <v>37</v>
      </c>
      <c r="H1398" s="10" t="s">
        <v>63</v>
      </c>
      <c r="I1398" s="7">
        <v>28</v>
      </c>
      <c r="J1398" s="11">
        <v>67</v>
      </c>
      <c r="K1398" s="11">
        <f t="shared" si="42"/>
        <v>1876</v>
      </c>
      <c r="L1398" s="11">
        <v>0</v>
      </c>
      <c r="M1398" s="11">
        <v>225.12</v>
      </c>
      <c r="N1398" s="11">
        <f t="shared" si="43"/>
        <v>2101.12</v>
      </c>
    </row>
    <row r="1399" spans="3:14" x14ac:dyDescent="0.3">
      <c r="C1399" s="6">
        <v>44181</v>
      </c>
      <c r="D1399" s="7" t="s">
        <v>160</v>
      </c>
      <c r="E1399" s="8">
        <v>2020</v>
      </c>
      <c r="F1399" s="9" t="s">
        <v>101</v>
      </c>
      <c r="G1399" s="9" t="s">
        <v>26</v>
      </c>
      <c r="H1399" s="10" t="s">
        <v>52</v>
      </c>
      <c r="I1399" s="7">
        <v>11</v>
      </c>
      <c r="J1399" s="11">
        <v>11</v>
      </c>
      <c r="K1399" s="11">
        <f t="shared" si="42"/>
        <v>121</v>
      </c>
      <c r="L1399" s="11">
        <v>0</v>
      </c>
      <c r="M1399" s="11">
        <v>14.52</v>
      </c>
      <c r="N1399" s="11">
        <f t="shared" si="43"/>
        <v>135.52000000000001</v>
      </c>
    </row>
    <row r="1400" spans="3:14" x14ac:dyDescent="0.3">
      <c r="C1400" s="6">
        <v>44182</v>
      </c>
      <c r="D1400" s="7" t="s">
        <v>160</v>
      </c>
      <c r="E1400" s="8">
        <v>2020</v>
      </c>
      <c r="F1400" s="9" t="s">
        <v>73</v>
      </c>
      <c r="G1400" s="9" t="s">
        <v>42</v>
      </c>
      <c r="H1400" s="10" t="s">
        <v>109</v>
      </c>
      <c r="I1400" s="7">
        <v>72</v>
      </c>
      <c r="J1400" s="11">
        <v>11</v>
      </c>
      <c r="K1400" s="11">
        <f t="shared" si="42"/>
        <v>792</v>
      </c>
      <c r="L1400" s="11">
        <v>0.20000000298023199</v>
      </c>
      <c r="M1400" s="11">
        <v>95.039999999999992</v>
      </c>
      <c r="N1400" s="11">
        <f t="shared" si="43"/>
        <v>886.83999999701973</v>
      </c>
    </row>
    <row r="1401" spans="3:14" x14ac:dyDescent="0.3">
      <c r="C1401" s="6">
        <v>44182</v>
      </c>
      <c r="D1401" s="7" t="s">
        <v>160</v>
      </c>
      <c r="E1401" s="8">
        <v>2020</v>
      </c>
      <c r="F1401" s="9" t="s">
        <v>73</v>
      </c>
      <c r="G1401" s="9" t="s">
        <v>16</v>
      </c>
      <c r="H1401" s="10" t="s">
        <v>68</v>
      </c>
      <c r="I1401" s="7">
        <v>1</v>
      </c>
      <c r="J1401" s="11">
        <v>44</v>
      </c>
      <c r="K1401" s="11">
        <f t="shared" si="42"/>
        <v>44</v>
      </c>
      <c r="L1401" s="11">
        <v>0.20000000298023199</v>
      </c>
      <c r="M1401" s="11">
        <v>5.2799999999999994</v>
      </c>
      <c r="N1401" s="11">
        <f t="shared" si="43"/>
        <v>49.079999997019769</v>
      </c>
    </row>
    <row r="1402" spans="3:14" x14ac:dyDescent="0.3">
      <c r="C1402" s="6">
        <v>44182</v>
      </c>
      <c r="D1402" s="7" t="s">
        <v>160</v>
      </c>
      <c r="E1402" s="8">
        <v>2020</v>
      </c>
      <c r="F1402" s="9" t="s">
        <v>73</v>
      </c>
      <c r="G1402" s="9" t="s">
        <v>20</v>
      </c>
      <c r="H1402" s="10" t="s">
        <v>44</v>
      </c>
      <c r="I1402" s="7">
        <v>74</v>
      </c>
      <c r="J1402" s="11">
        <v>53</v>
      </c>
      <c r="K1402" s="11">
        <f t="shared" si="42"/>
        <v>3922</v>
      </c>
      <c r="L1402" s="11">
        <v>0</v>
      </c>
      <c r="M1402" s="11">
        <v>470.64</v>
      </c>
      <c r="N1402" s="11">
        <f t="shared" si="43"/>
        <v>4392.6400000000003</v>
      </c>
    </row>
    <row r="1403" spans="3:14" x14ac:dyDescent="0.3">
      <c r="C1403" s="6">
        <v>44182</v>
      </c>
      <c r="D1403" s="7" t="s">
        <v>160</v>
      </c>
      <c r="E1403" s="8">
        <v>2020</v>
      </c>
      <c r="F1403" s="9" t="s">
        <v>187</v>
      </c>
      <c r="G1403" s="9" t="s">
        <v>14</v>
      </c>
      <c r="H1403" s="10" t="s">
        <v>36</v>
      </c>
      <c r="I1403" s="7">
        <v>79</v>
      </c>
      <c r="J1403" s="11">
        <v>86</v>
      </c>
      <c r="K1403" s="11">
        <f t="shared" si="42"/>
        <v>6794</v>
      </c>
      <c r="L1403" s="11">
        <v>0</v>
      </c>
      <c r="M1403" s="11">
        <v>815.28</v>
      </c>
      <c r="N1403" s="11">
        <f t="shared" si="43"/>
        <v>7609.28</v>
      </c>
    </row>
    <row r="1404" spans="3:14" x14ac:dyDescent="0.3">
      <c r="C1404" s="6">
        <v>44183</v>
      </c>
      <c r="D1404" s="7" t="s">
        <v>160</v>
      </c>
      <c r="E1404" s="8">
        <v>2020</v>
      </c>
      <c r="F1404" s="9" t="s">
        <v>23</v>
      </c>
      <c r="G1404" s="9" t="s">
        <v>14</v>
      </c>
      <c r="H1404" s="10" t="s">
        <v>36</v>
      </c>
      <c r="I1404" s="7">
        <v>45</v>
      </c>
      <c r="J1404" s="11">
        <v>100</v>
      </c>
      <c r="K1404" s="11">
        <f t="shared" si="42"/>
        <v>4500</v>
      </c>
      <c r="L1404" s="11">
        <v>0</v>
      </c>
      <c r="M1404" s="11">
        <v>540</v>
      </c>
      <c r="N1404" s="11">
        <f t="shared" si="43"/>
        <v>5040</v>
      </c>
    </row>
    <row r="1405" spans="3:14" x14ac:dyDescent="0.3">
      <c r="C1405" s="6">
        <v>44183</v>
      </c>
      <c r="D1405" s="7" t="s">
        <v>160</v>
      </c>
      <c r="E1405" s="8">
        <v>2020</v>
      </c>
      <c r="F1405" s="9" t="s">
        <v>23</v>
      </c>
      <c r="G1405" s="9" t="s">
        <v>37</v>
      </c>
      <c r="H1405" s="10" t="s">
        <v>139</v>
      </c>
      <c r="I1405" s="7">
        <v>63</v>
      </c>
      <c r="J1405" s="11">
        <v>80</v>
      </c>
      <c r="K1405" s="11">
        <f t="shared" si="42"/>
        <v>5040</v>
      </c>
      <c r="L1405" s="11">
        <v>0</v>
      </c>
      <c r="M1405" s="11">
        <v>604.79999999999995</v>
      </c>
      <c r="N1405" s="11">
        <f t="shared" si="43"/>
        <v>5644.8</v>
      </c>
    </row>
    <row r="1406" spans="3:14" x14ac:dyDescent="0.3">
      <c r="C1406" s="6">
        <v>44183</v>
      </c>
      <c r="D1406" s="7" t="s">
        <v>160</v>
      </c>
      <c r="E1406" s="8">
        <v>2020</v>
      </c>
      <c r="F1406" s="9" t="s">
        <v>88</v>
      </c>
      <c r="G1406" s="9" t="s">
        <v>24</v>
      </c>
      <c r="H1406" s="10" t="s">
        <v>48</v>
      </c>
      <c r="I1406" s="7">
        <v>44</v>
      </c>
      <c r="J1406" s="11">
        <v>59</v>
      </c>
      <c r="K1406" s="11">
        <f t="shared" si="42"/>
        <v>2596</v>
      </c>
      <c r="L1406" s="11">
        <v>0</v>
      </c>
      <c r="M1406" s="11">
        <v>311.52</v>
      </c>
      <c r="N1406" s="11">
        <f t="shared" si="43"/>
        <v>2907.52</v>
      </c>
    </row>
    <row r="1407" spans="3:14" x14ac:dyDescent="0.3">
      <c r="C1407" s="6">
        <v>44183</v>
      </c>
      <c r="D1407" s="7" t="s">
        <v>160</v>
      </c>
      <c r="E1407" s="8">
        <v>2020</v>
      </c>
      <c r="F1407" s="9" t="s">
        <v>88</v>
      </c>
      <c r="G1407" s="9" t="s">
        <v>37</v>
      </c>
      <c r="H1407" s="10" t="s">
        <v>38</v>
      </c>
      <c r="I1407" s="7">
        <v>86</v>
      </c>
      <c r="J1407" s="11">
        <v>82</v>
      </c>
      <c r="K1407" s="11">
        <f t="shared" si="42"/>
        <v>7052</v>
      </c>
      <c r="L1407" s="11">
        <v>0.15000000596046401</v>
      </c>
      <c r="M1407" s="11">
        <v>846.24</v>
      </c>
      <c r="N1407" s="11">
        <f t="shared" si="43"/>
        <v>7898.0899999940393</v>
      </c>
    </row>
    <row r="1408" spans="3:14" x14ac:dyDescent="0.3">
      <c r="C1408" s="6">
        <v>44183</v>
      </c>
      <c r="D1408" s="7" t="s">
        <v>160</v>
      </c>
      <c r="E1408" s="8">
        <v>2020</v>
      </c>
      <c r="F1408" s="9" t="s">
        <v>88</v>
      </c>
      <c r="G1408" s="9" t="s">
        <v>14</v>
      </c>
      <c r="H1408" s="10" t="s">
        <v>18</v>
      </c>
      <c r="I1408" s="7">
        <v>34</v>
      </c>
      <c r="J1408" s="11">
        <v>54</v>
      </c>
      <c r="K1408" s="11">
        <f t="shared" si="42"/>
        <v>1836</v>
      </c>
      <c r="L1408" s="11">
        <v>0.15000000596046401</v>
      </c>
      <c r="M1408" s="11">
        <v>220.32</v>
      </c>
      <c r="N1408" s="11">
        <f t="shared" si="43"/>
        <v>2056.1699999940397</v>
      </c>
    </row>
    <row r="1409" spans="3:14" x14ac:dyDescent="0.3">
      <c r="C1409" s="6">
        <v>44183</v>
      </c>
      <c r="D1409" s="7" t="s">
        <v>160</v>
      </c>
      <c r="E1409" s="8">
        <v>2020</v>
      </c>
      <c r="F1409" s="9" t="s">
        <v>78</v>
      </c>
      <c r="G1409" s="9" t="s">
        <v>24</v>
      </c>
      <c r="H1409" s="10" t="s">
        <v>85</v>
      </c>
      <c r="I1409" s="7">
        <v>68</v>
      </c>
      <c r="J1409" s="11">
        <v>11</v>
      </c>
      <c r="K1409" s="11">
        <f t="shared" si="42"/>
        <v>748</v>
      </c>
      <c r="L1409" s="11">
        <v>0</v>
      </c>
      <c r="M1409" s="11">
        <v>89.759999999999991</v>
      </c>
      <c r="N1409" s="11">
        <f t="shared" si="43"/>
        <v>837.76</v>
      </c>
    </row>
    <row r="1410" spans="3:14" x14ac:dyDescent="0.3">
      <c r="C1410" s="6">
        <v>44183</v>
      </c>
      <c r="D1410" s="7" t="s">
        <v>160</v>
      </c>
      <c r="E1410" s="8">
        <v>2020</v>
      </c>
      <c r="F1410" s="9" t="s">
        <v>78</v>
      </c>
      <c r="G1410" s="9" t="s">
        <v>37</v>
      </c>
      <c r="H1410" s="10" t="s">
        <v>98</v>
      </c>
      <c r="I1410" s="7">
        <v>54</v>
      </c>
      <c r="J1410" s="11">
        <v>60</v>
      </c>
      <c r="K1410" s="11">
        <f t="shared" si="42"/>
        <v>3240</v>
      </c>
      <c r="L1410" s="11">
        <v>0</v>
      </c>
      <c r="M1410" s="11">
        <v>388.8</v>
      </c>
      <c r="N1410" s="11">
        <f t="shared" si="43"/>
        <v>3628.8</v>
      </c>
    </row>
    <row r="1411" spans="3:14" x14ac:dyDescent="0.3">
      <c r="C1411" s="6">
        <v>44184</v>
      </c>
      <c r="D1411" s="7" t="s">
        <v>160</v>
      </c>
      <c r="E1411" s="8">
        <v>2020</v>
      </c>
      <c r="F1411" s="9" t="s">
        <v>161</v>
      </c>
      <c r="G1411" s="9" t="s">
        <v>26</v>
      </c>
      <c r="H1411" s="10" t="s">
        <v>148</v>
      </c>
      <c r="I1411" s="7">
        <v>53</v>
      </c>
      <c r="J1411" s="11">
        <v>90</v>
      </c>
      <c r="K1411" s="11">
        <f t="shared" ref="K1411:K1474" si="44">J1411*I1411</f>
        <v>4770</v>
      </c>
      <c r="L1411" s="11">
        <v>0.20000000298023199</v>
      </c>
      <c r="M1411" s="11">
        <v>572.4</v>
      </c>
      <c r="N1411" s="11">
        <f t="shared" ref="N1411:N1474" si="45">K1411-L1411+M1411</f>
        <v>5342.1999999970194</v>
      </c>
    </row>
    <row r="1412" spans="3:14" x14ac:dyDescent="0.3">
      <c r="C1412" s="6">
        <v>44184</v>
      </c>
      <c r="D1412" s="7" t="s">
        <v>160</v>
      </c>
      <c r="E1412" s="8">
        <v>2020</v>
      </c>
      <c r="F1412" s="9" t="s">
        <v>161</v>
      </c>
      <c r="G1412" s="9" t="s">
        <v>24</v>
      </c>
      <c r="H1412" s="10" t="s">
        <v>69</v>
      </c>
      <c r="I1412" s="7">
        <v>74</v>
      </c>
      <c r="J1412" s="11">
        <v>24</v>
      </c>
      <c r="K1412" s="11">
        <f t="shared" si="44"/>
        <v>1776</v>
      </c>
      <c r="L1412" s="11">
        <v>0.20000000298023199</v>
      </c>
      <c r="M1412" s="11">
        <v>213.12</v>
      </c>
      <c r="N1412" s="11">
        <f t="shared" si="45"/>
        <v>1988.9199999970197</v>
      </c>
    </row>
    <row r="1413" spans="3:14" x14ac:dyDescent="0.3">
      <c r="C1413" s="6">
        <v>44184</v>
      </c>
      <c r="D1413" s="7" t="s">
        <v>160</v>
      </c>
      <c r="E1413" s="8">
        <v>2020</v>
      </c>
      <c r="F1413" s="9" t="s">
        <v>161</v>
      </c>
      <c r="G1413" s="9" t="s">
        <v>37</v>
      </c>
      <c r="H1413" s="10" t="s">
        <v>98</v>
      </c>
      <c r="I1413" s="7">
        <v>54</v>
      </c>
      <c r="J1413" s="11">
        <v>48</v>
      </c>
      <c r="K1413" s="11">
        <f t="shared" si="44"/>
        <v>2592</v>
      </c>
      <c r="L1413" s="11">
        <v>0.20000000298023199</v>
      </c>
      <c r="M1413" s="11">
        <v>311.03999999999996</v>
      </c>
      <c r="N1413" s="11">
        <f t="shared" si="45"/>
        <v>2902.8399999970197</v>
      </c>
    </row>
    <row r="1414" spans="3:14" x14ac:dyDescent="0.3">
      <c r="C1414" s="6">
        <v>44184</v>
      </c>
      <c r="D1414" s="7" t="s">
        <v>160</v>
      </c>
      <c r="E1414" s="8">
        <v>2020</v>
      </c>
      <c r="F1414" s="9" t="s">
        <v>150</v>
      </c>
      <c r="G1414" s="9" t="s">
        <v>37</v>
      </c>
      <c r="H1414" s="10" t="s">
        <v>46</v>
      </c>
      <c r="I1414" s="7">
        <v>56</v>
      </c>
      <c r="J1414" s="11">
        <v>21</v>
      </c>
      <c r="K1414" s="11">
        <f t="shared" si="44"/>
        <v>1176</v>
      </c>
      <c r="L1414" s="11">
        <v>5.0000000745058101E-2</v>
      </c>
      <c r="M1414" s="11">
        <v>141.12</v>
      </c>
      <c r="N1414" s="11">
        <f t="shared" si="45"/>
        <v>1317.0699999992548</v>
      </c>
    </row>
    <row r="1415" spans="3:14" x14ac:dyDescent="0.3">
      <c r="C1415" s="6">
        <v>44184</v>
      </c>
      <c r="D1415" s="7" t="s">
        <v>160</v>
      </c>
      <c r="E1415" s="8">
        <v>2020</v>
      </c>
      <c r="F1415" s="9" t="s">
        <v>150</v>
      </c>
      <c r="G1415" s="9" t="s">
        <v>42</v>
      </c>
      <c r="H1415" s="10" t="s">
        <v>79</v>
      </c>
      <c r="I1415" s="7">
        <v>92</v>
      </c>
      <c r="J1415" s="11">
        <v>98</v>
      </c>
      <c r="K1415" s="11">
        <f t="shared" si="44"/>
        <v>9016</v>
      </c>
      <c r="L1415" s="11">
        <v>5.0000000745058101E-2</v>
      </c>
      <c r="M1415" s="11">
        <v>1081.92</v>
      </c>
      <c r="N1415" s="11">
        <f t="shared" si="45"/>
        <v>10097.869999999255</v>
      </c>
    </row>
    <row r="1416" spans="3:14" x14ac:dyDescent="0.3">
      <c r="C1416" s="6">
        <v>44187</v>
      </c>
      <c r="D1416" s="7" t="s">
        <v>160</v>
      </c>
      <c r="E1416" s="8">
        <v>2020</v>
      </c>
      <c r="F1416" s="9" t="s">
        <v>84</v>
      </c>
      <c r="G1416" s="9" t="s">
        <v>32</v>
      </c>
      <c r="H1416" s="10" t="s">
        <v>100</v>
      </c>
      <c r="I1416" s="7">
        <v>81</v>
      </c>
      <c r="J1416" s="11">
        <v>15</v>
      </c>
      <c r="K1416" s="11">
        <f t="shared" si="44"/>
        <v>1215</v>
      </c>
      <c r="L1416" s="11">
        <v>5.0000000745058101E-2</v>
      </c>
      <c r="M1416" s="11">
        <v>145.79999999999998</v>
      </c>
      <c r="N1416" s="11">
        <f t="shared" si="45"/>
        <v>1360.7499999992549</v>
      </c>
    </row>
    <row r="1417" spans="3:14" x14ac:dyDescent="0.3">
      <c r="C1417" s="6">
        <v>44187</v>
      </c>
      <c r="D1417" s="7" t="s">
        <v>160</v>
      </c>
      <c r="E1417" s="8">
        <v>2020</v>
      </c>
      <c r="F1417" s="9" t="s">
        <v>84</v>
      </c>
      <c r="G1417" s="9" t="s">
        <v>37</v>
      </c>
      <c r="H1417" s="10" t="s">
        <v>98</v>
      </c>
      <c r="I1417" s="7">
        <v>99</v>
      </c>
      <c r="J1417" s="11">
        <v>11</v>
      </c>
      <c r="K1417" s="11">
        <f t="shared" si="44"/>
        <v>1089</v>
      </c>
      <c r="L1417" s="11">
        <v>5.0000000745058101E-2</v>
      </c>
      <c r="M1417" s="11">
        <v>130.68</v>
      </c>
      <c r="N1417" s="11">
        <f t="shared" si="45"/>
        <v>1219.629999999255</v>
      </c>
    </row>
    <row r="1418" spans="3:14" x14ac:dyDescent="0.3">
      <c r="C1418" s="6">
        <v>44187</v>
      </c>
      <c r="D1418" s="7" t="s">
        <v>160</v>
      </c>
      <c r="E1418" s="8">
        <v>2020</v>
      </c>
      <c r="F1418" s="9" t="s">
        <v>171</v>
      </c>
      <c r="G1418" s="9" t="s">
        <v>24</v>
      </c>
      <c r="H1418" s="10" t="s">
        <v>115</v>
      </c>
      <c r="I1418" s="7">
        <v>22</v>
      </c>
      <c r="J1418" s="11">
        <v>19</v>
      </c>
      <c r="K1418" s="11">
        <f t="shared" si="44"/>
        <v>418</v>
      </c>
      <c r="L1418" s="11">
        <v>0</v>
      </c>
      <c r="M1418" s="11">
        <v>50.16</v>
      </c>
      <c r="N1418" s="11">
        <f t="shared" si="45"/>
        <v>468.15999999999997</v>
      </c>
    </row>
    <row r="1419" spans="3:14" x14ac:dyDescent="0.3">
      <c r="C1419" s="6">
        <v>44187</v>
      </c>
      <c r="D1419" s="7" t="s">
        <v>160</v>
      </c>
      <c r="E1419" s="8">
        <v>2020</v>
      </c>
      <c r="F1419" s="9" t="s">
        <v>171</v>
      </c>
      <c r="G1419" s="9" t="s">
        <v>37</v>
      </c>
      <c r="H1419" s="10" t="s">
        <v>65</v>
      </c>
      <c r="I1419" s="7">
        <v>9</v>
      </c>
      <c r="J1419" s="11">
        <v>33</v>
      </c>
      <c r="K1419" s="11">
        <f t="shared" si="44"/>
        <v>297</v>
      </c>
      <c r="L1419" s="11">
        <v>0</v>
      </c>
      <c r="M1419" s="11">
        <v>35.64</v>
      </c>
      <c r="N1419" s="11">
        <f t="shared" si="45"/>
        <v>332.64</v>
      </c>
    </row>
    <row r="1420" spans="3:14" x14ac:dyDescent="0.3">
      <c r="C1420" s="6">
        <v>44187</v>
      </c>
      <c r="D1420" s="7" t="s">
        <v>160</v>
      </c>
      <c r="E1420" s="8">
        <v>2020</v>
      </c>
      <c r="F1420" s="9" t="s">
        <v>171</v>
      </c>
      <c r="G1420" s="9" t="s">
        <v>26</v>
      </c>
      <c r="H1420" s="10" t="s">
        <v>95</v>
      </c>
      <c r="I1420" s="7">
        <v>51</v>
      </c>
      <c r="J1420" s="11">
        <v>80</v>
      </c>
      <c r="K1420" s="11">
        <f t="shared" si="44"/>
        <v>4080</v>
      </c>
      <c r="L1420" s="11">
        <v>0</v>
      </c>
      <c r="M1420" s="11">
        <v>489.59999999999997</v>
      </c>
      <c r="N1420" s="11">
        <f t="shared" si="45"/>
        <v>4569.6000000000004</v>
      </c>
    </row>
    <row r="1421" spans="3:14" x14ac:dyDescent="0.3">
      <c r="C1421" s="6">
        <v>44187</v>
      </c>
      <c r="D1421" s="7" t="s">
        <v>160</v>
      </c>
      <c r="E1421" s="8">
        <v>2020</v>
      </c>
      <c r="F1421" s="9" t="s">
        <v>171</v>
      </c>
      <c r="G1421" s="9" t="s">
        <v>32</v>
      </c>
      <c r="H1421" s="10" t="s">
        <v>110</v>
      </c>
      <c r="I1421" s="7">
        <v>92</v>
      </c>
      <c r="J1421" s="11">
        <v>97</v>
      </c>
      <c r="K1421" s="11">
        <f t="shared" si="44"/>
        <v>8924</v>
      </c>
      <c r="L1421" s="11">
        <v>0</v>
      </c>
      <c r="M1421" s="11">
        <v>1070.8799999999999</v>
      </c>
      <c r="N1421" s="11">
        <f t="shared" si="45"/>
        <v>9994.8799999999992</v>
      </c>
    </row>
    <row r="1422" spans="3:14" x14ac:dyDescent="0.3">
      <c r="C1422" s="6">
        <v>44187</v>
      </c>
      <c r="D1422" s="7" t="s">
        <v>160</v>
      </c>
      <c r="E1422" s="8">
        <v>2020</v>
      </c>
      <c r="F1422" s="9" t="s">
        <v>176</v>
      </c>
      <c r="G1422" s="9" t="s">
        <v>20</v>
      </c>
      <c r="H1422" s="10" t="s">
        <v>67</v>
      </c>
      <c r="I1422" s="7">
        <v>15</v>
      </c>
      <c r="J1422" s="11">
        <v>68</v>
      </c>
      <c r="K1422" s="11">
        <f t="shared" si="44"/>
        <v>1020</v>
      </c>
      <c r="L1422" s="11">
        <v>0.15000000596046401</v>
      </c>
      <c r="M1422" s="11">
        <v>122.39999999999999</v>
      </c>
      <c r="N1422" s="11">
        <f t="shared" si="45"/>
        <v>1142.2499999940396</v>
      </c>
    </row>
    <row r="1423" spans="3:14" x14ac:dyDescent="0.3">
      <c r="C1423" s="6">
        <v>44187</v>
      </c>
      <c r="D1423" s="7" t="s">
        <v>160</v>
      </c>
      <c r="E1423" s="8">
        <v>2020</v>
      </c>
      <c r="F1423" s="9" t="s">
        <v>176</v>
      </c>
      <c r="G1423" s="9" t="s">
        <v>16</v>
      </c>
      <c r="H1423" s="10" t="s">
        <v>68</v>
      </c>
      <c r="I1423" s="7">
        <v>24</v>
      </c>
      <c r="J1423" s="11">
        <v>50</v>
      </c>
      <c r="K1423" s="11">
        <f t="shared" si="44"/>
        <v>1200</v>
      </c>
      <c r="L1423" s="11">
        <v>0.15000000596046401</v>
      </c>
      <c r="M1423" s="11">
        <v>144</v>
      </c>
      <c r="N1423" s="11">
        <f t="shared" si="45"/>
        <v>1343.8499999940395</v>
      </c>
    </row>
    <row r="1424" spans="3:14" x14ac:dyDescent="0.3">
      <c r="C1424" s="6">
        <v>44188</v>
      </c>
      <c r="D1424" s="7" t="s">
        <v>160</v>
      </c>
      <c r="E1424" s="8">
        <v>2020</v>
      </c>
      <c r="F1424" s="9" t="s">
        <v>75</v>
      </c>
      <c r="G1424" s="9" t="s">
        <v>42</v>
      </c>
      <c r="H1424" s="10" t="s">
        <v>79</v>
      </c>
      <c r="I1424" s="7">
        <v>80</v>
      </c>
      <c r="J1424" s="11">
        <v>99</v>
      </c>
      <c r="K1424" s="11">
        <f t="shared" si="44"/>
        <v>7920</v>
      </c>
      <c r="L1424" s="11">
        <v>5.0000000745058101E-2</v>
      </c>
      <c r="M1424" s="11">
        <v>950.4</v>
      </c>
      <c r="N1424" s="11">
        <f t="shared" si="45"/>
        <v>8870.3499999992546</v>
      </c>
    </row>
    <row r="1425" spans="3:14" x14ac:dyDescent="0.3">
      <c r="C1425" s="6">
        <v>44188</v>
      </c>
      <c r="D1425" s="7" t="s">
        <v>160</v>
      </c>
      <c r="E1425" s="8">
        <v>2020</v>
      </c>
      <c r="F1425" s="9" t="s">
        <v>75</v>
      </c>
      <c r="G1425" s="9" t="s">
        <v>24</v>
      </c>
      <c r="H1425" s="10" t="s">
        <v>25</v>
      </c>
      <c r="I1425" s="7">
        <v>82</v>
      </c>
      <c r="J1425" s="11">
        <v>57</v>
      </c>
      <c r="K1425" s="11">
        <f t="shared" si="44"/>
        <v>4674</v>
      </c>
      <c r="L1425" s="11">
        <v>5.0000000745058101E-2</v>
      </c>
      <c r="M1425" s="11">
        <v>560.88</v>
      </c>
      <c r="N1425" s="11">
        <f t="shared" si="45"/>
        <v>5234.8299999992551</v>
      </c>
    </row>
    <row r="1426" spans="3:14" x14ac:dyDescent="0.3">
      <c r="C1426" s="6">
        <v>44188</v>
      </c>
      <c r="D1426" s="7" t="s">
        <v>160</v>
      </c>
      <c r="E1426" s="8">
        <v>2020</v>
      </c>
      <c r="F1426" s="9" t="s">
        <v>162</v>
      </c>
      <c r="G1426" s="9" t="s">
        <v>37</v>
      </c>
      <c r="H1426" s="10" t="s">
        <v>46</v>
      </c>
      <c r="I1426" s="7">
        <v>7</v>
      </c>
      <c r="J1426" s="11">
        <v>96</v>
      </c>
      <c r="K1426" s="11">
        <f t="shared" si="44"/>
        <v>672</v>
      </c>
      <c r="L1426" s="11">
        <v>0</v>
      </c>
      <c r="M1426" s="11">
        <v>80.64</v>
      </c>
      <c r="N1426" s="11">
        <f t="shared" si="45"/>
        <v>752.64</v>
      </c>
    </row>
    <row r="1427" spans="3:14" x14ac:dyDescent="0.3">
      <c r="C1427" s="6">
        <v>44188</v>
      </c>
      <c r="D1427" s="7" t="s">
        <v>160</v>
      </c>
      <c r="E1427" s="8">
        <v>2020</v>
      </c>
      <c r="F1427" s="9" t="s">
        <v>162</v>
      </c>
      <c r="G1427" s="9" t="s">
        <v>42</v>
      </c>
      <c r="H1427" s="10" t="s">
        <v>109</v>
      </c>
      <c r="I1427" s="7">
        <v>75</v>
      </c>
      <c r="J1427" s="11">
        <v>87</v>
      </c>
      <c r="K1427" s="11">
        <f t="shared" si="44"/>
        <v>6525</v>
      </c>
      <c r="L1427" s="11">
        <v>0</v>
      </c>
      <c r="M1427" s="11">
        <v>783</v>
      </c>
      <c r="N1427" s="11">
        <f t="shared" si="45"/>
        <v>7308</v>
      </c>
    </row>
    <row r="1428" spans="3:14" x14ac:dyDescent="0.3">
      <c r="C1428" s="6">
        <v>44188</v>
      </c>
      <c r="D1428" s="7" t="s">
        <v>160</v>
      </c>
      <c r="E1428" s="8">
        <v>2020</v>
      </c>
      <c r="F1428" s="9" t="s">
        <v>162</v>
      </c>
      <c r="G1428" s="9" t="s">
        <v>32</v>
      </c>
      <c r="H1428" s="10" t="s">
        <v>110</v>
      </c>
      <c r="I1428" s="7">
        <v>42</v>
      </c>
      <c r="J1428" s="11">
        <v>81</v>
      </c>
      <c r="K1428" s="11">
        <f t="shared" si="44"/>
        <v>3402</v>
      </c>
      <c r="L1428" s="11">
        <v>0</v>
      </c>
      <c r="M1428" s="11">
        <v>408.24</v>
      </c>
      <c r="N1428" s="11">
        <f t="shared" si="45"/>
        <v>3810.24</v>
      </c>
    </row>
    <row r="1429" spans="3:14" x14ac:dyDescent="0.3">
      <c r="C1429" s="6">
        <v>44189</v>
      </c>
      <c r="D1429" s="7" t="s">
        <v>160</v>
      </c>
      <c r="E1429" s="8">
        <v>2020</v>
      </c>
      <c r="F1429" s="9" t="s">
        <v>153</v>
      </c>
      <c r="G1429" s="9" t="s">
        <v>24</v>
      </c>
      <c r="H1429" s="10" t="s">
        <v>25</v>
      </c>
      <c r="I1429" s="7">
        <v>82</v>
      </c>
      <c r="J1429" s="11">
        <v>10</v>
      </c>
      <c r="K1429" s="11">
        <f t="shared" si="44"/>
        <v>820</v>
      </c>
      <c r="L1429" s="11">
        <v>0</v>
      </c>
      <c r="M1429" s="11">
        <v>98.399999999999991</v>
      </c>
      <c r="N1429" s="11">
        <f t="shared" si="45"/>
        <v>918.4</v>
      </c>
    </row>
    <row r="1430" spans="3:14" x14ac:dyDescent="0.3">
      <c r="C1430" s="6">
        <v>44189</v>
      </c>
      <c r="D1430" s="7" t="s">
        <v>160</v>
      </c>
      <c r="E1430" s="8">
        <v>2020</v>
      </c>
      <c r="F1430" s="9" t="s">
        <v>153</v>
      </c>
      <c r="G1430" s="9" t="s">
        <v>16</v>
      </c>
      <c r="H1430" s="10" t="s">
        <v>132</v>
      </c>
      <c r="I1430" s="7">
        <v>12</v>
      </c>
      <c r="J1430" s="11">
        <v>72</v>
      </c>
      <c r="K1430" s="11">
        <f t="shared" si="44"/>
        <v>864</v>
      </c>
      <c r="L1430" s="11">
        <v>0</v>
      </c>
      <c r="M1430" s="11">
        <v>103.67999999999999</v>
      </c>
      <c r="N1430" s="11">
        <f t="shared" si="45"/>
        <v>967.68</v>
      </c>
    </row>
    <row r="1431" spans="3:14" x14ac:dyDescent="0.3">
      <c r="C1431" s="6">
        <v>44189</v>
      </c>
      <c r="D1431" s="7" t="s">
        <v>160</v>
      </c>
      <c r="E1431" s="8">
        <v>2020</v>
      </c>
      <c r="F1431" s="9" t="s">
        <v>64</v>
      </c>
      <c r="G1431" s="9" t="s">
        <v>20</v>
      </c>
      <c r="H1431" s="10" t="s">
        <v>136</v>
      </c>
      <c r="I1431" s="7">
        <v>17</v>
      </c>
      <c r="J1431" s="11">
        <v>31</v>
      </c>
      <c r="K1431" s="11">
        <f t="shared" si="44"/>
        <v>527</v>
      </c>
      <c r="L1431" s="11">
        <v>0.20000000298023199</v>
      </c>
      <c r="M1431" s="11">
        <v>63.239999999999995</v>
      </c>
      <c r="N1431" s="11">
        <f t="shared" si="45"/>
        <v>590.03999999701978</v>
      </c>
    </row>
    <row r="1432" spans="3:14" x14ac:dyDescent="0.3">
      <c r="C1432" s="6">
        <v>44189</v>
      </c>
      <c r="D1432" s="7" t="s">
        <v>160</v>
      </c>
      <c r="E1432" s="8">
        <v>2020</v>
      </c>
      <c r="F1432" s="9" t="s">
        <v>64</v>
      </c>
      <c r="G1432" s="9" t="s">
        <v>42</v>
      </c>
      <c r="H1432" s="10" t="s">
        <v>109</v>
      </c>
      <c r="I1432" s="7">
        <v>34</v>
      </c>
      <c r="J1432" s="11">
        <v>79</v>
      </c>
      <c r="K1432" s="11">
        <f t="shared" si="44"/>
        <v>2686</v>
      </c>
      <c r="L1432" s="11">
        <v>0.20000000298023199</v>
      </c>
      <c r="M1432" s="11">
        <v>322.32</v>
      </c>
      <c r="N1432" s="11">
        <f t="shared" si="45"/>
        <v>3008.1199999970199</v>
      </c>
    </row>
    <row r="1433" spans="3:14" x14ac:dyDescent="0.3">
      <c r="C1433" s="6">
        <v>44189</v>
      </c>
      <c r="D1433" s="7" t="s">
        <v>160</v>
      </c>
      <c r="E1433" s="8">
        <v>2020</v>
      </c>
      <c r="F1433" s="9" t="s">
        <v>55</v>
      </c>
      <c r="G1433" s="9" t="s">
        <v>32</v>
      </c>
      <c r="H1433" s="10" t="s">
        <v>47</v>
      </c>
      <c r="I1433" s="7">
        <v>55</v>
      </c>
      <c r="J1433" s="11">
        <v>47</v>
      </c>
      <c r="K1433" s="11">
        <f t="shared" si="44"/>
        <v>2585</v>
      </c>
      <c r="L1433" s="11">
        <v>0</v>
      </c>
      <c r="M1433" s="11">
        <v>310.2</v>
      </c>
      <c r="N1433" s="11">
        <f t="shared" si="45"/>
        <v>2895.2</v>
      </c>
    </row>
    <row r="1434" spans="3:14" x14ac:dyDescent="0.3">
      <c r="C1434" s="6">
        <v>44189</v>
      </c>
      <c r="D1434" s="7" t="s">
        <v>160</v>
      </c>
      <c r="E1434" s="8">
        <v>2020</v>
      </c>
      <c r="F1434" s="9" t="s">
        <v>55</v>
      </c>
      <c r="G1434" s="9" t="s">
        <v>42</v>
      </c>
      <c r="H1434" s="10" t="s">
        <v>72</v>
      </c>
      <c r="I1434" s="7">
        <v>56</v>
      </c>
      <c r="J1434" s="11">
        <v>83</v>
      </c>
      <c r="K1434" s="11">
        <f t="shared" si="44"/>
        <v>4648</v>
      </c>
      <c r="L1434" s="11">
        <v>0.25</v>
      </c>
      <c r="M1434" s="11">
        <v>557.76</v>
      </c>
      <c r="N1434" s="11">
        <f t="shared" si="45"/>
        <v>5205.51</v>
      </c>
    </row>
    <row r="1435" spans="3:14" x14ac:dyDescent="0.3">
      <c r="C1435" s="6">
        <v>44190</v>
      </c>
      <c r="D1435" s="7" t="s">
        <v>160</v>
      </c>
      <c r="E1435" s="8">
        <v>2020</v>
      </c>
      <c r="F1435" s="9" t="s">
        <v>53</v>
      </c>
      <c r="G1435" s="9" t="s">
        <v>32</v>
      </c>
      <c r="H1435" s="10" t="s">
        <v>140</v>
      </c>
      <c r="I1435" s="7">
        <v>95</v>
      </c>
      <c r="J1435" s="11">
        <v>24</v>
      </c>
      <c r="K1435" s="11">
        <f t="shared" si="44"/>
        <v>2280</v>
      </c>
      <c r="L1435" s="11">
        <v>0.20000000298023199</v>
      </c>
      <c r="M1435" s="11">
        <v>273.59999999999997</v>
      </c>
      <c r="N1435" s="11">
        <f t="shared" si="45"/>
        <v>2553.3999999970197</v>
      </c>
    </row>
    <row r="1436" spans="3:14" x14ac:dyDescent="0.3">
      <c r="C1436" s="6">
        <v>44190</v>
      </c>
      <c r="D1436" s="7" t="s">
        <v>160</v>
      </c>
      <c r="E1436" s="8">
        <v>2020</v>
      </c>
      <c r="F1436" s="9" t="s">
        <v>53</v>
      </c>
      <c r="G1436" s="9" t="s">
        <v>26</v>
      </c>
      <c r="H1436" s="10" t="s">
        <v>94</v>
      </c>
      <c r="I1436" s="7">
        <v>94</v>
      </c>
      <c r="J1436" s="11">
        <v>52</v>
      </c>
      <c r="K1436" s="11">
        <f t="shared" si="44"/>
        <v>4888</v>
      </c>
      <c r="L1436" s="11">
        <v>0</v>
      </c>
      <c r="M1436" s="11">
        <v>586.55999999999995</v>
      </c>
      <c r="N1436" s="11">
        <f t="shared" si="45"/>
        <v>5474.5599999999995</v>
      </c>
    </row>
    <row r="1437" spans="3:14" x14ac:dyDescent="0.3">
      <c r="C1437" s="6">
        <v>44190</v>
      </c>
      <c r="D1437" s="7" t="s">
        <v>160</v>
      </c>
      <c r="E1437" s="8">
        <v>2020</v>
      </c>
      <c r="F1437" s="9" t="s">
        <v>53</v>
      </c>
      <c r="G1437" s="9" t="s">
        <v>16</v>
      </c>
      <c r="H1437" s="10" t="s">
        <v>113</v>
      </c>
      <c r="I1437" s="7">
        <v>57</v>
      </c>
      <c r="J1437" s="11">
        <v>30</v>
      </c>
      <c r="K1437" s="11">
        <f t="shared" si="44"/>
        <v>1710</v>
      </c>
      <c r="L1437" s="11">
        <v>0.20000000298023199</v>
      </c>
      <c r="M1437" s="11">
        <v>205.2</v>
      </c>
      <c r="N1437" s="11">
        <f t="shared" si="45"/>
        <v>1914.9999999970198</v>
      </c>
    </row>
    <row r="1438" spans="3:14" x14ac:dyDescent="0.3">
      <c r="C1438" s="6">
        <v>44190</v>
      </c>
      <c r="D1438" s="7" t="s">
        <v>160</v>
      </c>
      <c r="E1438" s="8">
        <v>2020</v>
      </c>
      <c r="F1438" s="9" t="s">
        <v>53</v>
      </c>
      <c r="G1438" s="9" t="s">
        <v>14</v>
      </c>
      <c r="H1438" s="10" t="s">
        <v>117</v>
      </c>
      <c r="I1438" s="7">
        <v>93</v>
      </c>
      <c r="J1438" s="11">
        <v>26</v>
      </c>
      <c r="K1438" s="11">
        <f t="shared" si="44"/>
        <v>2418</v>
      </c>
      <c r="L1438" s="11">
        <v>0.20000000298023199</v>
      </c>
      <c r="M1438" s="11">
        <v>290.15999999999997</v>
      </c>
      <c r="N1438" s="11">
        <f t="shared" si="45"/>
        <v>2707.9599999970196</v>
      </c>
    </row>
    <row r="1439" spans="3:14" x14ac:dyDescent="0.3">
      <c r="C1439" s="6">
        <v>44190</v>
      </c>
      <c r="D1439" s="7" t="s">
        <v>160</v>
      </c>
      <c r="E1439" s="8">
        <v>2020</v>
      </c>
      <c r="F1439" s="9" t="s">
        <v>155</v>
      </c>
      <c r="G1439" s="9" t="s">
        <v>14</v>
      </c>
      <c r="H1439" s="10" t="s">
        <v>15</v>
      </c>
      <c r="I1439" s="7">
        <v>65</v>
      </c>
      <c r="J1439" s="11">
        <v>78</v>
      </c>
      <c r="K1439" s="11">
        <f t="shared" si="44"/>
        <v>5070</v>
      </c>
      <c r="L1439" s="11">
        <v>0</v>
      </c>
      <c r="M1439" s="11">
        <v>608.4</v>
      </c>
      <c r="N1439" s="11">
        <f t="shared" si="45"/>
        <v>5678.4</v>
      </c>
    </row>
    <row r="1440" spans="3:14" x14ac:dyDescent="0.3">
      <c r="C1440" s="6">
        <v>44191</v>
      </c>
      <c r="D1440" s="7" t="s">
        <v>160</v>
      </c>
      <c r="E1440" s="8">
        <v>2020</v>
      </c>
      <c r="F1440" s="9" t="s">
        <v>129</v>
      </c>
      <c r="G1440" s="9" t="s">
        <v>32</v>
      </c>
      <c r="H1440" s="10" t="s">
        <v>62</v>
      </c>
      <c r="I1440" s="7">
        <v>90</v>
      </c>
      <c r="J1440" s="11">
        <v>25</v>
      </c>
      <c r="K1440" s="11">
        <f t="shared" si="44"/>
        <v>2250</v>
      </c>
      <c r="L1440" s="11">
        <v>0</v>
      </c>
      <c r="M1440" s="11">
        <v>270</v>
      </c>
      <c r="N1440" s="11">
        <f t="shared" si="45"/>
        <v>2520</v>
      </c>
    </row>
    <row r="1441" spans="3:14" x14ac:dyDescent="0.3">
      <c r="C1441" s="6">
        <v>44191</v>
      </c>
      <c r="D1441" s="7" t="s">
        <v>160</v>
      </c>
      <c r="E1441" s="8">
        <v>2020</v>
      </c>
      <c r="F1441" s="9" t="s">
        <v>129</v>
      </c>
      <c r="G1441" s="9" t="s">
        <v>14</v>
      </c>
      <c r="H1441" s="10" t="s">
        <v>18</v>
      </c>
      <c r="I1441" s="7">
        <v>69</v>
      </c>
      <c r="J1441" s="11">
        <v>74</v>
      </c>
      <c r="K1441" s="11">
        <f t="shared" si="44"/>
        <v>5106</v>
      </c>
      <c r="L1441" s="11">
        <v>0</v>
      </c>
      <c r="M1441" s="11">
        <v>612.72</v>
      </c>
      <c r="N1441" s="11">
        <f t="shared" si="45"/>
        <v>5718.72</v>
      </c>
    </row>
    <row r="1442" spans="3:14" x14ac:dyDescent="0.3">
      <c r="C1442" s="6">
        <v>44191</v>
      </c>
      <c r="D1442" s="7" t="s">
        <v>160</v>
      </c>
      <c r="E1442" s="8">
        <v>2020</v>
      </c>
      <c r="F1442" s="9" t="s">
        <v>133</v>
      </c>
      <c r="G1442" s="9" t="s">
        <v>24</v>
      </c>
      <c r="H1442" s="10" t="s">
        <v>90</v>
      </c>
      <c r="I1442" s="7">
        <v>58</v>
      </c>
      <c r="J1442" s="11">
        <v>97</v>
      </c>
      <c r="K1442" s="11">
        <f t="shared" si="44"/>
        <v>5626</v>
      </c>
      <c r="L1442" s="11">
        <v>0.15000000596046401</v>
      </c>
      <c r="M1442" s="11">
        <v>675.12</v>
      </c>
      <c r="N1442" s="11">
        <f t="shared" si="45"/>
        <v>6300.9699999940394</v>
      </c>
    </row>
    <row r="1443" spans="3:14" x14ac:dyDescent="0.3">
      <c r="C1443" s="6">
        <v>44191</v>
      </c>
      <c r="D1443" s="7" t="s">
        <v>160</v>
      </c>
      <c r="E1443" s="8">
        <v>2020</v>
      </c>
      <c r="F1443" s="9" t="s">
        <v>133</v>
      </c>
      <c r="G1443" s="9" t="s">
        <v>37</v>
      </c>
      <c r="H1443" s="10" t="s">
        <v>41</v>
      </c>
      <c r="I1443" s="7">
        <v>8</v>
      </c>
      <c r="J1443" s="11">
        <v>60</v>
      </c>
      <c r="K1443" s="11">
        <f t="shared" si="44"/>
        <v>480</v>
      </c>
      <c r="L1443" s="11">
        <v>0.15000000596046401</v>
      </c>
      <c r="M1443" s="11">
        <v>57.599999999999994</v>
      </c>
      <c r="N1443" s="11">
        <f t="shared" si="45"/>
        <v>537.44999999403956</v>
      </c>
    </row>
    <row r="1444" spans="3:14" x14ac:dyDescent="0.3">
      <c r="C1444" s="6">
        <v>44191</v>
      </c>
      <c r="D1444" s="7" t="s">
        <v>160</v>
      </c>
      <c r="E1444" s="8">
        <v>2020</v>
      </c>
      <c r="F1444" s="9" t="s">
        <v>133</v>
      </c>
      <c r="G1444" s="9" t="s">
        <v>14</v>
      </c>
      <c r="H1444" s="10" t="s">
        <v>49</v>
      </c>
      <c r="I1444" s="7">
        <v>44</v>
      </c>
      <c r="J1444" s="11">
        <v>62</v>
      </c>
      <c r="K1444" s="11">
        <f t="shared" si="44"/>
        <v>2728</v>
      </c>
      <c r="L1444" s="11">
        <v>0</v>
      </c>
      <c r="M1444" s="11">
        <v>327.36</v>
      </c>
      <c r="N1444" s="11">
        <f t="shared" si="45"/>
        <v>3055.36</v>
      </c>
    </row>
    <row r="1445" spans="3:14" x14ac:dyDescent="0.3">
      <c r="C1445" s="6">
        <v>44191</v>
      </c>
      <c r="D1445" s="7" t="s">
        <v>160</v>
      </c>
      <c r="E1445" s="8">
        <v>2020</v>
      </c>
      <c r="F1445" s="9" t="s">
        <v>154</v>
      </c>
      <c r="G1445" s="9" t="s">
        <v>14</v>
      </c>
      <c r="H1445" s="10" t="s">
        <v>15</v>
      </c>
      <c r="I1445" s="7">
        <v>62</v>
      </c>
      <c r="J1445" s="11">
        <v>63</v>
      </c>
      <c r="K1445" s="11">
        <f t="shared" si="44"/>
        <v>3906</v>
      </c>
      <c r="L1445" s="11">
        <v>0.10000000149011599</v>
      </c>
      <c r="M1445" s="11">
        <v>468.71999999999997</v>
      </c>
      <c r="N1445" s="11">
        <f t="shared" si="45"/>
        <v>4374.6199999985101</v>
      </c>
    </row>
    <row r="1446" spans="3:14" x14ac:dyDescent="0.3">
      <c r="C1446" s="6">
        <v>44191</v>
      </c>
      <c r="D1446" s="7" t="s">
        <v>160</v>
      </c>
      <c r="E1446" s="8">
        <v>2020</v>
      </c>
      <c r="F1446" s="9" t="s">
        <v>154</v>
      </c>
      <c r="G1446" s="9" t="s">
        <v>20</v>
      </c>
      <c r="H1446" s="10" t="s">
        <v>22</v>
      </c>
      <c r="I1446" s="7">
        <v>41</v>
      </c>
      <c r="J1446" s="11">
        <v>47</v>
      </c>
      <c r="K1446" s="11">
        <f t="shared" si="44"/>
        <v>1927</v>
      </c>
      <c r="L1446" s="11">
        <v>0.10000000149011599</v>
      </c>
      <c r="M1446" s="11">
        <v>231.23999999999998</v>
      </c>
      <c r="N1446" s="11">
        <f t="shared" si="45"/>
        <v>2158.1399999985097</v>
      </c>
    </row>
    <row r="1447" spans="3:14" x14ac:dyDescent="0.3">
      <c r="C1447" s="6">
        <v>44191</v>
      </c>
      <c r="D1447" s="7" t="s">
        <v>160</v>
      </c>
      <c r="E1447" s="8">
        <v>2020</v>
      </c>
      <c r="F1447" s="9" t="s">
        <v>154</v>
      </c>
      <c r="G1447" s="9" t="s">
        <v>42</v>
      </c>
      <c r="H1447" s="10" t="s">
        <v>109</v>
      </c>
      <c r="I1447" s="7">
        <v>4</v>
      </c>
      <c r="J1447" s="11">
        <v>82</v>
      </c>
      <c r="K1447" s="11">
        <f t="shared" si="44"/>
        <v>328</v>
      </c>
      <c r="L1447" s="11">
        <v>0.10000000149011599</v>
      </c>
      <c r="M1447" s="11">
        <v>39.36</v>
      </c>
      <c r="N1447" s="11">
        <f t="shared" si="45"/>
        <v>367.2599999985099</v>
      </c>
    </row>
    <row r="1448" spans="3:14" x14ac:dyDescent="0.3">
      <c r="C1448" s="6">
        <v>44194</v>
      </c>
      <c r="D1448" s="7" t="s">
        <v>160</v>
      </c>
      <c r="E1448" s="8">
        <v>2020</v>
      </c>
      <c r="F1448" s="9" t="s">
        <v>137</v>
      </c>
      <c r="G1448" s="9" t="s">
        <v>42</v>
      </c>
      <c r="H1448" s="10" t="s">
        <v>72</v>
      </c>
      <c r="I1448" s="7">
        <v>83</v>
      </c>
      <c r="J1448" s="11">
        <v>13</v>
      </c>
      <c r="K1448" s="11">
        <f t="shared" si="44"/>
        <v>1079</v>
      </c>
      <c r="L1448" s="11">
        <v>0.25</v>
      </c>
      <c r="M1448" s="11">
        <v>129.47999999999999</v>
      </c>
      <c r="N1448" s="11">
        <f t="shared" si="45"/>
        <v>1208.23</v>
      </c>
    </row>
    <row r="1449" spans="3:14" x14ac:dyDescent="0.3">
      <c r="C1449" s="6">
        <v>44194</v>
      </c>
      <c r="D1449" s="7" t="s">
        <v>160</v>
      </c>
      <c r="E1449" s="8">
        <v>2020</v>
      </c>
      <c r="F1449" s="9" t="s">
        <v>137</v>
      </c>
      <c r="G1449" s="9" t="s">
        <v>42</v>
      </c>
      <c r="H1449" s="10" t="s">
        <v>79</v>
      </c>
      <c r="I1449" s="7">
        <v>8</v>
      </c>
      <c r="J1449" s="11">
        <v>20</v>
      </c>
      <c r="K1449" s="11">
        <f t="shared" si="44"/>
        <v>160</v>
      </c>
      <c r="L1449" s="11">
        <v>0.25</v>
      </c>
      <c r="M1449" s="11">
        <v>19.2</v>
      </c>
      <c r="N1449" s="11">
        <f t="shared" si="45"/>
        <v>178.95</v>
      </c>
    </row>
    <row r="1450" spans="3:14" x14ac:dyDescent="0.3">
      <c r="C1450" s="6">
        <v>44194</v>
      </c>
      <c r="D1450" s="7" t="s">
        <v>160</v>
      </c>
      <c r="E1450" s="8">
        <v>2020</v>
      </c>
      <c r="F1450" s="9" t="s">
        <v>146</v>
      </c>
      <c r="G1450" s="9" t="s">
        <v>24</v>
      </c>
      <c r="H1450" s="10" t="s">
        <v>69</v>
      </c>
      <c r="I1450" s="7">
        <v>54</v>
      </c>
      <c r="J1450" s="11">
        <v>33</v>
      </c>
      <c r="K1450" s="11">
        <f t="shared" si="44"/>
        <v>1782</v>
      </c>
      <c r="L1450" s="11">
        <v>0.25</v>
      </c>
      <c r="M1450" s="11">
        <v>213.84</v>
      </c>
      <c r="N1450" s="11">
        <f t="shared" si="45"/>
        <v>1995.59</v>
      </c>
    </row>
    <row r="1451" spans="3:14" x14ac:dyDescent="0.3">
      <c r="C1451" s="6">
        <v>44194</v>
      </c>
      <c r="D1451" s="7" t="s">
        <v>160</v>
      </c>
      <c r="E1451" s="8">
        <v>2020</v>
      </c>
      <c r="F1451" s="9" t="s">
        <v>146</v>
      </c>
      <c r="G1451" s="9" t="s">
        <v>20</v>
      </c>
      <c r="H1451" s="10" t="s">
        <v>22</v>
      </c>
      <c r="I1451" s="7">
        <v>19</v>
      </c>
      <c r="J1451" s="11">
        <v>15</v>
      </c>
      <c r="K1451" s="11">
        <f t="shared" si="44"/>
        <v>285</v>
      </c>
      <c r="L1451" s="11">
        <v>0.25</v>
      </c>
      <c r="M1451" s="11">
        <v>34.199999999999996</v>
      </c>
      <c r="N1451" s="11">
        <f t="shared" si="45"/>
        <v>318.95</v>
      </c>
    </row>
    <row r="1452" spans="3:14" x14ac:dyDescent="0.3">
      <c r="C1452" s="6">
        <v>44194</v>
      </c>
      <c r="D1452" s="7" t="s">
        <v>160</v>
      </c>
      <c r="E1452" s="8">
        <v>2020</v>
      </c>
      <c r="F1452" s="9" t="s">
        <v>146</v>
      </c>
      <c r="G1452" s="9" t="s">
        <v>42</v>
      </c>
      <c r="H1452" s="10" t="s">
        <v>43</v>
      </c>
      <c r="I1452" s="7">
        <v>75</v>
      </c>
      <c r="J1452" s="11">
        <v>37</v>
      </c>
      <c r="K1452" s="11">
        <f t="shared" si="44"/>
        <v>2775</v>
      </c>
      <c r="L1452" s="11">
        <v>0.25</v>
      </c>
      <c r="M1452" s="11">
        <v>333</v>
      </c>
      <c r="N1452" s="11">
        <f t="shared" si="45"/>
        <v>3107.75</v>
      </c>
    </row>
    <row r="1453" spans="3:14" x14ac:dyDescent="0.3">
      <c r="C1453" s="6">
        <v>44194</v>
      </c>
      <c r="D1453" s="7" t="s">
        <v>160</v>
      </c>
      <c r="E1453" s="8">
        <v>2020</v>
      </c>
      <c r="F1453" s="9" t="s">
        <v>146</v>
      </c>
      <c r="G1453" s="9" t="s">
        <v>32</v>
      </c>
      <c r="H1453" s="10" t="s">
        <v>62</v>
      </c>
      <c r="I1453" s="7">
        <v>38</v>
      </c>
      <c r="J1453" s="11">
        <v>22</v>
      </c>
      <c r="K1453" s="11">
        <f t="shared" si="44"/>
        <v>836</v>
      </c>
      <c r="L1453" s="11">
        <v>0.25</v>
      </c>
      <c r="M1453" s="11">
        <v>100.32</v>
      </c>
      <c r="N1453" s="11">
        <f t="shared" si="45"/>
        <v>936.06999999999994</v>
      </c>
    </row>
    <row r="1454" spans="3:14" x14ac:dyDescent="0.3">
      <c r="C1454" s="6">
        <v>44195</v>
      </c>
      <c r="D1454" s="7" t="s">
        <v>160</v>
      </c>
      <c r="E1454" s="8">
        <v>2020</v>
      </c>
      <c r="F1454" s="9" t="s">
        <v>50</v>
      </c>
      <c r="G1454" s="9" t="s">
        <v>32</v>
      </c>
      <c r="H1454" s="10" t="s">
        <v>100</v>
      </c>
      <c r="I1454" s="7">
        <v>46</v>
      </c>
      <c r="J1454" s="11">
        <v>97</v>
      </c>
      <c r="K1454" s="11">
        <f t="shared" si="44"/>
        <v>4462</v>
      </c>
      <c r="L1454" s="11">
        <v>5.0000000745058101E-2</v>
      </c>
      <c r="M1454" s="11">
        <v>535.43999999999994</v>
      </c>
      <c r="N1454" s="11">
        <f t="shared" si="45"/>
        <v>4997.3899999992545</v>
      </c>
    </row>
    <row r="1455" spans="3:14" x14ac:dyDescent="0.3">
      <c r="C1455" s="6">
        <v>44195</v>
      </c>
      <c r="D1455" s="7" t="s">
        <v>160</v>
      </c>
      <c r="E1455" s="8">
        <v>2020</v>
      </c>
      <c r="F1455" s="9" t="s">
        <v>50</v>
      </c>
      <c r="G1455" s="9" t="s">
        <v>32</v>
      </c>
      <c r="H1455" s="10" t="s">
        <v>134</v>
      </c>
      <c r="I1455" s="7">
        <v>28</v>
      </c>
      <c r="J1455" s="11">
        <v>81</v>
      </c>
      <c r="K1455" s="11">
        <f t="shared" si="44"/>
        <v>2268</v>
      </c>
      <c r="L1455" s="11">
        <v>5.0000000745058101E-2</v>
      </c>
      <c r="M1455" s="11">
        <v>272.15999999999997</v>
      </c>
      <c r="N1455" s="11">
        <f t="shared" si="45"/>
        <v>2540.1099999992548</v>
      </c>
    </row>
    <row r="1456" spans="3:14" x14ac:dyDescent="0.3">
      <c r="C1456" s="6">
        <v>44195</v>
      </c>
      <c r="D1456" s="7" t="s">
        <v>160</v>
      </c>
      <c r="E1456" s="8">
        <v>2020</v>
      </c>
      <c r="F1456" s="9" t="s">
        <v>50</v>
      </c>
      <c r="G1456" s="9" t="s">
        <v>14</v>
      </c>
      <c r="H1456" s="10" t="s">
        <v>49</v>
      </c>
      <c r="I1456" s="7">
        <v>40</v>
      </c>
      <c r="J1456" s="11">
        <v>49</v>
      </c>
      <c r="K1456" s="11">
        <f t="shared" si="44"/>
        <v>1960</v>
      </c>
      <c r="L1456" s="11">
        <v>5.0000000745058101E-2</v>
      </c>
      <c r="M1456" s="11">
        <v>235.2</v>
      </c>
      <c r="N1456" s="11">
        <f t="shared" si="45"/>
        <v>2195.1499999992548</v>
      </c>
    </row>
    <row r="1457" spans="3:14" x14ac:dyDescent="0.3">
      <c r="C1457" s="6">
        <v>44195</v>
      </c>
      <c r="D1457" s="7" t="s">
        <v>160</v>
      </c>
      <c r="E1457" s="8">
        <v>2020</v>
      </c>
      <c r="F1457" s="9" t="s">
        <v>154</v>
      </c>
      <c r="G1457" s="9" t="s">
        <v>24</v>
      </c>
      <c r="H1457" s="10" t="s">
        <v>85</v>
      </c>
      <c r="I1457" s="7">
        <v>67</v>
      </c>
      <c r="J1457" s="11">
        <v>43</v>
      </c>
      <c r="K1457" s="11">
        <f t="shared" si="44"/>
        <v>2881</v>
      </c>
      <c r="L1457" s="11">
        <v>0</v>
      </c>
      <c r="M1457" s="11">
        <v>345.71999999999997</v>
      </c>
      <c r="N1457" s="11">
        <f t="shared" si="45"/>
        <v>3226.72</v>
      </c>
    </row>
    <row r="1458" spans="3:14" x14ac:dyDescent="0.3">
      <c r="C1458" s="6">
        <v>44195</v>
      </c>
      <c r="D1458" s="7" t="s">
        <v>160</v>
      </c>
      <c r="E1458" s="8">
        <v>2020</v>
      </c>
      <c r="F1458" s="9" t="s">
        <v>154</v>
      </c>
      <c r="G1458" s="9" t="s">
        <v>20</v>
      </c>
      <c r="H1458" s="10" t="s">
        <v>92</v>
      </c>
      <c r="I1458" s="7">
        <v>16</v>
      </c>
      <c r="J1458" s="11">
        <v>10</v>
      </c>
      <c r="K1458" s="11">
        <f t="shared" si="44"/>
        <v>160</v>
      </c>
      <c r="L1458" s="11">
        <v>0</v>
      </c>
      <c r="M1458" s="11">
        <v>19.2</v>
      </c>
      <c r="N1458" s="11">
        <f t="shared" si="45"/>
        <v>179.2</v>
      </c>
    </row>
    <row r="1459" spans="3:14" x14ac:dyDescent="0.3">
      <c r="C1459" s="6">
        <v>44195</v>
      </c>
      <c r="D1459" s="7" t="s">
        <v>160</v>
      </c>
      <c r="E1459" s="8">
        <v>2020</v>
      </c>
      <c r="F1459" s="9" t="s">
        <v>154</v>
      </c>
      <c r="G1459" s="9" t="s">
        <v>32</v>
      </c>
      <c r="H1459" s="10" t="s">
        <v>39</v>
      </c>
      <c r="I1459" s="7">
        <v>2</v>
      </c>
      <c r="J1459" s="11">
        <v>84</v>
      </c>
      <c r="K1459" s="11">
        <f t="shared" si="44"/>
        <v>168</v>
      </c>
      <c r="L1459" s="11">
        <v>0.15000000596046401</v>
      </c>
      <c r="M1459" s="11">
        <v>20.16</v>
      </c>
      <c r="N1459" s="11">
        <f t="shared" si="45"/>
        <v>188.00999999403953</v>
      </c>
    </row>
    <row r="1460" spans="3:14" x14ac:dyDescent="0.3">
      <c r="C1460" s="6">
        <v>44195</v>
      </c>
      <c r="D1460" s="7" t="s">
        <v>160</v>
      </c>
      <c r="E1460" s="8">
        <v>2020</v>
      </c>
      <c r="F1460" s="9" t="s">
        <v>126</v>
      </c>
      <c r="G1460" s="9" t="s">
        <v>37</v>
      </c>
      <c r="H1460" s="10" t="s">
        <v>106</v>
      </c>
      <c r="I1460" s="7">
        <v>89</v>
      </c>
      <c r="J1460" s="11">
        <v>68</v>
      </c>
      <c r="K1460" s="11">
        <f t="shared" si="44"/>
        <v>6052</v>
      </c>
      <c r="L1460" s="11">
        <v>0</v>
      </c>
      <c r="M1460" s="11">
        <v>726.24</v>
      </c>
      <c r="N1460" s="11">
        <f t="shared" si="45"/>
        <v>6778.24</v>
      </c>
    </row>
    <row r="1461" spans="3:14" x14ac:dyDescent="0.3">
      <c r="C1461" s="6">
        <v>44195</v>
      </c>
      <c r="D1461" s="7" t="s">
        <v>160</v>
      </c>
      <c r="E1461" s="8">
        <v>2020</v>
      </c>
      <c r="F1461" s="9" t="s">
        <v>126</v>
      </c>
      <c r="G1461" s="9" t="s">
        <v>37</v>
      </c>
      <c r="H1461" s="10" t="s">
        <v>139</v>
      </c>
      <c r="I1461" s="7">
        <v>62</v>
      </c>
      <c r="J1461" s="11">
        <v>88</v>
      </c>
      <c r="K1461" s="11">
        <f t="shared" si="44"/>
        <v>5456</v>
      </c>
      <c r="L1461" s="11">
        <v>0</v>
      </c>
      <c r="M1461" s="11">
        <v>654.72</v>
      </c>
      <c r="N1461" s="11">
        <f t="shared" si="45"/>
        <v>6110.72</v>
      </c>
    </row>
    <row r="1462" spans="3:14" x14ac:dyDescent="0.3">
      <c r="C1462" s="6">
        <v>44196</v>
      </c>
      <c r="D1462" s="7" t="s">
        <v>160</v>
      </c>
      <c r="E1462" s="8">
        <v>2020</v>
      </c>
      <c r="F1462" s="9" t="s">
        <v>28</v>
      </c>
      <c r="G1462" s="9" t="s">
        <v>37</v>
      </c>
      <c r="H1462" s="10" t="s">
        <v>46</v>
      </c>
      <c r="I1462" s="7">
        <v>81</v>
      </c>
      <c r="J1462" s="11">
        <v>47</v>
      </c>
      <c r="K1462" s="11">
        <f t="shared" si="44"/>
        <v>3807</v>
      </c>
      <c r="L1462" s="11">
        <v>0.25</v>
      </c>
      <c r="M1462" s="11">
        <v>456.84</v>
      </c>
      <c r="N1462" s="11">
        <f t="shared" si="45"/>
        <v>4263.59</v>
      </c>
    </row>
    <row r="1463" spans="3:14" x14ac:dyDescent="0.3">
      <c r="C1463" s="6">
        <v>44196</v>
      </c>
      <c r="D1463" s="7" t="s">
        <v>160</v>
      </c>
      <c r="E1463" s="8">
        <v>2020</v>
      </c>
      <c r="F1463" s="9" t="s">
        <v>28</v>
      </c>
      <c r="G1463" s="9" t="s">
        <v>26</v>
      </c>
      <c r="H1463" s="10" t="s">
        <v>27</v>
      </c>
      <c r="I1463" s="7">
        <v>80</v>
      </c>
      <c r="J1463" s="11">
        <v>65</v>
      </c>
      <c r="K1463" s="11">
        <f t="shared" si="44"/>
        <v>5200</v>
      </c>
      <c r="L1463" s="11">
        <v>0</v>
      </c>
      <c r="M1463" s="11">
        <v>624</v>
      </c>
      <c r="N1463" s="11">
        <f t="shared" si="45"/>
        <v>5824</v>
      </c>
    </row>
    <row r="1464" spans="3:14" x14ac:dyDescent="0.3">
      <c r="C1464" s="6">
        <v>44196</v>
      </c>
      <c r="D1464" s="7" t="s">
        <v>160</v>
      </c>
      <c r="E1464" s="8">
        <v>2020</v>
      </c>
      <c r="F1464" s="9" t="s">
        <v>28</v>
      </c>
      <c r="G1464" s="9" t="s">
        <v>20</v>
      </c>
      <c r="H1464" s="10" t="s">
        <v>44</v>
      </c>
      <c r="I1464" s="7">
        <v>27</v>
      </c>
      <c r="J1464" s="11">
        <v>41</v>
      </c>
      <c r="K1464" s="11">
        <f t="shared" si="44"/>
        <v>1107</v>
      </c>
      <c r="L1464" s="11">
        <v>0.25</v>
      </c>
      <c r="M1464" s="11">
        <v>132.84</v>
      </c>
      <c r="N1464" s="11">
        <f t="shared" si="45"/>
        <v>1239.5899999999999</v>
      </c>
    </row>
    <row r="1465" spans="3:14" x14ac:dyDescent="0.3">
      <c r="C1465" s="6">
        <v>44196</v>
      </c>
      <c r="D1465" s="7" t="s">
        <v>160</v>
      </c>
      <c r="E1465" s="8">
        <v>2020</v>
      </c>
      <c r="F1465" s="9" t="s">
        <v>175</v>
      </c>
      <c r="G1465" s="9" t="s">
        <v>24</v>
      </c>
      <c r="H1465" s="10" t="s">
        <v>76</v>
      </c>
      <c r="I1465" s="7">
        <v>94</v>
      </c>
      <c r="J1465" s="11">
        <v>48</v>
      </c>
      <c r="K1465" s="11">
        <f t="shared" si="44"/>
        <v>4512</v>
      </c>
      <c r="L1465" s="11">
        <v>0</v>
      </c>
      <c r="M1465" s="11">
        <v>541.43999999999994</v>
      </c>
      <c r="N1465" s="11">
        <f t="shared" si="45"/>
        <v>5053.4399999999996</v>
      </c>
    </row>
    <row r="1466" spans="3:14" x14ac:dyDescent="0.3">
      <c r="C1466" s="6">
        <v>44197</v>
      </c>
      <c r="D1466" s="7" t="s">
        <v>167</v>
      </c>
      <c r="E1466" s="8">
        <v>2021</v>
      </c>
      <c r="F1466" s="9" t="s">
        <v>156</v>
      </c>
      <c r="G1466" s="9" t="s">
        <v>42</v>
      </c>
      <c r="H1466" s="10" t="s">
        <v>79</v>
      </c>
      <c r="I1466" s="7">
        <v>10</v>
      </c>
      <c r="J1466" s="11">
        <v>47</v>
      </c>
      <c r="K1466" s="11">
        <f t="shared" si="44"/>
        <v>470</v>
      </c>
      <c r="L1466" s="11">
        <v>0</v>
      </c>
      <c r="M1466" s="11">
        <v>56.4</v>
      </c>
      <c r="N1466" s="11">
        <f t="shared" si="45"/>
        <v>526.4</v>
      </c>
    </row>
    <row r="1467" spans="3:14" x14ac:dyDescent="0.3">
      <c r="C1467" s="6">
        <v>44197</v>
      </c>
      <c r="D1467" s="7" t="s">
        <v>167</v>
      </c>
      <c r="E1467" s="8">
        <v>2021</v>
      </c>
      <c r="F1467" s="9" t="s">
        <v>156</v>
      </c>
      <c r="G1467" s="9" t="s">
        <v>37</v>
      </c>
      <c r="H1467" s="10" t="s">
        <v>65</v>
      </c>
      <c r="I1467" s="7">
        <v>76</v>
      </c>
      <c r="J1467" s="11">
        <v>30</v>
      </c>
      <c r="K1467" s="11">
        <f t="shared" si="44"/>
        <v>2280</v>
      </c>
      <c r="L1467" s="11">
        <v>0</v>
      </c>
      <c r="M1467" s="11">
        <v>273.59999999999997</v>
      </c>
      <c r="N1467" s="11">
        <f t="shared" si="45"/>
        <v>2553.6</v>
      </c>
    </row>
    <row r="1468" spans="3:14" x14ac:dyDescent="0.3">
      <c r="C1468" s="6">
        <v>44197</v>
      </c>
      <c r="D1468" s="7" t="s">
        <v>167</v>
      </c>
      <c r="E1468" s="8">
        <v>2021</v>
      </c>
      <c r="F1468" s="9" t="s">
        <v>156</v>
      </c>
      <c r="G1468" s="9" t="s">
        <v>32</v>
      </c>
      <c r="H1468" s="10" t="s">
        <v>39</v>
      </c>
      <c r="I1468" s="7">
        <v>85</v>
      </c>
      <c r="J1468" s="11">
        <v>61</v>
      </c>
      <c r="K1468" s="11">
        <f t="shared" si="44"/>
        <v>5185</v>
      </c>
      <c r="L1468" s="11">
        <v>0</v>
      </c>
      <c r="M1468" s="11">
        <v>622.19999999999993</v>
      </c>
      <c r="N1468" s="11">
        <f t="shared" si="45"/>
        <v>5807.2</v>
      </c>
    </row>
    <row r="1469" spans="3:14" x14ac:dyDescent="0.3">
      <c r="C1469" s="6">
        <v>44197</v>
      </c>
      <c r="D1469" s="7" t="s">
        <v>167</v>
      </c>
      <c r="E1469" s="8">
        <v>2021</v>
      </c>
      <c r="F1469" s="9" t="s">
        <v>66</v>
      </c>
      <c r="G1469" s="9" t="s">
        <v>24</v>
      </c>
      <c r="H1469" s="10" t="s">
        <v>69</v>
      </c>
      <c r="I1469" s="7">
        <v>5</v>
      </c>
      <c r="J1469" s="11">
        <v>94</v>
      </c>
      <c r="K1469" s="11">
        <f t="shared" si="44"/>
        <v>470</v>
      </c>
      <c r="L1469" s="11">
        <v>0</v>
      </c>
      <c r="M1469" s="11">
        <v>56.4</v>
      </c>
      <c r="N1469" s="11">
        <f t="shared" si="45"/>
        <v>526.4</v>
      </c>
    </row>
    <row r="1470" spans="3:14" x14ac:dyDescent="0.3">
      <c r="C1470" s="6">
        <v>44197</v>
      </c>
      <c r="D1470" s="7" t="s">
        <v>167</v>
      </c>
      <c r="E1470" s="8">
        <v>2021</v>
      </c>
      <c r="F1470" s="9" t="s">
        <v>66</v>
      </c>
      <c r="G1470" s="9" t="s">
        <v>16</v>
      </c>
      <c r="H1470" s="10" t="s">
        <v>68</v>
      </c>
      <c r="I1470" s="7">
        <v>73</v>
      </c>
      <c r="J1470" s="11">
        <v>16</v>
      </c>
      <c r="K1470" s="11">
        <f t="shared" si="44"/>
        <v>1168</v>
      </c>
      <c r="L1470" s="11">
        <v>0</v>
      </c>
      <c r="M1470" s="11">
        <v>140.16</v>
      </c>
      <c r="N1470" s="11">
        <f t="shared" si="45"/>
        <v>1308.1600000000001</v>
      </c>
    </row>
    <row r="1471" spans="3:14" x14ac:dyDescent="0.3">
      <c r="C1471" s="6">
        <v>44197</v>
      </c>
      <c r="D1471" s="7" t="s">
        <v>167</v>
      </c>
      <c r="E1471" s="8">
        <v>2021</v>
      </c>
      <c r="F1471" s="9" t="s">
        <v>66</v>
      </c>
      <c r="G1471" s="9" t="s">
        <v>26</v>
      </c>
      <c r="H1471" s="10" t="s">
        <v>27</v>
      </c>
      <c r="I1471" s="7">
        <v>100</v>
      </c>
      <c r="J1471" s="11">
        <v>91</v>
      </c>
      <c r="K1471" s="11">
        <f t="shared" si="44"/>
        <v>9100</v>
      </c>
      <c r="L1471" s="11">
        <v>0</v>
      </c>
      <c r="M1471" s="11">
        <v>1092</v>
      </c>
      <c r="N1471" s="11">
        <f t="shared" si="45"/>
        <v>10192</v>
      </c>
    </row>
    <row r="1472" spans="3:14" x14ac:dyDescent="0.3">
      <c r="C1472" s="6">
        <v>44197</v>
      </c>
      <c r="D1472" s="7" t="s">
        <v>167</v>
      </c>
      <c r="E1472" s="8">
        <v>2021</v>
      </c>
      <c r="F1472" s="9" t="s">
        <v>66</v>
      </c>
      <c r="G1472" s="9" t="s">
        <v>14</v>
      </c>
      <c r="H1472" s="10" t="s">
        <v>87</v>
      </c>
      <c r="I1472" s="7">
        <v>91</v>
      </c>
      <c r="J1472" s="11">
        <v>100</v>
      </c>
      <c r="K1472" s="11">
        <f t="shared" si="44"/>
        <v>9100</v>
      </c>
      <c r="L1472" s="11">
        <v>0</v>
      </c>
      <c r="M1472" s="11">
        <v>1092</v>
      </c>
      <c r="N1472" s="11">
        <f t="shared" si="45"/>
        <v>10192</v>
      </c>
    </row>
    <row r="1473" spans="3:14" x14ac:dyDescent="0.3">
      <c r="C1473" s="6">
        <v>44198</v>
      </c>
      <c r="D1473" s="7" t="s">
        <v>167</v>
      </c>
      <c r="E1473" s="8">
        <v>2021</v>
      </c>
      <c r="F1473" s="9" t="s">
        <v>55</v>
      </c>
      <c r="G1473" s="9" t="s">
        <v>16</v>
      </c>
      <c r="H1473" s="10" t="s">
        <v>145</v>
      </c>
      <c r="I1473" s="7">
        <v>76</v>
      </c>
      <c r="J1473" s="11">
        <v>58</v>
      </c>
      <c r="K1473" s="11">
        <f t="shared" si="44"/>
        <v>4408</v>
      </c>
      <c r="L1473" s="11">
        <v>0</v>
      </c>
      <c r="M1473" s="11">
        <v>528.96</v>
      </c>
      <c r="N1473" s="11">
        <f t="shared" si="45"/>
        <v>4936.96</v>
      </c>
    </row>
    <row r="1474" spans="3:14" x14ac:dyDescent="0.3">
      <c r="C1474" s="6">
        <v>44198</v>
      </c>
      <c r="D1474" s="7" t="s">
        <v>167</v>
      </c>
      <c r="E1474" s="8">
        <v>2021</v>
      </c>
      <c r="F1474" s="9" t="s">
        <v>55</v>
      </c>
      <c r="G1474" s="9" t="s">
        <v>26</v>
      </c>
      <c r="H1474" s="10" t="s">
        <v>95</v>
      </c>
      <c r="I1474" s="7">
        <v>44</v>
      </c>
      <c r="J1474" s="11">
        <v>90</v>
      </c>
      <c r="K1474" s="11">
        <f t="shared" si="44"/>
        <v>3960</v>
      </c>
      <c r="L1474" s="11">
        <v>0</v>
      </c>
      <c r="M1474" s="11">
        <v>475.2</v>
      </c>
      <c r="N1474" s="11">
        <f t="shared" si="45"/>
        <v>4435.2</v>
      </c>
    </row>
    <row r="1475" spans="3:14" x14ac:dyDescent="0.3">
      <c r="C1475" s="6">
        <v>44199</v>
      </c>
      <c r="D1475" s="7" t="s">
        <v>167</v>
      </c>
      <c r="E1475" s="8">
        <v>2021</v>
      </c>
      <c r="F1475" s="9" t="s">
        <v>55</v>
      </c>
      <c r="G1475" s="9" t="s">
        <v>32</v>
      </c>
      <c r="H1475" s="10" t="s">
        <v>47</v>
      </c>
      <c r="I1475" s="7">
        <v>59</v>
      </c>
      <c r="J1475" s="11">
        <v>47</v>
      </c>
      <c r="K1475" s="11">
        <f t="shared" ref="K1475:K1538" si="46">J1475*I1475</f>
        <v>2773</v>
      </c>
      <c r="L1475" s="11">
        <v>0.15000000596046401</v>
      </c>
      <c r="M1475" s="11">
        <v>332.76</v>
      </c>
      <c r="N1475" s="11">
        <f t="shared" ref="N1475:N1538" si="47">K1475-L1475+M1475</f>
        <v>3105.6099999940398</v>
      </c>
    </row>
    <row r="1476" spans="3:14" x14ac:dyDescent="0.3">
      <c r="C1476" s="6">
        <v>44199</v>
      </c>
      <c r="D1476" s="7" t="s">
        <v>167</v>
      </c>
      <c r="E1476" s="8">
        <v>2021</v>
      </c>
      <c r="F1476" s="9" t="s">
        <v>55</v>
      </c>
      <c r="G1476" s="9" t="s">
        <v>32</v>
      </c>
      <c r="H1476" s="10" t="s">
        <v>168</v>
      </c>
      <c r="I1476" s="7">
        <v>60</v>
      </c>
      <c r="J1476" s="11">
        <v>67</v>
      </c>
      <c r="K1476" s="11">
        <f t="shared" si="46"/>
        <v>4020</v>
      </c>
      <c r="L1476" s="11">
        <v>0.15000000596046401</v>
      </c>
      <c r="M1476" s="11">
        <v>482.4</v>
      </c>
      <c r="N1476" s="11">
        <f t="shared" si="47"/>
        <v>4502.2499999940392</v>
      </c>
    </row>
    <row r="1477" spans="3:14" x14ac:dyDescent="0.3">
      <c r="C1477" s="6">
        <v>44199</v>
      </c>
      <c r="D1477" s="7" t="s">
        <v>167</v>
      </c>
      <c r="E1477" s="8">
        <v>2021</v>
      </c>
      <c r="F1477" s="9" t="s">
        <v>88</v>
      </c>
      <c r="G1477" s="9" t="s">
        <v>32</v>
      </c>
      <c r="H1477" s="10" t="s">
        <v>140</v>
      </c>
      <c r="I1477" s="7">
        <v>48</v>
      </c>
      <c r="J1477" s="11">
        <v>93</v>
      </c>
      <c r="K1477" s="11">
        <f t="shared" si="46"/>
        <v>4464</v>
      </c>
      <c r="L1477" s="11">
        <v>5.0000000745058101E-2</v>
      </c>
      <c r="M1477" s="11">
        <v>535.67999999999995</v>
      </c>
      <c r="N1477" s="11">
        <f t="shared" si="47"/>
        <v>4999.6299999992552</v>
      </c>
    </row>
    <row r="1478" spans="3:14" x14ac:dyDescent="0.3">
      <c r="C1478" s="6">
        <v>44199</v>
      </c>
      <c r="D1478" s="7" t="s">
        <v>167</v>
      </c>
      <c r="E1478" s="8">
        <v>2021</v>
      </c>
      <c r="F1478" s="9" t="s">
        <v>88</v>
      </c>
      <c r="G1478" s="9" t="s">
        <v>16</v>
      </c>
      <c r="H1478" s="10" t="s">
        <v>17</v>
      </c>
      <c r="I1478" s="7">
        <v>83</v>
      </c>
      <c r="J1478" s="11">
        <v>56</v>
      </c>
      <c r="K1478" s="11">
        <f t="shared" si="46"/>
        <v>4648</v>
      </c>
      <c r="L1478" s="11">
        <v>5.0000000745058101E-2</v>
      </c>
      <c r="M1478" s="11">
        <v>557.76</v>
      </c>
      <c r="N1478" s="11">
        <f t="shared" si="47"/>
        <v>5205.7099999992552</v>
      </c>
    </row>
    <row r="1479" spans="3:14" x14ac:dyDescent="0.3">
      <c r="C1479" s="6">
        <v>44199</v>
      </c>
      <c r="D1479" s="7" t="s">
        <v>167</v>
      </c>
      <c r="E1479" s="8">
        <v>2021</v>
      </c>
      <c r="F1479" s="9" t="s">
        <v>88</v>
      </c>
      <c r="G1479" s="9" t="s">
        <v>32</v>
      </c>
      <c r="H1479" s="10" t="s">
        <v>39</v>
      </c>
      <c r="I1479" s="7">
        <v>50</v>
      </c>
      <c r="J1479" s="11">
        <v>54</v>
      </c>
      <c r="K1479" s="11">
        <f t="shared" si="46"/>
        <v>2700</v>
      </c>
      <c r="L1479" s="11">
        <v>5.0000000745058101E-2</v>
      </c>
      <c r="M1479" s="11">
        <v>324</v>
      </c>
      <c r="N1479" s="11">
        <f t="shared" si="47"/>
        <v>3023.9499999992549</v>
      </c>
    </row>
    <row r="1480" spans="3:14" x14ac:dyDescent="0.3">
      <c r="C1480" s="6">
        <v>44202</v>
      </c>
      <c r="D1480" s="7" t="s">
        <v>167</v>
      </c>
      <c r="E1480" s="8">
        <v>2021</v>
      </c>
      <c r="F1480" s="9" t="s">
        <v>169</v>
      </c>
      <c r="G1480" s="9" t="s">
        <v>26</v>
      </c>
      <c r="H1480" s="10" t="s">
        <v>112</v>
      </c>
      <c r="I1480" s="7">
        <v>88</v>
      </c>
      <c r="J1480" s="11">
        <v>37</v>
      </c>
      <c r="K1480" s="11">
        <f t="shared" si="46"/>
        <v>3256</v>
      </c>
      <c r="L1480" s="11">
        <v>0</v>
      </c>
      <c r="M1480" s="11">
        <v>390.71999999999997</v>
      </c>
      <c r="N1480" s="11">
        <f t="shared" si="47"/>
        <v>3646.72</v>
      </c>
    </row>
    <row r="1481" spans="3:14" x14ac:dyDescent="0.3">
      <c r="C1481" s="6">
        <v>44203</v>
      </c>
      <c r="D1481" s="7" t="s">
        <v>167</v>
      </c>
      <c r="E1481" s="8">
        <v>2021</v>
      </c>
      <c r="F1481" s="9" t="s">
        <v>161</v>
      </c>
      <c r="G1481" s="9" t="s">
        <v>37</v>
      </c>
      <c r="H1481" s="10" t="s">
        <v>104</v>
      </c>
      <c r="I1481" s="7">
        <v>40</v>
      </c>
      <c r="J1481" s="11">
        <v>33</v>
      </c>
      <c r="K1481" s="11">
        <f t="shared" si="46"/>
        <v>1320</v>
      </c>
      <c r="L1481" s="11">
        <v>0</v>
      </c>
      <c r="M1481" s="11">
        <v>158.4</v>
      </c>
      <c r="N1481" s="11">
        <f t="shared" si="47"/>
        <v>1478.4</v>
      </c>
    </row>
    <row r="1482" spans="3:14" x14ac:dyDescent="0.3">
      <c r="C1482" s="6">
        <v>44203</v>
      </c>
      <c r="D1482" s="7" t="s">
        <v>167</v>
      </c>
      <c r="E1482" s="8">
        <v>2021</v>
      </c>
      <c r="F1482" s="9" t="s">
        <v>161</v>
      </c>
      <c r="G1482" s="9" t="s">
        <v>32</v>
      </c>
      <c r="H1482" s="10" t="s">
        <v>59</v>
      </c>
      <c r="I1482" s="7">
        <v>28</v>
      </c>
      <c r="J1482" s="11">
        <v>45</v>
      </c>
      <c r="K1482" s="11">
        <f t="shared" si="46"/>
        <v>1260</v>
      </c>
      <c r="L1482" s="11">
        <v>0.10000000149011599</v>
      </c>
      <c r="M1482" s="11">
        <v>151.19999999999999</v>
      </c>
      <c r="N1482" s="11">
        <f t="shared" si="47"/>
        <v>1411.0999999985099</v>
      </c>
    </row>
    <row r="1483" spans="3:14" x14ac:dyDescent="0.3">
      <c r="C1483" s="6">
        <v>44203</v>
      </c>
      <c r="D1483" s="7" t="s">
        <v>167</v>
      </c>
      <c r="E1483" s="8">
        <v>2021</v>
      </c>
      <c r="F1483" s="9" t="s">
        <v>161</v>
      </c>
      <c r="G1483" s="9" t="s">
        <v>20</v>
      </c>
      <c r="H1483" s="10" t="s">
        <v>92</v>
      </c>
      <c r="I1483" s="7">
        <v>42</v>
      </c>
      <c r="J1483" s="11">
        <v>41</v>
      </c>
      <c r="K1483" s="11">
        <f t="shared" si="46"/>
        <v>1722</v>
      </c>
      <c r="L1483" s="11">
        <v>0.10000000149011599</v>
      </c>
      <c r="M1483" s="11">
        <v>206.64</v>
      </c>
      <c r="N1483" s="11">
        <f t="shared" si="47"/>
        <v>1928.5399999985098</v>
      </c>
    </row>
    <row r="1484" spans="3:14" x14ac:dyDescent="0.3">
      <c r="C1484" s="6">
        <v>44203</v>
      </c>
      <c r="D1484" s="7" t="s">
        <v>167</v>
      </c>
      <c r="E1484" s="8">
        <v>2021</v>
      </c>
      <c r="F1484" s="9" t="s">
        <v>161</v>
      </c>
      <c r="G1484" s="9" t="s">
        <v>24</v>
      </c>
      <c r="H1484" s="10" t="s">
        <v>48</v>
      </c>
      <c r="I1484" s="7">
        <v>36</v>
      </c>
      <c r="J1484" s="11">
        <v>12</v>
      </c>
      <c r="K1484" s="11">
        <f t="shared" si="46"/>
        <v>432</v>
      </c>
      <c r="L1484" s="11">
        <v>0.10000000149011599</v>
      </c>
      <c r="M1484" s="11">
        <v>51.839999999999996</v>
      </c>
      <c r="N1484" s="11">
        <f t="shared" si="47"/>
        <v>483.73999999850986</v>
      </c>
    </row>
    <row r="1485" spans="3:14" x14ac:dyDescent="0.3">
      <c r="C1485" s="6">
        <v>44203</v>
      </c>
      <c r="D1485" s="7" t="s">
        <v>167</v>
      </c>
      <c r="E1485" s="8">
        <v>2021</v>
      </c>
      <c r="F1485" s="9" t="s">
        <v>161</v>
      </c>
      <c r="G1485" s="9" t="s">
        <v>24</v>
      </c>
      <c r="H1485" s="10" t="s">
        <v>76</v>
      </c>
      <c r="I1485" s="7">
        <v>46</v>
      </c>
      <c r="J1485" s="11">
        <v>48</v>
      </c>
      <c r="K1485" s="11">
        <f t="shared" si="46"/>
        <v>2208</v>
      </c>
      <c r="L1485" s="11">
        <v>0.10000000149011599</v>
      </c>
      <c r="M1485" s="11">
        <v>264.95999999999998</v>
      </c>
      <c r="N1485" s="11">
        <f t="shared" si="47"/>
        <v>2472.8599999985099</v>
      </c>
    </row>
    <row r="1486" spans="3:14" x14ac:dyDescent="0.3">
      <c r="C1486" s="6">
        <v>44203</v>
      </c>
      <c r="D1486" s="7" t="s">
        <v>167</v>
      </c>
      <c r="E1486" s="8">
        <v>2021</v>
      </c>
      <c r="F1486" s="9" t="s">
        <v>170</v>
      </c>
      <c r="G1486" s="9" t="s">
        <v>14</v>
      </c>
      <c r="H1486" s="10" t="s">
        <v>15</v>
      </c>
      <c r="I1486" s="7">
        <v>56</v>
      </c>
      <c r="J1486" s="11">
        <v>56</v>
      </c>
      <c r="K1486" s="11">
        <f t="shared" si="46"/>
        <v>3136</v>
      </c>
      <c r="L1486" s="11">
        <v>0</v>
      </c>
      <c r="M1486" s="11">
        <v>376.32</v>
      </c>
      <c r="N1486" s="11">
        <f t="shared" si="47"/>
        <v>3512.32</v>
      </c>
    </row>
    <row r="1487" spans="3:14" x14ac:dyDescent="0.3">
      <c r="C1487" s="6">
        <v>44203</v>
      </c>
      <c r="D1487" s="7" t="s">
        <v>167</v>
      </c>
      <c r="E1487" s="8">
        <v>2021</v>
      </c>
      <c r="F1487" s="9" t="s">
        <v>170</v>
      </c>
      <c r="G1487" s="9" t="s">
        <v>14</v>
      </c>
      <c r="H1487" s="10" t="s">
        <v>117</v>
      </c>
      <c r="I1487" s="7">
        <v>96</v>
      </c>
      <c r="J1487" s="11">
        <v>25</v>
      </c>
      <c r="K1487" s="11">
        <f t="shared" si="46"/>
        <v>2400</v>
      </c>
      <c r="L1487" s="11">
        <v>0</v>
      </c>
      <c r="M1487" s="11">
        <v>288</v>
      </c>
      <c r="N1487" s="11">
        <f t="shared" si="47"/>
        <v>2688</v>
      </c>
    </row>
    <row r="1488" spans="3:14" x14ac:dyDescent="0.3">
      <c r="C1488" s="6">
        <v>44203</v>
      </c>
      <c r="D1488" s="7" t="s">
        <v>167</v>
      </c>
      <c r="E1488" s="8">
        <v>2021</v>
      </c>
      <c r="F1488" s="9" t="s">
        <v>170</v>
      </c>
      <c r="G1488" s="9" t="s">
        <v>14</v>
      </c>
      <c r="H1488" s="10" t="s">
        <v>87</v>
      </c>
      <c r="I1488" s="7">
        <v>1</v>
      </c>
      <c r="J1488" s="11">
        <v>56</v>
      </c>
      <c r="K1488" s="11">
        <f t="shared" si="46"/>
        <v>56</v>
      </c>
      <c r="L1488" s="11">
        <v>0</v>
      </c>
      <c r="M1488" s="11">
        <v>6.72</v>
      </c>
      <c r="N1488" s="11">
        <f t="shared" si="47"/>
        <v>62.72</v>
      </c>
    </row>
    <row r="1489" spans="3:14" x14ac:dyDescent="0.3">
      <c r="C1489" s="6">
        <v>44204</v>
      </c>
      <c r="D1489" s="7" t="s">
        <v>167</v>
      </c>
      <c r="E1489" s="8">
        <v>2021</v>
      </c>
      <c r="F1489" s="9" t="s">
        <v>171</v>
      </c>
      <c r="G1489" s="9" t="s">
        <v>24</v>
      </c>
      <c r="H1489" s="10" t="s">
        <v>60</v>
      </c>
      <c r="I1489" s="7">
        <v>28</v>
      </c>
      <c r="J1489" s="11">
        <v>16</v>
      </c>
      <c r="K1489" s="11">
        <f t="shared" si="46"/>
        <v>448</v>
      </c>
      <c r="L1489" s="11">
        <v>0</v>
      </c>
      <c r="M1489" s="11">
        <v>53.76</v>
      </c>
      <c r="N1489" s="11">
        <f t="shared" si="47"/>
        <v>501.76</v>
      </c>
    </row>
    <row r="1490" spans="3:14" x14ac:dyDescent="0.3">
      <c r="C1490" s="6">
        <v>44204</v>
      </c>
      <c r="D1490" s="7" t="s">
        <v>167</v>
      </c>
      <c r="E1490" s="8">
        <v>2021</v>
      </c>
      <c r="F1490" s="9" t="s">
        <v>171</v>
      </c>
      <c r="G1490" s="9" t="s">
        <v>42</v>
      </c>
      <c r="H1490" s="10" t="s">
        <v>109</v>
      </c>
      <c r="I1490" s="7">
        <v>74</v>
      </c>
      <c r="J1490" s="11">
        <v>82</v>
      </c>
      <c r="K1490" s="11">
        <f t="shared" si="46"/>
        <v>6068</v>
      </c>
      <c r="L1490" s="11">
        <v>0</v>
      </c>
      <c r="M1490" s="11">
        <v>728.16</v>
      </c>
      <c r="N1490" s="11">
        <f t="shared" si="47"/>
        <v>6796.16</v>
      </c>
    </row>
    <row r="1491" spans="3:14" x14ac:dyDescent="0.3">
      <c r="C1491" s="6">
        <v>44204</v>
      </c>
      <c r="D1491" s="7" t="s">
        <v>167</v>
      </c>
      <c r="E1491" s="8">
        <v>2021</v>
      </c>
      <c r="F1491" s="9" t="s">
        <v>171</v>
      </c>
      <c r="G1491" s="9" t="s">
        <v>32</v>
      </c>
      <c r="H1491" s="10" t="s">
        <v>62</v>
      </c>
      <c r="I1491" s="7">
        <v>98</v>
      </c>
      <c r="J1491" s="11">
        <v>10</v>
      </c>
      <c r="K1491" s="11">
        <f t="shared" si="46"/>
        <v>980</v>
      </c>
      <c r="L1491" s="11">
        <v>0</v>
      </c>
      <c r="M1491" s="11">
        <v>117.6</v>
      </c>
      <c r="N1491" s="11">
        <f t="shared" si="47"/>
        <v>1097.5999999999999</v>
      </c>
    </row>
    <row r="1492" spans="3:14" x14ac:dyDescent="0.3">
      <c r="C1492" s="6">
        <v>44205</v>
      </c>
      <c r="D1492" s="7" t="s">
        <v>167</v>
      </c>
      <c r="E1492" s="8">
        <v>2021</v>
      </c>
      <c r="F1492" s="9" t="s">
        <v>172</v>
      </c>
      <c r="G1492" s="9" t="s">
        <v>20</v>
      </c>
      <c r="H1492" s="10" t="s">
        <v>136</v>
      </c>
      <c r="I1492" s="7">
        <v>39</v>
      </c>
      <c r="J1492" s="11">
        <v>79</v>
      </c>
      <c r="K1492" s="11">
        <f t="shared" si="46"/>
        <v>3081</v>
      </c>
      <c r="L1492" s="11">
        <v>0</v>
      </c>
      <c r="M1492" s="11">
        <v>369.71999999999997</v>
      </c>
      <c r="N1492" s="11">
        <f t="shared" si="47"/>
        <v>3450.72</v>
      </c>
    </row>
    <row r="1493" spans="3:14" x14ac:dyDescent="0.3">
      <c r="C1493" s="6">
        <v>44205</v>
      </c>
      <c r="D1493" s="7" t="s">
        <v>167</v>
      </c>
      <c r="E1493" s="8">
        <v>2021</v>
      </c>
      <c r="F1493" s="9" t="s">
        <v>172</v>
      </c>
      <c r="G1493" s="9" t="s">
        <v>32</v>
      </c>
      <c r="H1493" s="10" t="s">
        <v>59</v>
      </c>
      <c r="I1493" s="7">
        <v>97</v>
      </c>
      <c r="J1493" s="11">
        <v>61</v>
      </c>
      <c r="K1493" s="11">
        <f t="shared" si="46"/>
        <v>5917</v>
      </c>
      <c r="L1493" s="11">
        <v>0</v>
      </c>
      <c r="M1493" s="11">
        <v>710.04</v>
      </c>
      <c r="N1493" s="11">
        <f t="shared" si="47"/>
        <v>6627.04</v>
      </c>
    </row>
    <row r="1494" spans="3:14" x14ac:dyDescent="0.3">
      <c r="C1494" s="6">
        <v>44206</v>
      </c>
      <c r="D1494" s="7" t="s">
        <v>167</v>
      </c>
      <c r="E1494" s="8">
        <v>2021</v>
      </c>
      <c r="F1494" s="9" t="s">
        <v>166</v>
      </c>
      <c r="G1494" s="9" t="s">
        <v>14</v>
      </c>
      <c r="H1494" s="10" t="s">
        <v>34</v>
      </c>
      <c r="I1494" s="7">
        <v>44</v>
      </c>
      <c r="J1494" s="11">
        <v>39</v>
      </c>
      <c r="K1494" s="11">
        <f t="shared" si="46"/>
        <v>1716</v>
      </c>
      <c r="L1494" s="11">
        <v>0</v>
      </c>
      <c r="M1494" s="11">
        <v>205.92</v>
      </c>
      <c r="N1494" s="11">
        <f t="shared" si="47"/>
        <v>1921.92</v>
      </c>
    </row>
    <row r="1495" spans="3:14" x14ac:dyDescent="0.3">
      <c r="C1495" s="6">
        <v>44206</v>
      </c>
      <c r="D1495" s="7" t="s">
        <v>167</v>
      </c>
      <c r="E1495" s="8">
        <v>2021</v>
      </c>
      <c r="F1495" s="9" t="s">
        <v>166</v>
      </c>
      <c r="G1495" s="9" t="s">
        <v>14</v>
      </c>
      <c r="H1495" s="10" t="s">
        <v>49</v>
      </c>
      <c r="I1495" s="7">
        <v>93</v>
      </c>
      <c r="J1495" s="11">
        <v>49</v>
      </c>
      <c r="K1495" s="11">
        <f t="shared" si="46"/>
        <v>4557</v>
      </c>
      <c r="L1495" s="11">
        <v>0</v>
      </c>
      <c r="M1495" s="11">
        <v>546.84</v>
      </c>
      <c r="N1495" s="11">
        <f t="shared" si="47"/>
        <v>5103.84</v>
      </c>
    </row>
    <row r="1496" spans="3:14" x14ac:dyDescent="0.3">
      <c r="C1496" s="6">
        <v>44206</v>
      </c>
      <c r="D1496" s="7" t="s">
        <v>167</v>
      </c>
      <c r="E1496" s="8">
        <v>2021</v>
      </c>
      <c r="F1496" s="9" t="s">
        <v>166</v>
      </c>
      <c r="G1496" s="9" t="s">
        <v>24</v>
      </c>
      <c r="H1496" s="10" t="s">
        <v>25</v>
      </c>
      <c r="I1496" s="7">
        <v>61</v>
      </c>
      <c r="J1496" s="11">
        <v>50</v>
      </c>
      <c r="K1496" s="11">
        <f t="shared" si="46"/>
        <v>3050</v>
      </c>
      <c r="L1496" s="11">
        <v>0.20000000298023199</v>
      </c>
      <c r="M1496" s="11">
        <v>366</v>
      </c>
      <c r="N1496" s="11">
        <f t="shared" si="47"/>
        <v>3415.7999999970198</v>
      </c>
    </row>
    <row r="1497" spans="3:14" x14ac:dyDescent="0.3">
      <c r="C1497" s="6">
        <v>44206</v>
      </c>
      <c r="D1497" s="7" t="s">
        <v>167</v>
      </c>
      <c r="E1497" s="8">
        <v>2021</v>
      </c>
      <c r="F1497" s="9" t="s">
        <v>166</v>
      </c>
      <c r="G1497" s="9" t="s">
        <v>26</v>
      </c>
      <c r="H1497" s="10" t="s">
        <v>94</v>
      </c>
      <c r="I1497" s="7">
        <v>85</v>
      </c>
      <c r="J1497" s="11">
        <v>52</v>
      </c>
      <c r="K1497" s="11">
        <f t="shared" si="46"/>
        <v>4420</v>
      </c>
      <c r="L1497" s="11">
        <v>0.20000000298023199</v>
      </c>
      <c r="M1497" s="11">
        <v>530.4</v>
      </c>
      <c r="N1497" s="11">
        <f t="shared" si="47"/>
        <v>4950.1999999970194</v>
      </c>
    </row>
    <row r="1498" spans="3:14" x14ac:dyDescent="0.3">
      <c r="C1498" s="6">
        <v>44206</v>
      </c>
      <c r="D1498" s="7" t="s">
        <v>167</v>
      </c>
      <c r="E1498" s="8">
        <v>2021</v>
      </c>
      <c r="F1498" s="9" t="s">
        <v>166</v>
      </c>
      <c r="G1498" s="9" t="s">
        <v>14</v>
      </c>
      <c r="H1498" s="10" t="s">
        <v>49</v>
      </c>
      <c r="I1498" s="7">
        <v>62</v>
      </c>
      <c r="J1498" s="11">
        <v>59</v>
      </c>
      <c r="K1498" s="11">
        <f t="shared" si="46"/>
        <v>3658</v>
      </c>
      <c r="L1498" s="11">
        <v>0.20000000298023199</v>
      </c>
      <c r="M1498" s="11">
        <v>438.96</v>
      </c>
      <c r="N1498" s="11">
        <f t="shared" si="47"/>
        <v>4096.7599999970198</v>
      </c>
    </row>
    <row r="1499" spans="3:14" x14ac:dyDescent="0.3">
      <c r="C1499" s="6">
        <v>44209</v>
      </c>
      <c r="D1499" s="7" t="s">
        <v>167</v>
      </c>
      <c r="E1499" s="8">
        <v>2021</v>
      </c>
      <c r="F1499" s="9" t="s">
        <v>73</v>
      </c>
      <c r="G1499" s="9" t="s">
        <v>20</v>
      </c>
      <c r="H1499" s="10" t="s">
        <v>136</v>
      </c>
      <c r="I1499" s="7">
        <v>97</v>
      </c>
      <c r="J1499" s="11">
        <v>25</v>
      </c>
      <c r="K1499" s="11">
        <f t="shared" si="46"/>
        <v>2425</v>
      </c>
      <c r="L1499" s="11">
        <v>0.10000000149011599</v>
      </c>
      <c r="M1499" s="11">
        <v>291</v>
      </c>
      <c r="N1499" s="11">
        <f t="shared" si="47"/>
        <v>2715.8999999985099</v>
      </c>
    </row>
    <row r="1500" spans="3:14" x14ac:dyDescent="0.3">
      <c r="C1500" s="6">
        <v>44210</v>
      </c>
      <c r="D1500" s="7" t="s">
        <v>167</v>
      </c>
      <c r="E1500" s="8">
        <v>2021</v>
      </c>
      <c r="F1500" s="9" t="s">
        <v>150</v>
      </c>
      <c r="G1500" s="9" t="s">
        <v>37</v>
      </c>
      <c r="H1500" s="10" t="s">
        <v>104</v>
      </c>
      <c r="I1500" s="7">
        <v>27</v>
      </c>
      <c r="J1500" s="11">
        <v>65</v>
      </c>
      <c r="K1500" s="11">
        <f t="shared" si="46"/>
        <v>1755</v>
      </c>
      <c r="L1500" s="11">
        <v>0</v>
      </c>
      <c r="M1500" s="11">
        <v>210.6</v>
      </c>
      <c r="N1500" s="11">
        <f t="shared" si="47"/>
        <v>1965.6</v>
      </c>
    </row>
    <row r="1501" spans="3:14" x14ac:dyDescent="0.3">
      <c r="C1501" s="6">
        <v>44210</v>
      </c>
      <c r="D1501" s="7" t="s">
        <v>167</v>
      </c>
      <c r="E1501" s="8">
        <v>2021</v>
      </c>
      <c r="F1501" s="9" t="s">
        <v>150</v>
      </c>
      <c r="G1501" s="9" t="s">
        <v>32</v>
      </c>
      <c r="H1501" s="10" t="s">
        <v>62</v>
      </c>
      <c r="I1501" s="7">
        <v>89</v>
      </c>
      <c r="J1501" s="11">
        <v>16</v>
      </c>
      <c r="K1501" s="11">
        <f t="shared" si="46"/>
        <v>1424</v>
      </c>
      <c r="L1501" s="11">
        <v>0</v>
      </c>
      <c r="M1501" s="11">
        <v>170.88</v>
      </c>
      <c r="N1501" s="11">
        <f t="shared" si="47"/>
        <v>1594.88</v>
      </c>
    </row>
    <row r="1502" spans="3:14" x14ac:dyDescent="0.3">
      <c r="C1502" s="6">
        <v>44210</v>
      </c>
      <c r="D1502" s="7" t="s">
        <v>167</v>
      </c>
      <c r="E1502" s="8">
        <v>2021</v>
      </c>
      <c r="F1502" s="9" t="s">
        <v>150</v>
      </c>
      <c r="G1502" s="9" t="s">
        <v>37</v>
      </c>
      <c r="H1502" s="10" t="s">
        <v>77</v>
      </c>
      <c r="I1502" s="7">
        <v>37</v>
      </c>
      <c r="J1502" s="11">
        <v>83</v>
      </c>
      <c r="K1502" s="11">
        <f t="shared" si="46"/>
        <v>3071</v>
      </c>
      <c r="L1502" s="11">
        <v>0</v>
      </c>
      <c r="M1502" s="11">
        <v>368.52</v>
      </c>
      <c r="N1502" s="11">
        <f t="shared" si="47"/>
        <v>3439.52</v>
      </c>
    </row>
    <row r="1503" spans="3:14" x14ac:dyDescent="0.3">
      <c r="C1503" s="6">
        <v>44210</v>
      </c>
      <c r="D1503" s="7" t="s">
        <v>167</v>
      </c>
      <c r="E1503" s="8">
        <v>2021</v>
      </c>
      <c r="F1503" s="9" t="s">
        <v>149</v>
      </c>
      <c r="G1503" s="9" t="s">
        <v>32</v>
      </c>
      <c r="H1503" s="10" t="s">
        <v>100</v>
      </c>
      <c r="I1503" s="7">
        <v>98</v>
      </c>
      <c r="J1503" s="11">
        <v>16</v>
      </c>
      <c r="K1503" s="11">
        <f t="shared" si="46"/>
        <v>1568</v>
      </c>
      <c r="L1503" s="11">
        <v>5.0000000745058101E-2</v>
      </c>
      <c r="M1503" s="11">
        <v>188.16</v>
      </c>
      <c r="N1503" s="11">
        <f t="shared" si="47"/>
        <v>1756.109999999255</v>
      </c>
    </row>
    <row r="1504" spans="3:14" x14ac:dyDescent="0.3">
      <c r="C1504" s="6">
        <v>44210</v>
      </c>
      <c r="D1504" s="7" t="s">
        <v>167</v>
      </c>
      <c r="E1504" s="8">
        <v>2021</v>
      </c>
      <c r="F1504" s="9" t="s">
        <v>149</v>
      </c>
      <c r="G1504" s="9" t="s">
        <v>14</v>
      </c>
      <c r="H1504" s="10" t="s">
        <v>34</v>
      </c>
      <c r="I1504" s="7">
        <v>5</v>
      </c>
      <c r="J1504" s="11">
        <v>17</v>
      </c>
      <c r="K1504" s="11">
        <f t="shared" si="46"/>
        <v>85</v>
      </c>
      <c r="L1504" s="11">
        <v>0</v>
      </c>
      <c r="M1504" s="11">
        <v>10.199999999999999</v>
      </c>
      <c r="N1504" s="11">
        <f t="shared" si="47"/>
        <v>95.2</v>
      </c>
    </row>
    <row r="1505" spans="3:14" x14ac:dyDescent="0.3">
      <c r="C1505" s="6">
        <v>44211</v>
      </c>
      <c r="D1505" s="7" t="s">
        <v>167</v>
      </c>
      <c r="E1505" s="8">
        <v>2021</v>
      </c>
      <c r="F1505" s="9" t="s">
        <v>163</v>
      </c>
      <c r="G1505" s="9" t="s">
        <v>42</v>
      </c>
      <c r="H1505" s="10" t="s">
        <v>72</v>
      </c>
      <c r="I1505" s="7">
        <v>30</v>
      </c>
      <c r="J1505" s="11">
        <v>50</v>
      </c>
      <c r="K1505" s="11">
        <f t="shared" si="46"/>
        <v>1500</v>
      </c>
      <c r="L1505" s="11">
        <v>0</v>
      </c>
      <c r="M1505" s="11">
        <v>180</v>
      </c>
      <c r="N1505" s="11">
        <f t="shared" si="47"/>
        <v>1680</v>
      </c>
    </row>
    <row r="1506" spans="3:14" x14ac:dyDescent="0.3">
      <c r="C1506" s="6">
        <v>44211</v>
      </c>
      <c r="D1506" s="7" t="s">
        <v>167</v>
      </c>
      <c r="E1506" s="8">
        <v>2021</v>
      </c>
      <c r="F1506" s="9" t="s">
        <v>163</v>
      </c>
      <c r="G1506" s="9" t="s">
        <v>14</v>
      </c>
      <c r="H1506" s="10" t="s">
        <v>34</v>
      </c>
      <c r="I1506" s="7">
        <v>9</v>
      </c>
      <c r="J1506" s="11">
        <v>50</v>
      </c>
      <c r="K1506" s="11">
        <f t="shared" si="46"/>
        <v>450</v>
      </c>
      <c r="L1506" s="11">
        <v>0</v>
      </c>
      <c r="M1506" s="11">
        <v>54</v>
      </c>
      <c r="N1506" s="11">
        <f t="shared" si="47"/>
        <v>504</v>
      </c>
    </row>
    <row r="1507" spans="3:14" x14ac:dyDescent="0.3">
      <c r="C1507" s="6">
        <v>44212</v>
      </c>
      <c r="D1507" s="7" t="s">
        <v>167</v>
      </c>
      <c r="E1507" s="8">
        <v>2021</v>
      </c>
      <c r="F1507" s="9" t="s">
        <v>73</v>
      </c>
      <c r="G1507" s="9" t="s">
        <v>32</v>
      </c>
      <c r="H1507" s="10" t="s">
        <v>100</v>
      </c>
      <c r="I1507" s="7">
        <v>36</v>
      </c>
      <c r="J1507" s="11">
        <v>97</v>
      </c>
      <c r="K1507" s="11">
        <f t="shared" si="46"/>
        <v>3492</v>
      </c>
      <c r="L1507" s="11">
        <v>0</v>
      </c>
      <c r="M1507" s="11">
        <v>419.03999999999996</v>
      </c>
      <c r="N1507" s="11">
        <f t="shared" si="47"/>
        <v>3911.04</v>
      </c>
    </row>
    <row r="1508" spans="3:14" x14ac:dyDescent="0.3">
      <c r="C1508" s="6">
        <v>44212</v>
      </c>
      <c r="D1508" s="7" t="s">
        <v>167</v>
      </c>
      <c r="E1508" s="8">
        <v>2021</v>
      </c>
      <c r="F1508" s="9" t="s">
        <v>73</v>
      </c>
      <c r="G1508" s="9" t="s">
        <v>42</v>
      </c>
      <c r="H1508" s="10" t="s">
        <v>51</v>
      </c>
      <c r="I1508" s="7">
        <v>45</v>
      </c>
      <c r="J1508" s="11">
        <v>10</v>
      </c>
      <c r="K1508" s="11">
        <f t="shared" si="46"/>
        <v>450</v>
      </c>
      <c r="L1508" s="11">
        <v>0</v>
      </c>
      <c r="M1508" s="11">
        <v>54</v>
      </c>
      <c r="N1508" s="11">
        <f t="shared" si="47"/>
        <v>504</v>
      </c>
    </row>
    <row r="1509" spans="3:14" x14ac:dyDescent="0.3">
      <c r="C1509" s="6">
        <v>44212</v>
      </c>
      <c r="D1509" s="7" t="s">
        <v>167</v>
      </c>
      <c r="E1509" s="8">
        <v>2021</v>
      </c>
      <c r="F1509" s="9" t="s">
        <v>73</v>
      </c>
      <c r="G1509" s="9" t="s">
        <v>16</v>
      </c>
      <c r="H1509" s="10" t="s">
        <v>30</v>
      </c>
      <c r="I1509" s="7">
        <v>59</v>
      </c>
      <c r="J1509" s="11">
        <v>31</v>
      </c>
      <c r="K1509" s="11">
        <f t="shared" si="46"/>
        <v>1829</v>
      </c>
      <c r="L1509" s="11">
        <v>0</v>
      </c>
      <c r="M1509" s="11">
        <v>219.48</v>
      </c>
      <c r="N1509" s="11">
        <f t="shared" si="47"/>
        <v>2048.48</v>
      </c>
    </row>
    <row r="1510" spans="3:14" x14ac:dyDescent="0.3">
      <c r="C1510" s="6">
        <v>44212</v>
      </c>
      <c r="D1510" s="7" t="s">
        <v>167</v>
      </c>
      <c r="E1510" s="8">
        <v>2021</v>
      </c>
      <c r="F1510" s="9" t="s">
        <v>146</v>
      </c>
      <c r="G1510" s="9" t="s">
        <v>37</v>
      </c>
      <c r="H1510" s="10" t="s">
        <v>139</v>
      </c>
      <c r="I1510" s="7">
        <v>92</v>
      </c>
      <c r="J1510" s="11">
        <v>100</v>
      </c>
      <c r="K1510" s="11">
        <f t="shared" si="46"/>
        <v>9200</v>
      </c>
      <c r="L1510" s="11">
        <v>0</v>
      </c>
      <c r="M1510" s="11">
        <v>1104</v>
      </c>
      <c r="N1510" s="11">
        <f t="shared" si="47"/>
        <v>10304</v>
      </c>
    </row>
    <row r="1511" spans="3:14" x14ac:dyDescent="0.3">
      <c r="C1511" s="6">
        <v>44212</v>
      </c>
      <c r="D1511" s="7" t="s">
        <v>167</v>
      </c>
      <c r="E1511" s="8">
        <v>2021</v>
      </c>
      <c r="F1511" s="9" t="s">
        <v>146</v>
      </c>
      <c r="G1511" s="9" t="s">
        <v>24</v>
      </c>
      <c r="H1511" s="10" t="s">
        <v>107</v>
      </c>
      <c r="I1511" s="7">
        <v>61</v>
      </c>
      <c r="J1511" s="11">
        <v>97</v>
      </c>
      <c r="K1511" s="11">
        <f t="shared" si="46"/>
        <v>5917</v>
      </c>
      <c r="L1511" s="11">
        <v>0.25</v>
      </c>
      <c r="M1511" s="11">
        <v>710.04</v>
      </c>
      <c r="N1511" s="11">
        <f t="shared" si="47"/>
        <v>6626.79</v>
      </c>
    </row>
    <row r="1512" spans="3:14" x14ac:dyDescent="0.3">
      <c r="C1512" s="6">
        <v>44212</v>
      </c>
      <c r="D1512" s="7" t="s">
        <v>167</v>
      </c>
      <c r="E1512" s="8">
        <v>2021</v>
      </c>
      <c r="F1512" s="9" t="s">
        <v>146</v>
      </c>
      <c r="G1512" s="9" t="s">
        <v>32</v>
      </c>
      <c r="H1512" s="10" t="s">
        <v>110</v>
      </c>
      <c r="I1512" s="7">
        <v>98</v>
      </c>
      <c r="J1512" s="11">
        <v>62</v>
      </c>
      <c r="K1512" s="11">
        <f t="shared" si="46"/>
        <v>6076</v>
      </c>
      <c r="L1512" s="11">
        <v>0.25</v>
      </c>
      <c r="M1512" s="11">
        <v>729.12</v>
      </c>
      <c r="N1512" s="11">
        <f t="shared" si="47"/>
        <v>6804.87</v>
      </c>
    </row>
    <row r="1513" spans="3:14" x14ac:dyDescent="0.3">
      <c r="C1513" s="6">
        <v>44212</v>
      </c>
      <c r="D1513" s="7" t="s">
        <v>167</v>
      </c>
      <c r="E1513" s="8">
        <v>2021</v>
      </c>
      <c r="F1513" s="9" t="s">
        <v>146</v>
      </c>
      <c r="G1513" s="9" t="s">
        <v>26</v>
      </c>
      <c r="H1513" s="10" t="s">
        <v>52</v>
      </c>
      <c r="I1513" s="7">
        <v>11</v>
      </c>
      <c r="J1513" s="11">
        <v>68</v>
      </c>
      <c r="K1513" s="11">
        <f t="shared" si="46"/>
        <v>748</v>
      </c>
      <c r="L1513" s="11">
        <v>0</v>
      </c>
      <c r="M1513" s="11">
        <v>89.759999999999991</v>
      </c>
      <c r="N1513" s="11">
        <f t="shared" si="47"/>
        <v>837.76</v>
      </c>
    </row>
    <row r="1514" spans="3:14" x14ac:dyDescent="0.3">
      <c r="C1514" s="6">
        <v>44213</v>
      </c>
      <c r="D1514" s="7" t="s">
        <v>167</v>
      </c>
      <c r="E1514" s="8">
        <v>2021</v>
      </c>
      <c r="F1514" s="9" t="s">
        <v>84</v>
      </c>
      <c r="G1514" s="9" t="s">
        <v>37</v>
      </c>
      <c r="H1514" s="10" t="s">
        <v>46</v>
      </c>
      <c r="I1514" s="7">
        <v>34</v>
      </c>
      <c r="J1514" s="11">
        <v>12</v>
      </c>
      <c r="K1514" s="11">
        <f t="shared" si="46"/>
        <v>408</v>
      </c>
      <c r="L1514" s="11">
        <v>0</v>
      </c>
      <c r="M1514" s="11">
        <v>48.96</v>
      </c>
      <c r="N1514" s="11">
        <f t="shared" si="47"/>
        <v>456.96</v>
      </c>
    </row>
    <row r="1515" spans="3:14" x14ac:dyDescent="0.3">
      <c r="C1515" s="6">
        <v>44213</v>
      </c>
      <c r="D1515" s="7" t="s">
        <v>167</v>
      </c>
      <c r="E1515" s="8">
        <v>2021</v>
      </c>
      <c r="F1515" s="9" t="s">
        <v>84</v>
      </c>
      <c r="G1515" s="9" t="s">
        <v>32</v>
      </c>
      <c r="H1515" s="10" t="s">
        <v>143</v>
      </c>
      <c r="I1515" s="7">
        <v>56</v>
      </c>
      <c r="J1515" s="11">
        <v>74</v>
      </c>
      <c r="K1515" s="11">
        <f t="shared" si="46"/>
        <v>4144</v>
      </c>
      <c r="L1515" s="11">
        <v>0</v>
      </c>
      <c r="M1515" s="11">
        <v>497.28</v>
      </c>
      <c r="N1515" s="11">
        <f t="shared" si="47"/>
        <v>4641.28</v>
      </c>
    </row>
    <row r="1516" spans="3:14" x14ac:dyDescent="0.3">
      <c r="C1516" s="6">
        <v>44213</v>
      </c>
      <c r="D1516" s="7" t="s">
        <v>167</v>
      </c>
      <c r="E1516" s="8">
        <v>2021</v>
      </c>
      <c r="F1516" s="9" t="s">
        <v>84</v>
      </c>
      <c r="G1516" s="9" t="s">
        <v>26</v>
      </c>
      <c r="H1516" s="10" t="s">
        <v>173</v>
      </c>
      <c r="I1516" s="7">
        <v>40</v>
      </c>
      <c r="J1516" s="11">
        <v>88</v>
      </c>
      <c r="K1516" s="11">
        <f t="shared" si="46"/>
        <v>3520</v>
      </c>
      <c r="L1516" s="11">
        <v>0</v>
      </c>
      <c r="M1516" s="11">
        <v>422.4</v>
      </c>
      <c r="N1516" s="11">
        <f t="shared" si="47"/>
        <v>3942.4</v>
      </c>
    </row>
    <row r="1517" spans="3:14" x14ac:dyDescent="0.3">
      <c r="C1517" s="6">
        <v>44213</v>
      </c>
      <c r="D1517" s="7" t="s">
        <v>167</v>
      </c>
      <c r="E1517" s="8">
        <v>2021</v>
      </c>
      <c r="F1517" s="9" t="s">
        <v>84</v>
      </c>
      <c r="G1517" s="9" t="s">
        <v>20</v>
      </c>
      <c r="H1517" s="10" t="s">
        <v>44</v>
      </c>
      <c r="I1517" s="7">
        <v>88</v>
      </c>
      <c r="J1517" s="11">
        <v>54</v>
      </c>
      <c r="K1517" s="11">
        <f t="shared" si="46"/>
        <v>4752</v>
      </c>
      <c r="L1517" s="11">
        <v>0</v>
      </c>
      <c r="M1517" s="11">
        <v>570.24</v>
      </c>
      <c r="N1517" s="11">
        <f t="shared" si="47"/>
        <v>5322.24</v>
      </c>
    </row>
    <row r="1518" spans="3:14" x14ac:dyDescent="0.3">
      <c r="C1518" s="6">
        <v>44216</v>
      </c>
      <c r="D1518" s="7" t="s">
        <v>167</v>
      </c>
      <c r="E1518" s="8">
        <v>2021</v>
      </c>
      <c r="F1518" s="9" t="s">
        <v>45</v>
      </c>
      <c r="G1518" s="9" t="s">
        <v>14</v>
      </c>
      <c r="H1518" s="10" t="s">
        <v>35</v>
      </c>
      <c r="I1518" s="7">
        <v>20</v>
      </c>
      <c r="J1518" s="11">
        <v>23</v>
      </c>
      <c r="K1518" s="11">
        <f t="shared" si="46"/>
        <v>460</v>
      </c>
      <c r="L1518" s="11">
        <v>5.0000000745058101E-2</v>
      </c>
      <c r="M1518" s="11">
        <v>55.199999999999996</v>
      </c>
      <c r="N1518" s="11">
        <f t="shared" si="47"/>
        <v>515.14999999925499</v>
      </c>
    </row>
    <row r="1519" spans="3:14" x14ac:dyDescent="0.3">
      <c r="C1519" s="6">
        <v>44216</v>
      </c>
      <c r="D1519" s="7" t="s">
        <v>167</v>
      </c>
      <c r="E1519" s="8">
        <v>2021</v>
      </c>
      <c r="F1519" s="9" t="s">
        <v>45</v>
      </c>
      <c r="G1519" s="9" t="s">
        <v>14</v>
      </c>
      <c r="H1519" s="10" t="s">
        <v>117</v>
      </c>
      <c r="I1519" s="7">
        <v>98</v>
      </c>
      <c r="J1519" s="11">
        <v>86</v>
      </c>
      <c r="K1519" s="11">
        <f t="shared" si="46"/>
        <v>8428</v>
      </c>
      <c r="L1519" s="11">
        <v>5.0000000745058101E-2</v>
      </c>
      <c r="M1519" s="11">
        <v>1011.36</v>
      </c>
      <c r="N1519" s="11">
        <f t="shared" si="47"/>
        <v>9439.3099999992555</v>
      </c>
    </row>
    <row r="1520" spans="3:14" x14ac:dyDescent="0.3">
      <c r="C1520" s="6">
        <v>44217</v>
      </c>
      <c r="D1520" s="7" t="s">
        <v>167</v>
      </c>
      <c r="E1520" s="8">
        <v>2021</v>
      </c>
      <c r="F1520" s="9" t="s">
        <v>50</v>
      </c>
      <c r="G1520" s="9" t="s">
        <v>42</v>
      </c>
      <c r="H1520" s="10" t="s">
        <v>174</v>
      </c>
      <c r="I1520" s="7">
        <v>74</v>
      </c>
      <c r="J1520" s="11">
        <v>13</v>
      </c>
      <c r="K1520" s="11">
        <f t="shared" si="46"/>
        <v>962</v>
      </c>
      <c r="L1520" s="11">
        <v>0.10000000149011599</v>
      </c>
      <c r="M1520" s="11">
        <v>115.44</v>
      </c>
      <c r="N1520" s="11">
        <f t="shared" si="47"/>
        <v>1077.3399999985099</v>
      </c>
    </row>
    <row r="1521" spans="3:14" x14ac:dyDescent="0.3">
      <c r="C1521" s="6">
        <v>44217</v>
      </c>
      <c r="D1521" s="7" t="s">
        <v>167</v>
      </c>
      <c r="E1521" s="8">
        <v>2021</v>
      </c>
      <c r="F1521" s="9" t="s">
        <v>50</v>
      </c>
      <c r="G1521" s="9" t="s">
        <v>24</v>
      </c>
      <c r="H1521" s="10" t="s">
        <v>90</v>
      </c>
      <c r="I1521" s="7">
        <v>21</v>
      </c>
      <c r="J1521" s="11">
        <v>64</v>
      </c>
      <c r="K1521" s="11">
        <f t="shared" si="46"/>
        <v>1344</v>
      </c>
      <c r="L1521" s="11">
        <v>0.10000000149011599</v>
      </c>
      <c r="M1521" s="11">
        <v>161.28</v>
      </c>
      <c r="N1521" s="11">
        <f t="shared" si="47"/>
        <v>1505.1799999985099</v>
      </c>
    </row>
    <row r="1522" spans="3:14" x14ac:dyDescent="0.3">
      <c r="C1522" s="6">
        <v>44217</v>
      </c>
      <c r="D1522" s="7" t="s">
        <v>167</v>
      </c>
      <c r="E1522" s="8">
        <v>2021</v>
      </c>
      <c r="F1522" s="9" t="s">
        <v>50</v>
      </c>
      <c r="G1522" s="9" t="s">
        <v>37</v>
      </c>
      <c r="H1522" s="10" t="s">
        <v>63</v>
      </c>
      <c r="I1522" s="7">
        <v>21</v>
      </c>
      <c r="J1522" s="11">
        <v>99</v>
      </c>
      <c r="K1522" s="11">
        <f t="shared" si="46"/>
        <v>2079</v>
      </c>
      <c r="L1522" s="11">
        <v>0.10000000149011599</v>
      </c>
      <c r="M1522" s="11">
        <v>249.48</v>
      </c>
      <c r="N1522" s="11">
        <f t="shared" si="47"/>
        <v>2328.3799999985099</v>
      </c>
    </row>
    <row r="1523" spans="3:14" x14ac:dyDescent="0.3">
      <c r="C1523" s="6">
        <v>44217</v>
      </c>
      <c r="D1523" s="7" t="s">
        <v>167</v>
      </c>
      <c r="E1523" s="8">
        <v>2021</v>
      </c>
      <c r="F1523" s="9" t="s">
        <v>50</v>
      </c>
      <c r="G1523" s="9" t="s">
        <v>24</v>
      </c>
      <c r="H1523" s="10" t="s">
        <v>96</v>
      </c>
      <c r="I1523" s="7">
        <v>25</v>
      </c>
      <c r="J1523" s="11">
        <v>36</v>
      </c>
      <c r="K1523" s="11">
        <f t="shared" si="46"/>
        <v>900</v>
      </c>
      <c r="L1523" s="11">
        <v>0.10000000149011599</v>
      </c>
      <c r="M1523" s="11">
        <v>108</v>
      </c>
      <c r="N1523" s="11">
        <f t="shared" si="47"/>
        <v>1007.8999999985099</v>
      </c>
    </row>
    <row r="1524" spans="3:14" x14ac:dyDescent="0.3">
      <c r="C1524" s="6">
        <v>44217</v>
      </c>
      <c r="D1524" s="7" t="s">
        <v>167</v>
      </c>
      <c r="E1524" s="8">
        <v>2021</v>
      </c>
      <c r="F1524" s="9" t="s">
        <v>64</v>
      </c>
      <c r="G1524" s="9" t="s">
        <v>32</v>
      </c>
      <c r="H1524" s="10" t="s">
        <v>100</v>
      </c>
      <c r="I1524" s="7">
        <v>27</v>
      </c>
      <c r="J1524" s="11">
        <v>28</v>
      </c>
      <c r="K1524" s="11">
        <f t="shared" si="46"/>
        <v>756</v>
      </c>
      <c r="L1524" s="11">
        <v>0.15000000596046401</v>
      </c>
      <c r="M1524" s="11">
        <v>90.72</v>
      </c>
      <c r="N1524" s="11">
        <f t="shared" si="47"/>
        <v>846.56999999403956</v>
      </c>
    </row>
    <row r="1525" spans="3:14" x14ac:dyDescent="0.3">
      <c r="C1525" s="6">
        <v>44217</v>
      </c>
      <c r="D1525" s="7" t="s">
        <v>167</v>
      </c>
      <c r="E1525" s="8">
        <v>2021</v>
      </c>
      <c r="F1525" s="9" t="s">
        <v>64</v>
      </c>
      <c r="G1525" s="9" t="s">
        <v>32</v>
      </c>
      <c r="H1525" s="10" t="s">
        <v>140</v>
      </c>
      <c r="I1525" s="7">
        <v>98</v>
      </c>
      <c r="J1525" s="11">
        <v>43</v>
      </c>
      <c r="K1525" s="11">
        <f t="shared" si="46"/>
        <v>4214</v>
      </c>
      <c r="L1525" s="11">
        <v>0</v>
      </c>
      <c r="M1525" s="11">
        <v>505.68</v>
      </c>
      <c r="N1525" s="11">
        <f t="shared" si="47"/>
        <v>4719.68</v>
      </c>
    </row>
    <row r="1526" spans="3:14" x14ac:dyDescent="0.3">
      <c r="C1526" s="6">
        <v>44217</v>
      </c>
      <c r="D1526" s="7" t="s">
        <v>167</v>
      </c>
      <c r="E1526" s="8">
        <v>2021</v>
      </c>
      <c r="F1526" s="9" t="s">
        <v>64</v>
      </c>
      <c r="G1526" s="9" t="s">
        <v>42</v>
      </c>
      <c r="H1526" s="10" t="s">
        <v>51</v>
      </c>
      <c r="I1526" s="7">
        <v>99</v>
      </c>
      <c r="J1526" s="11">
        <v>82</v>
      </c>
      <c r="K1526" s="11">
        <f t="shared" si="46"/>
        <v>8118</v>
      </c>
      <c r="L1526" s="11">
        <v>0.15000000596046401</v>
      </c>
      <c r="M1526" s="11">
        <v>974.16</v>
      </c>
      <c r="N1526" s="11">
        <f t="shared" si="47"/>
        <v>9092.0099999940394</v>
      </c>
    </row>
    <row r="1527" spans="3:14" x14ac:dyDescent="0.3">
      <c r="C1527" s="6">
        <v>44217</v>
      </c>
      <c r="D1527" s="7" t="s">
        <v>167</v>
      </c>
      <c r="E1527" s="8">
        <v>2021</v>
      </c>
      <c r="F1527" s="9" t="s">
        <v>64</v>
      </c>
      <c r="G1527" s="9" t="s">
        <v>26</v>
      </c>
      <c r="H1527" s="10" t="s">
        <v>52</v>
      </c>
      <c r="I1527" s="7">
        <v>96</v>
      </c>
      <c r="J1527" s="11">
        <v>84</v>
      </c>
      <c r="K1527" s="11">
        <f t="shared" si="46"/>
        <v>8064</v>
      </c>
      <c r="L1527" s="11">
        <v>0.15000000596046401</v>
      </c>
      <c r="M1527" s="11">
        <v>967.68</v>
      </c>
      <c r="N1527" s="11">
        <f t="shared" si="47"/>
        <v>9031.5299999940398</v>
      </c>
    </row>
    <row r="1528" spans="3:14" x14ac:dyDescent="0.3">
      <c r="C1528" s="6">
        <v>44218</v>
      </c>
      <c r="D1528" s="7" t="s">
        <v>167</v>
      </c>
      <c r="E1528" s="8">
        <v>2021</v>
      </c>
      <c r="F1528" s="9" t="s">
        <v>175</v>
      </c>
      <c r="G1528" s="9" t="s">
        <v>32</v>
      </c>
      <c r="H1528" s="10" t="s">
        <v>140</v>
      </c>
      <c r="I1528" s="7">
        <v>72</v>
      </c>
      <c r="J1528" s="11">
        <v>57</v>
      </c>
      <c r="K1528" s="11">
        <f t="shared" si="46"/>
        <v>4104</v>
      </c>
      <c r="L1528" s="11">
        <v>0</v>
      </c>
      <c r="M1528" s="11">
        <v>492.47999999999996</v>
      </c>
      <c r="N1528" s="11">
        <f t="shared" si="47"/>
        <v>4596.4799999999996</v>
      </c>
    </row>
    <row r="1529" spans="3:14" x14ac:dyDescent="0.3">
      <c r="C1529" s="6">
        <v>44219</v>
      </c>
      <c r="D1529" s="7" t="s">
        <v>167</v>
      </c>
      <c r="E1529" s="8">
        <v>2021</v>
      </c>
      <c r="F1529" s="9" t="s">
        <v>176</v>
      </c>
      <c r="G1529" s="9" t="s">
        <v>14</v>
      </c>
      <c r="H1529" s="10" t="s">
        <v>36</v>
      </c>
      <c r="I1529" s="7">
        <v>64</v>
      </c>
      <c r="J1529" s="11">
        <v>76</v>
      </c>
      <c r="K1529" s="11">
        <f t="shared" si="46"/>
        <v>4864</v>
      </c>
      <c r="L1529" s="11">
        <v>0</v>
      </c>
      <c r="M1529" s="11">
        <v>583.67999999999995</v>
      </c>
      <c r="N1529" s="11">
        <f t="shared" si="47"/>
        <v>5447.68</v>
      </c>
    </row>
    <row r="1530" spans="3:14" x14ac:dyDescent="0.3">
      <c r="C1530" s="6">
        <v>44219</v>
      </c>
      <c r="D1530" s="7" t="s">
        <v>167</v>
      </c>
      <c r="E1530" s="8">
        <v>2021</v>
      </c>
      <c r="F1530" s="9" t="s">
        <v>176</v>
      </c>
      <c r="G1530" s="9" t="s">
        <v>14</v>
      </c>
      <c r="H1530" s="10" t="s">
        <v>49</v>
      </c>
      <c r="I1530" s="7">
        <v>32</v>
      </c>
      <c r="J1530" s="11">
        <v>49</v>
      </c>
      <c r="K1530" s="11">
        <f t="shared" si="46"/>
        <v>1568</v>
      </c>
      <c r="L1530" s="11">
        <v>0</v>
      </c>
      <c r="M1530" s="11">
        <v>188.16</v>
      </c>
      <c r="N1530" s="11">
        <f t="shared" si="47"/>
        <v>1756.16</v>
      </c>
    </row>
    <row r="1531" spans="3:14" x14ac:dyDescent="0.3">
      <c r="C1531" s="6">
        <v>44219</v>
      </c>
      <c r="D1531" s="7" t="s">
        <v>167</v>
      </c>
      <c r="E1531" s="8">
        <v>2021</v>
      </c>
      <c r="F1531" s="9" t="s">
        <v>142</v>
      </c>
      <c r="G1531" s="9" t="s">
        <v>37</v>
      </c>
      <c r="H1531" s="10" t="s">
        <v>65</v>
      </c>
      <c r="I1531" s="7">
        <v>71</v>
      </c>
      <c r="J1531" s="11">
        <v>63</v>
      </c>
      <c r="K1531" s="11">
        <f t="shared" si="46"/>
        <v>4473</v>
      </c>
      <c r="L1531" s="11">
        <v>0.20000000298023199</v>
      </c>
      <c r="M1531" s="11">
        <v>536.76</v>
      </c>
      <c r="N1531" s="11">
        <f t="shared" si="47"/>
        <v>5009.55999999702</v>
      </c>
    </row>
    <row r="1532" spans="3:14" x14ac:dyDescent="0.3">
      <c r="C1532" s="6">
        <v>44219</v>
      </c>
      <c r="D1532" s="7" t="s">
        <v>167</v>
      </c>
      <c r="E1532" s="8">
        <v>2021</v>
      </c>
      <c r="F1532" s="9" t="s">
        <v>142</v>
      </c>
      <c r="G1532" s="9" t="s">
        <v>37</v>
      </c>
      <c r="H1532" s="10" t="s">
        <v>139</v>
      </c>
      <c r="I1532" s="7">
        <v>87</v>
      </c>
      <c r="J1532" s="11">
        <v>100</v>
      </c>
      <c r="K1532" s="11">
        <f t="shared" si="46"/>
        <v>8700</v>
      </c>
      <c r="L1532" s="11">
        <v>0.20000000298023199</v>
      </c>
      <c r="M1532" s="11">
        <v>1044</v>
      </c>
      <c r="N1532" s="11">
        <f t="shared" si="47"/>
        <v>9743.7999999970198</v>
      </c>
    </row>
    <row r="1533" spans="3:14" x14ac:dyDescent="0.3">
      <c r="C1533" s="6">
        <v>44219</v>
      </c>
      <c r="D1533" s="7" t="s">
        <v>167</v>
      </c>
      <c r="E1533" s="8">
        <v>2021</v>
      </c>
      <c r="F1533" s="9" t="s">
        <v>142</v>
      </c>
      <c r="G1533" s="9" t="s">
        <v>32</v>
      </c>
      <c r="H1533" s="10" t="s">
        <v>110</v>
      </c>
      <c r="I1533" s="7">
        <v>33</v>
      </c>
      <c r="J1533" s="11">
        <v>95</v>
      </c>
      <c r="K1533" s="11">
        <f t="shared" si="46"/>
        <v>3135</v>
      </c>
      <c r="L1533" s="11">
        <v>0.20000000298023199</v>
      </c>
      <c r="M1533" s="11">
        <v>376.2</v>
      </c>
      <c r="N1533" s="11">
        <f t="shared" si="47"/>
        <v>3510.9999999970196</v>
      </c>
    </row>
    <row r="1534" spans="3:14" x14ac:dyDescent="0.3">
      <c r="C1534" s="6">
        <v>44220</v>
      </c>
      <c r="D1534" s="7" t="s">
        <v>167</v>
      </c>
      <c r="E1534" s="8">
        <v>2021</v>
      </c>
      <c r="F1534" s="9" t="s">
        <v>150</v>
      </c>
      <c r="G1534" s="9" t="s">
        <v>42</v>
      </c>
      <c r="H1534" s="10" t="s">
        <v>43</v>
      </c>
      <c r="I1534" s="7">
        <v>29</v>
      </c>
      <c r="J1534" s="11">
        <v>12</v>
      </c>
      <c r="K1534" s="11">
        <f t="shared" si="46"/>
        <v>348</v>
      </c>
      <c r="L1534" s="11">
        <v>0.25</v>
      </c>
      <c r="M1534" s="11">
        <v>41.76</v>
      </c>
      <c r="N1534" s="11">
        <f t="shared" si="47"/>
        <v>389.51</v>
      </c>
    </row>
    <row r="1535" spans="3:14" x14ac:dyDescent="0.3">
      <c r="C1535" s="6">
        <v>44220</v>
      </c>
      <c r="D1535" s="7" t="s">
        <v>167</v>
      </c>
      <c r="E1535" s="8">
        <v>2021</v>
      </c>
      <c r="F1535" s="9" t="s">
        <v>150</v>
      </c>
      <c r="G1535" s="9" t="s">
        <v>37</v>
      </c>
      <c r="H1535" s="10" t="s">
        <v>77</v>
      </c>
      <c r="I1535" s="7">
        <v>47</v>
      </c>
      <c r="J1535" s="11">
        <v>57</v>
      </c>
      <c r="K1535" s="11">
        <f t="shared" si="46"/>
        <v>2679</v>
      </c>
      <c r="L1535" s="11">
        <v>0.25</v>
      </c>
      <c r="M1535" s="11">
        <v>321.47999999999996</v>
      </c>
      <c r="N1535" s="11">
        <f t="shared" si="47"/>
        <v>3000.23</v>
      </c>
    </row>
    <row r="1536" spans="3:14" x14ac:dyDescent="0.3">
      <c r="C1536" s="6">
        <v>44223</v>
      </c>
      <c r="D1536" s="7" t="s">
        <v>167</v>
      </c>
      <c r="E1536" s="8">
        <v>2021</v>
      </c>
      <c r="F1536" s="9" t="s">
        <v>158</v>
      </c>
      <c r="G1536" s="9" t="s">
        <v>16</v>
      </c>
      <c r="H1536" s="10" t="s">
        <v>68</v>
      </c>
      <c r="I1536" s="7">
        <v>28</v>
      </c>
      <c r="J1536" s="11">
        <v>10</v>
      </c>
      <c r="K1536" s="11">
        <f t="shared" si="46"/>
        <v>280</v>
      </c>
      <c r="L1536" s="11">
        <v>0</v>
      </c>
      <c r="M1536" s="11">
        <v>33.6</v>
      </c>
      <c r="N1536" s="11">
        <f t="shared" si="47"/>
        <v>313.60000000000002</v>
      </c>
    </row>
    <row r="1537" spans="3:14" x14ac:dyDescent="0.3">
      <c r="C1537" s="6">
        <v>44223</v>
      </c>
      <c r="D1537" s="7" t="s">
        <v>167</v>
      </c>
      <c r="E1537" s="8">
        <v>2021</v>
      </c>
      <c r="F1537" s="9" t="s">
        <v>158</v>
      </c>
      <c r="G1537" s="9" t="s">
        <v>16</v>
      </c>
      <c r="H1537" s="10" t="s">
        <v>113</v>
      </c>
      <c r="I1537" s="7">
        <v>46</v>
      </c>
      <c r="J1537" s="11">
        <v>41</v>
      </c>
      <c r="K1537" s="11">
        <f t="shared" si="46"/>
        <v>1886</v>
      </c>
      <c r="L1537" s="11">
        <v>0</v>
      </c>
      <c r="M1537" s="11">
        <v>226.32</v>
      </c>
      <c r="N1537" s="11">
        <f t="shared" si="47"/>
        <v>2112.3200000000002</v>
      </c>
    </row>
    <row r="1538" spans="3:14" x14ac:dyDescent="0.3">
      <c r="C1538" s="6">
        <v>44223</v>
      </c>
      <c r="D1538" s="7" t="s">
        <v>167</v>
      </c>
      <c r="E1538" s="8">
        <v>2021</v>
      </c>
      <c r="F1538" s="9" t="s">
        <v>152</v>
      </c>
      <c r="G1538" s="9" t="s">
        <v>20</v>
      </c>
      <c r="H1538" s="10" t="s">
        <v>136</v>
      </c>
      <c r="I1538" s="7">
        <v>80</v>
      </c>
      <c r="J1538" s="11">
        <v>72</v>
      </c>
      <c r="K1538" s="11">
        <f t="shared" si="46"/>
        <v>5760</v>
      </c>
      <c r="L1538" s="11">
        <v>0</v>
      </c>
      <c r="M1538" s="11">
        <v>691.19999999999993</v>
      </c>
      <c r="N1538" s="11">
        <f t="shared" si="47"/>
        <v>6451.2</v>
      </c>
    </row>
    <row r="1539" spans="3:14" x14ac:dyDescent="0.3">
      <c r="C1539" s="6">
        <v>44224</v>
      </c>
      <c r="D1539" s="7" t="s">
        <v>167</v>
      </c>
      <c r="E1539" s="8">
        <v>2021</v>
      </c>
      <c r="F1539" s="9" t="s">
        <v>108</v>
      </c>
      <c r="G1539" s="9" t="s">
        <v>24</v>
      </c>
      <c r="H1539" s="10" t="s">
        <v>107</v>
      </c>
      <c r="I1539" s="7">
        <v>13</v>
      </c>
      <c r="J1539" s="11">
        <v>36</v>
      </c>
      <c r="K1539" s="11">
        <f t="shared" ref="K1539:K1602" si="48">J1539*I1539</f>
        <v>468</v>
      </c>
      <c r="L1539" s="11">
        <v>0</v>
      </c>
      <c r="M1539" s="11">
        <v>56.16</v>
      </c>
      <c r="N1539" s="11">
        <f t="shared" ref="N1539:N1602" si="49">K1539-L1539+M1539</f>
        <v>524.16</v>
      </c>
    </row>
    <row r="1540" spans="3:14" x14ac:dyDescent="0.3">
      <c r="C1540" s="6">
        <v>44225</v>
      </c>
      <c r="D1540" s="7" t="s">
        <v>167</v>
      </c>
      <c r="E1540" s="8">
        <v>2021</v>
      </c>
      <c r="F1540" s="9" t="s">
        <v>118</v>
      </c>
      <c r="G1540" s="9" t="s">
        <v>32</v>
      </c>
      <c r="H1540" s="10" t="s">
        <v>151</v>
      </c>
      <c r="I1540" s="7">
        <v>78</v>
      </c>
      <c r="J1540" s="11">
        <v>69</v>
      </c>
      <c r="K1540" s="11">
        <f t="shared" si="48"/>
        <v>5382</v>
      </c>
      <c r="L1540" s="11">
        <v>0</v>
      </c>
      <c r="M1540" s="11">
        <v>645.84</v>
      </c>
      <c r="N1540" s="11">
        <f t="shared" si="49"/>
        <v>6027.84</v>
      </c>
    </row>
    <row r="1541" spans="3:14" x14ac:dyDescent="0.3">
      <c r="C1541" s="6">
        <v>44225</v>
      </c>
      <c r="D1541" s="7" t="s">
        <v>167</v>
      </c>
      <c r="E1541" s="8">
        <v>2021</v>
      </c>
      <c r="F1541" s="9" t="s">
        <v>118</v>
      </c>
      <c r="G1541" s="9" t="s">
        <v>26</v>
      </c>
      <c r="H1541" s="10" t="s">
        <v>95</v>
      </c>
      <c r="I1541" s="7">
        <v>36</v>
      </c>
      <c r="J1541" s="11">
        <v>37</v>
      </c>
      <c r="K1541" s="11">
        <f t="shared" si="48"/>
        <v>1332</v>
      </c>
      <c r="L1541" s="11">
        <v>0.25</v>
      </c>
      <c r="M1541" s="11">
        <v>159.84</v>
      </c>
      <c r="N1541" s="11">
        <f t="shared" si="49"/>
        <v>1491.59</v>
      </c>
    </row>
    <row r="1542" spans="3:14" x14ac:dyDescent="0.3">
      <c r="C1542" s="6">
        <v>44226</v>
      </c>
      <c r="D1542" s="7" t="s">
        <v>167</v>
      </c>
      <c r="E1542" s="8">
        <v>2021</v>
      </c>
      <c r="F1542" s="9" t="s">
        <v>55</v>
      </c>
      <c r="G1542" s="9" t="s">
        <v>42</v>
      </c>
      <c r="H1542" s="10" t="s">
        <v>72</v>
      </c>
      <c r="I1542" s="7">
        <v>100</v>
      </c>
      <c r="J1542" s="11">
        <v>58</v>
      </c>
      <c r="K1542" s="11">
        <f t="shared" si="48"/>
        <v>5800</v>
      </c>
      <c r="L1542" s="11">
        <v>0.20000000298023199</v>
      </c>
      <c r="M1542" s="11">
        <v>696</v>
      </c>
      <c r="N1542" s="11">
        <f t="shared" si="49"/>
        <v>6495.7999999970198</v>
      </c>
    </row>
    <row r="1543" spans="3:14" x14ac:dyDescent="0.3">
      <c r="C1543" s="6">
        <v>44226</v>
      </c>
      <c r="D1543" s="7" t="s">
        <v>167</v>
      </c>
      <c r="E1543" s="8">
        <v>2021</v>
      </c>
      <c r="F1543" s="9" t="s">
        <v>55</v>
      </c>
      <c r="G1543" s="9" t="s">
        <v>32</v>
      </c>
      <c r="H1543" s="10" t="s">
        <v>59</v>
      </c>
      <c r="I1543" s="7">
        <v>15</v>
      </c>
      <c r="J1543" s="11">
        <v>68</v>
      </c>
      <c r="K1543" s="11">
        <f t="shared" si="48"/>
        <v>1020</v>
      </c>
      <c r="L1543" s="11">
        <v>0</v>
      </c>
      <c r="M1543" s="11">
        <v>122.39999999999999</v>
      </c>
      <c r="N1543" s="11">
        <f t="shared" si="49"/>
        <v>1142.4000000000001</v>
      </c>
    </row>
    <row r="1544" spans="3:14" x14ac:dyDescent="0.3">
      <c r="C1544" s="6">
        <v>44226</v>
      </c>
      <c r="D1544" s="7" t="s">
        <v>167</v>
      </c>
      <c r="E1544" s="8">
        <v>2021</v>
      </c>
      <c r="F1544" s="9" t="s">
        <v>55</v>
      </c>
      <c r="G1544" s="9" t="s">
        <v>16</v>
      </c>
      <c r="H1544" s="10" t="s">
        <v>68</v>
      </c>
      <c r="I1544" s="7">
        <v>71</v>
      </c>
      <c r="J1544" s="11">
        <v>70</v>
      </c>
      <c r="K1544" s="11">
        <f t="shared" si="48"/>
        <v>4970</v>
      </c>
      <c r="L1544" s="11">
        <v>0</v>
      </c>
      <c r="M1544" s="11">
        <v>596.4</v>
      </c>
      <c r="N1544" s="11">
        <f t="shared" si="49"/>
        <v>5566.4</v>
      </c>
    </row>
    <row r="1545" spans="3:14" x14ac:dyDescent="0.3">
      <c r="C1545" s="6">
        <v>44226</v>
      </c>
      <c r="D1545" s="7" t="s">
        <v>167</v>
      </c>
      <c r="E1545" s="8">
        <v>2021</v>
      </c>
      <c r="F1545" s="9" t="s">
        <v>55</v>
      </c>
      <c r="G1545" s="9" t="s">
        <v>14</v>
      </c>
      <c r="H1545" s="10" t="s">
        <v>49</v>
      </c>
      <c r="I1545" s="7">
        <v>10</v>
      </c>
      <c r="J1545" s="11">
        <v>95</v>
      </c>
      <c r="K1545" s="11">
        <f t="shared" si="48"/>
        <v>950</v>
      </c>
      <c r="L1545" s="11">
        <v>0.20000000298023199</v>
      </c>
      <c r="M1545" s="11">
        <v>114</v>
      </c>
      <c r="N1545" s="11">
        <f t="shared" si="49"/>
        <v>1063.7999999970198</v>
      </c>
    </row>
    <row r="1546" spans="3:14" x14ac:dyDescent="0.3">
      <c r="C1546" s="6">
        <v>44226</v>
      </c>
      <c r="D1546" s="7" t="s">
        <v>167</v>
      </c>
      <c r="E1546" s="8">
        <v>2021</v>
      </c>
      <c r="F1546" s="9" t="s">
        <v>166</v>
      </c>
      <c r="G1546" s="9" t="s">
        <v>42</v>
      </c>
      <c r="H1546" s="10" t="s">
        <v>72</v>
      </c>
      <c r="I1546" s="7">
        <v>10</v>
      </c>
      <c r="J1546" s="11">
        <v>15</v>
      </c>
      <c r="K1546" s="11">
        <f t="shared" si="48"/>
        <v>150</v>
      </c>
      <c r="L1546" s="11">
        <v>0.25</v>
      </c>
      <c r="M1546" s="11">
        <v>18</v>
      </c>
      <c r="N1546" s="11">
        <f t="shared" si="49"/>
        <v>167.75</v>
      </c>
    </row>
    <row r="1547" spans="3:14" x14ac:dyDescent="0.3">
      <c r="C1547" s="6">
        <v>44226</v>
      </c>
      <c r="D1547" s="7" t="s">
        <v>167</v>
      </c>
      <c r="E1547" s="8">
        <v>2021</v>
      </c>
      <c r="F1547" s="9" t="s">
        <v>166</v>
      </c>
      <c r="G1547" s="9" t="s">
        <v>24</v>
      </c>
      <c r="H1547" s="10" t="s">
        <v>76</v>
      </c>
      <c r="I1547" s="7">
        <v>38</v>
      </c>
      <c r="J1547" s="11">
        <v>50</v>
      </c>
      <c r="K1547" s="11">
        <f t="shared" si="48"/>
        <v>1900</v>
      </c>
      <c r="L1547" s="11">
        <v>0.25</v>
      </c>
      <c r="M1547" s="11">
        <v>228</v>
      </c>
      <c r="N1547" s="11">
        <f t="shared" si="49"/>
        <v>2127.75</v>
      </c>
    </row>
    <row r="1548" spans="3:14" x14ac:dyDescent="0.3">
      <c r="C1548" s="6">
        <v>44226</v>
      </c>
      <c r="D1548" s="7" t="s">
        <v>167</v>
      </c>
      <c r="E1548" s="8">
        <v>2021</v>
      </c>
      <c r="F1548" s="9" t="s">
        <v>166</v>
      </c>
      <c r="G1548" s="9" t="s">
        <v>32</v>
      </c>
      <c r="H1548" s="10" t="s">
        <v>143</v>
      </c>
      <c r="I1548" s="7">
        <v>98</v>
      </c>
      <c r="J1548" s="11">
        <v>69</v>
      </c>
      <c r="K1548" s="11">
        <f t="shared" si="48"/>
        <v>6762</v>
      </c>
      <c r="L1548" s="11">
        <v>0.25</v>
      </c>
      <c r="M1548" s="11">
        <v>811.43999999999994</v>
      </c>
      <c r="N1548" s="11">
        <f t="shared" si="49"/>
        <v>7573.19</v>
      </c>
    </row>
    <row r="1549" spans="3:14" x14ac:dyDescent="0.3">
      <c r="C1549" s="6">
        <v>44227</v>
      </c>
      <c r="D1549" s="7" t="s">
        <v>167</v>
      </c>
      <c r="E1549" s="8">
        <v>2021</v>
      </c>
      <c r="F1549" s="9" t="s">
        <v>83</v>
      </c>
      <c r="G1549" s="9" t="s">
        <v>32</v>
      </c>
      <c r="H1549" s="10" t="s">
        <v>140</v>
      </c>
      <c r="I1549" s="7">
        <v>2</v>
      </c>
      <c r="J1549" s="11">
        <v>85</v>
      </c>
      <c r="K1549" s="11">
        <f t="shared" si="48"/>
        <v>170</v>
      </c>
      <c r="L1549" s="11">
        <v>0</v>
      </c>
      <c r="M1549" s="11">
        <v>20.399999999999999</v>
      </c>
      <c r="N1549" s="11">
        <f t="shared" si="49"/>
        <v>190.4</v>
      </c>
    </row>
    <row r="1550" spans="3:14" x14ac:dyDescent="0.3">
      <c r="C1550" s="6">
        <v>44227</v>
      </c>
      <c r="D1550" s="7" t="s">
        <v>167</v>
      </c>
      <c r="E1550" s="8">
        <v>2021</v>
      </c>
      <c r="F1550" s="9" t="s">
        <v>83</v>
      </c>
      <c r="G1550" s="9" t="s">
        <v>42</v>
      </c>
      <c r="H1550" s="10" t="s">
        <v>109</v>
      </c>
      <c r="I1550" s="7">
        <v>71</v>
      </c>
      <c r="J1550" s="11">
        <v>74</v>
      </c>
      <c r="K1550" s="11">
        <f t="shared" si="48"/>
        <v>5254</v>
      </c>
      <c r="L1550" s="11">
        <v>0</v>
      </c>
      <c r="M1550" s="11">
        <v>630.48</v>
      </c>
      <c r="N1550" s="11">
        <f t="shared" si="49"/>
        <v>5884.48</v>
      </c>
    </row>
    <row r="1551" spans="3:14" x14ac:dyDescent="0.3">
      <c r="C1551" s="6">
        <v>44230</v>
      </c>
      <c r="D1551" s="7" t="s">
        <v>177</v>
      </c>
      <c r="E1551" s="8">
        <v>2021</v>
      </c>
      <c r="F1551" s="9" t="s">
        <v>144</v>
      </c>
      <c r="G1551" s="9" t="s">
        <v>16</v>
      </c>
      <c r="H1551" s="10" t="s">
        <v>68</v>
      </c>
      <c r="I1551" s="7">
        <v>94</v>
      </c>
      <c r="J1551" s="11">
        <v>41</v>
      </c>
      <c r="K1551" s="11">
        <f t="shared" si="48"/>
        <v>3854</v>
      </c>
      <c r="L1551" s="11">
        <v>0</v>
      </c>
      <c r="M1551" s="11">
        <v>462.47999999999996</v>
      </c>
      <c r="N1551" s="11">
        <f t="shared" si="49"/>
        <v>4316.4799999999996</v>
      </c>
    </row>
    <row r="1552" spans="3:14" x14ac:dyDescent="0.3">
      <c r="C1552" s="6">
        <v>44230</v>
      </c>
      <c r="D1552" s="7" t="s">
        <v>177</v>
      </c>
      <c r="E1552" s="8">
        <v>2021</v>
      </c>
      <c r="F1552" s="9" t="s">
        <v>70</v>
      </c>
      <c r="G1552" s="9" t="s">
        <v>14</v>
      </c>
      <c r="H1552" s="10" t="s">
        <v>15</v>
      </c>
      <c r="I1552" s="7">
        <v>11</v>
      </c>
      <c r="J1552" s="11">
        <v>27</v>
      </c>
      <c r="K1552" s="11">
        <f t="shared" si="48"/>
        <v>297</v>
      </c>
      <c r="L1552" s="11">
        <v>0</v>
      </c>
      <c r="M1552" s="11">
        <v>35.64</v>
      </c>
      <c r="N1552" s="11">
        <f t="shared" si="49"/>
        <v>332.64</v>
      </c>
    </row>
    <row r="1553" spans="3:14" x14ac:dyDescent="0.3">
      <c r="C1553" s="6">
        <v>44230</v>
      </c>
      <c r="D1553" s="7" t="s">
        <v>177</v>
      </c>
      <c r="E1553" s="8">
        <v>2021</v>
      </c>
      <c r="F1553" s="9" t="s">
        <v>70</v>
      </c>
      <c r="G1553" s="9" t="s">
        <v>37</v>
      </c>
      <c r="H1553" s="10" t="s">
        <v>77</v>
      </c>
      <c r="I1553" s="7">
        <v>41</v>
      </c>
      <c r="J1553" s="11">
        <v>25</v>
      </c>
      <c r="K1553" s="11">
        <f t="shared" si="48"/>
        <v>1025</v>
      </c>
      <c r="L1553" s="11">
        <v>0.15000000596046401</v>
      </c>
      <c r="M1553" s="11">
        <v>123</v>
      </c>
      <c r="N1553" s="11">
        <f t="shared" si="49"/>
        <v>1147.8499999940395</v>
      </c>
    </row>
    <row r="1554" spans="3:14" x14ac:dyDescent="0.3">
      <c r="C1554" s="6">
        <v>44231</v>
      </c>
      <c r="D1554" s="7" t="s">
        <v>177</v>
      </c>
      <c r="E1554" s="8">
        <v>2021</v>
      </c>
      <c r="F1554" s="9" t="s">
        <v>178</v>
      </c>
      <c r="G1554" s="9" t="s">
        <v>37</v>
      </c>
      <c r="H1554" s="10" t="s">
        <v>46</v>
      </c>
      <c r="I1554" s="7">
        <v>6</v>
      </c>
      <c r="J1554" s="11">
        <v>22</v>
      </c>
      <c r="K1554" s="11">
        <f t="shared" si="48"/>
        <v>132</v>
      </c>
      <c r="L1554" s="11">
        <v>0</v>
      </c>
      <c r="M1554" s="11">
        <v>15.84</v>
      </c>
      <c r="N1554" s="11">
        <f t="shared" si="49"/>
        <v>147.84</v>
      </c>
    </row>
    <row r="1555" spans="3:14" x14ac:dyDescent="0.3">
      <c r="C1555" s="6">
        <v>44231</v>
      </c>
      <c r="D1555" s="7" t="s">
        <v>177</v>
      </c>
      <c r="E1555" s="8">
        <v>2021</v>
      </c>
      <c r="F1555" s="9" t="s">
        <v>178</v>
      </c>
      <c r="G1555" s="9" t="s">
        <v>16</v>
      </c>
      <c r="H1555" s="10" t="s">
        <v>29</v>
      </c>
      <c r="I1555" s="7">
        <v>94</v>
      </c>
      <c r="J1555" s="11">
        <v>16</v>
      </c>
      <c r="K1555" s="11">
        <f t="shared" si="48"/>
        <v>1504</v>
      </c>
      <c r="L1555" s="11">
        <v>0</v>
      </c>
      <c r="M1555" s="11">
        <v>180.48</v>
      </c>
      <c r="N1555" s="11">
        <f t="shared" si="49"/>
        <v>1684.48</v>
      </c>
    </row>
    <row r="1556" spans="3:14" x14ac:dyDescent="0.3">
      <c r="C1556" s="6">
        <v>44231</v>
      </c>
      <c r="D1556" s="7" t="s">
        <v>177</v>
      </c>
      <c r="E1556" s="8">
        <v>2021</v>
      </c>
      <c r="F1556" s="9" t="s">
        <v>178</v>
      </c>
      <c r="G1556" s="9" t="s">
        <v>14</v>
      </c>
      <c r="H1556" s="10" t="s">
        <v>18</v>
      </c>
      <c r="I1556" s="7">
        <v>47</v>
      </c>
      <c r="J1556" s="11">
        <v>86</v>
      </c>
      <c r="K1556" s="11">
        <f t="shared" si="48"/>
        <v>4042</v>
      </c>
      <c r="L1556" s="11">
        <v>0</v>
      </c>
      <c r="M1556" s="11">
        <v>485.03999999999996</v>
      </c>
      <c r="N1556" s="11">
        <f t="shared" si="49"/>
        <v>4527.04</v>
      </c>
    </row>
    <row r="1557" spans="3:14" x14ac:dyDescent="0.3">
      <c r="C1557" s="6">
        <v>44232</v>
      </c>
      <c r="D1557" s="7" t="s">
        <v>177</v>
      </c>
      <c r="E1557" s="8">
        <v>2021</v>
      </c>
      <c r="F1557" s="9" t="s">
        <v>71</v>
      </c>
      <c r="G1557" s="9" t="s">
        <v>24</v>
      </c>
      <c r="H1557" s="10" t="s">
        <v>107</v>
      </c>
      <c r="I1557" s="7">
        <v>10</v>
      </c>
      <c r="J1557" s="11">
        <v>28</v>
      </c>
      <c r="K1557" s="11">
        <f t="shared" si="48"/>
        <v>280</v>
      </c>
      <c r="L1557" s="11">
        <v>0</v>
      </c>
      <c r="M1557" s="11">
        <v>33.6</v>
      </c>
      <c r="N1557" s="11">
        <f t="shared" si="49"/>
        <v>313.60000000000002</v>
      </c>
    </row>
    <row r="1558" spans="3:14" x14ac:dyDescent="0.3">
      <c r="C1558" s="6">
        <v>44232</v>
      </c>
      <c r="D1558" s="7" t="s">
        <v>177</v>
      </c>
      <c r="E1558" s="8">
        <v>2021</v>
      </c>
      <c r="F1558" s="9" t="s">
        <v>71</v>
      </c>
      <c r="G1558" s="9" t="s">
        <v>16</v>
      </c>
      <c r="H1558" s="10" t="s">
        <v>68</v>
      </c>
      <c r="I1558" s="7">
        <v>93</v>
      </c>
      <c r="J1558" s="11">
        <v>98</v>
      </c>
      <c r="K1558" s="11">
        <f t="shared" si="48"/>
        <v>9114</v>
      </c>
      <c r="L1558" s="11">
        <v>0.10000000149011599</v>
      </c>
      <c r="M1558" s="11">
        <v>1093.68</v>
      </c>
      <c r="N1558" s="11">
        <f t="shared" si="49"/>
        <v>10207.57999999851</v>
      </c>
    </row>
    <row r="1559" spans="3:14" x14ac:dyDescent="0.3">
      <c r="C1559" s="6">
        <v>44232</v>
      </c>
      <c r="D1559" s="7" t="s">
        <v>177</v>
      </c>
      <c r="E1559" s="8">
        <v>2021</v>
      </c>
      <c r="F1559" s="9" t="s">
        <v>71</v>
      </c>
      <c r="G1559" s="9" t="s">
        <v>16</v>
      </c>
      <c r="H1559" s="10" t="s">
        <v>113</v>
      </c>
      <c r="I1559" s="7">
        <v>77</v>
      </c>
      <c r="J1559" s="11">
        <v>91</v>
      </c>
      <c r="K1559" s="11">
        <f t="shared" si="48"/>
        <v>7007</v>
      </c>
      <c r="L1559" s="11">
        <v>0.10000000149011599</v>
      </c>
      <c r="M1559" s="11">
        <v>840.83999999999992</v>
      </c>
      <c r="N1559" s="11">
        <f t="shared" si="49"/>
        <v>7847.73999999851</v>
      </c>
    </row>
    <row r="1560" spans="3:14" x14ac:dyDescent="0.3">
      <c r="C1560" s="6">
        <v>44232</v>
      </c>
      <c r="D1560" s="7" t="s">
        <v>177</v>
      </c>
      <c r="E1560" s="8">
        <v>2021</v>
      </c>
      <c r="F1560" s="9" t="s">
        <v>71</v>
      </c>
      <c r="G1560" s="9" t="s">
        <v>37</v>
      </c>
      <c r="H1560" s="10" t="s">
        <v>98</v>
      </c>
      <c r="I1560" s="7">
        <v>83</v>
      </c>
      <c r="J1560" s="11">
        <v>74</v>
      </c>
      <c r="K1560" s="11">
        <f t="shared" si="48"/>
        <v>6142</v>
      </c>
      <c r="L1560" s="11">
        <v>0.10000000149011599</v>
      </c>
      <c r="M1560" s="11">
        <v>737.04</v>
      </c>
      <c r="N1560" s="11">
        <f t="shared" si="49"/>
        <v>6878.9399999985098</v>
      </c>
    </row>
    <row r="1561" spans="3:14" x14ac:dyDescent="0.3">
      <c r="C1561" s="6">
        <v>44232</v>
      </c>
      <c r="D1561" s="7" t="s">
        <v>177</v>
      </c>
      <c r="E1561" s="8">
        <v>2021</v>
      </c>
      <c r="F1561" s="9" t="s">
        <v>73</v>
      </c>
      <c r="G1561" s="9" t="s">
        <v>42</v>
      </c>
      <c r="H1561" s="10" t="s">
        <v>51</v>
      </c>
      <c r="I1561" s="7">
        <v>67</v>
      </c>
      <c r="J1561" s="11">
        <v>94</v>
      </c>
      <c r="K1561" s="11">
        <f t="shared" si="48"/>
        <v>6298</v>
      </c>
      <c r="L1561" s="11">
        <v>0</v>
      </c>
      <c r="M1561" s="11">
        <v>755.76</v>
      </c>
      <c r="N1561" s="11">
        <f t="shared" si="49"/>
        <v>7053.76</v>
      </c>
    </row>
    <row r="1562" spans="3:14" x14ac:dyDescent="0.3">
      <c r="C1562" s="6">
        <v>44233</v>
      </c>
      <c r="D1562" s="7" t="s">
        <v>177</v>
      </c>
      <c r="E1562" s="8">
        <v>2021</v>
      </c>
      <c r="F1562" s="9" t="s">
        <v>179</v>
      </c>
      <c r="G1562" s="9" t="s">
        <v>32</v>
      </c>
      <c r="H1562" s="10" t="s">
        <v>100</v>
      </c>
      <c r="I1562" s="7">
        <v>8</v>
      </c>
      <c r="J1562" s="11">
        <v>54</v>
      </c>
      <c r="K1562" s="11">
        <f t="shared" si="48"/>
        <v>432</v>
      </c>
      <c r="L1562" s="11">
        <v>0.20000000298023199</v>
      </c>
      <c r="M1562" s="11">
        <v>51.839999999999996</v>
      </c>
      <c r="N1562" s="11">
        <f t="shared" si="49"/>
        <v>483.63999999701974</v>
      </c>
    </row>
    <row r="1563" spans="3:14" x14ac:dyDescent="0.3">
      <c r="C1563" s="6">
        <v>44233</v>
      </c>
      <c r="D1563" s="7" t="s">
        <v>177</v>
      </c>
      <c r="E1563" s="8">
        <v>2021</v>
      </c>
      <c r="F1563" s="9" t="s">
        <v>179</v>
      </c>
      <c r="G1563" s="9" t="s">
        <v>37</v>
      </c>
      <c r="H1563" s="10" t="s">
        <v>106</v>
      </c>
      <c r="I1563" s="7">
        <v>72</v>
      </c>
      <c r="J1563" s="11">
        <v>57</v>
      </c>
      <c r="K1563" s="11">
        <f t="shared" si="48"/>
        <v>4104</v>
      </c>
      <c r="L1563" s="11">
        <v>0.20000000298023199</v>
      </c>
      <c r="M1563" s="11">
        <v>492.47999999999996</v>
      </c>
      <c r="N1563" s="11">
        <f t="shared" si="49"/>
        <v>4596.2799999970193</v>
      </c>
    </row>
    <row r="1564" spans="3:14" x14ac:dyDescent="0.3">
      <c r="C1564" s="6">
        <v>44233</v>
      </c>
      <c r="D1564" s="7" t="s">
        <v>177</v>
      </c>
      <c r="E1564" s="8">
        <v>2021</v>
      </c>
      <c r="F1564" s="9" t="s">
        <v>179</v>
      </c>
      <c r="G1564" s="9" t="s">
        <v>16</v>
      </c>
      <c r="H1564" s="10" t="s">
        <v>30</v>
      </c>
      <c r="I1564" s="7">
        <v>50</v>
      </c>
      <c r="J1564" s="11">
        <v>76</v>
      </c>
      <c r="K1564" s="11">
        <f t="shared" si="48"/>
        <v>3800</v>
      </c>
      <c r="L1564" s="11">
        <v>0.20000000298023199</v>
      </c>
      <c r="M1564" s="11">
        <v>456</v>
      </c>
      <c r="N1564" s="11">
        <f t="shared" si="49"/>
        <v>4255.7999999970198</v>
      </c>
    </row>
    <row r="1565" spans="3:14" x14ac:dyDescent="0.3">
      <c r="C1565" s="6">
        <v>44234</v>
      </c>
      <c r="D1565" s="7" t="s">
        <v>177</v>
      </c>
      <c r="E1565" s="8">
        <v>2021</v>
      </c>
      <c r="F1565" s="9" t="s">
        <v>142</v>
      </c>
      <c r="G1565" s="9" t="s">
        <v>14</v>
      </c>
      <c r="H1565" s="10" t="s">
        <v>74</v>
      </c>
      <c r="I1565" s="7">
        <v>61</v>
      </c>
      <c r="J1565" s="11">
        <v>48</v>
      </c>
      <c r="K1565" s="11">
        <f t="shared" si="48"/>
        <v>2928</v>
      </c>
      <c r="L1565" s="11">
        <v>0</v>
      </c>
      <c r="M1565" s="11">
        <v>351.36</v>
      </c>
      <c r="N1565" s="11">
        <f t="shared" si="49"/>
        <v>3279.36</v>
      </c>
    </row>
    <row r="1566" spans="3:14" x14ac:dyDescent="0.3">
      <c r="C1566" s="6">
        <v>44234</v>
      </c>
      <c r="D1566" s="7" t="s">
        <v>177</v>
      </c>
      <c r="E1566" s="8">
        <v>2021</v>
      </c>
      <c r="F1566" s="9" t="s">
        <v>142</v>
      </c>
      <c r="G1566" s="9" t="s">
        <v>32</v>
      </c>
      <c r="H1566" s="10" t="s">
        <v>47</v>
      </c>
      <c r="I1566" s="7">
        <v>10</v>
      </c>
      <c r="J1566" s="11">
        <v>68</v>
      </c>
      <c r="K1566" s="11">
        <f t="shared" si="48"/>
        <v>680</v>
      </c>
      <c r="L1566" s="11">
        <v>0</v>
      </c>
      <c r="M1566" s="11">
        <v>81.599999999999994</v>
      </c>
      <c r="N1566" s="11">
        <f t="shared" si="49"/>
        <v>761.6</v>
      </c>
    </row>
    <row r="1567" spans="3:14" x14ac:dyDescent="0.3">
      <c r="C1567" s="6">
        <v>44234</v>
      </c>
      <c r="D1567" s="7" t="s">
        <v>177</v>
      </c>
      <c r="E1567" s="8">
        <v>2021</v>
      </c>
      <c r="F1567" s="9" t="s">
        <v>142</v>
      </c>
      <c r="G1567" s="9" t="s">
        <v>16</v>
      </c>
      <c r="H1567" s="10" t="s">
        <v>113</v>
      </c>
      <c r="I1567" s="7">
        <v>100</v>
      </c>
      <c r="J1567" s="11">
        <v>52</v>
      </c>
      <c r="K1567" s="11">
        <f t="shared" si="48"/>
        <v>5200</v>
      </c>
      <c r="L1567" s="11">
        <v>0</v>
      </c>
      <c r="M1567" s="11">
        <v>624</v>
      </c>
      <c r="N1567" s="11">
        <f t="shared" si="49"/>
        <v>5824</v>
      </c>
    </row>
    <row r="1568" spans="3:14" x14ac:dyDescent="0.3">
      <c r="C1568" s="6">
        <v>44234</v>
      </c>
      <c r="D1568" s="7" t="s">
        <v>177</v>
      </c>
      <c r="E1568" s="8">
        <v>2021</v>
      </c>
      <c r="F1568" s="9" t="s">
        <v>142</v>
      </c>
      <c r="G1568" s="9" t="s">
        <v>20</v>
      </c>
      <c r="H1568" s="10" t="s">
        <v>44</v>
      </c>
      <c r="I1568" s="7">
        <v>21</v>
      </c>
      <c r="J1568" s="11">
        <v>53</v>
      </c>
      <c r="K1568" s="11">
        <f t="shared" si="48"/>
        <v>1113</v>
      </c>
      <c r="L1568" s="11">
        <v>0</v>
      </c>
      <c r="M1568" s="11">
        <v>133.56</v>
      </c>
      <c r="N1568" s="11">
        <f t="shared" si="49"/>
        <v>1246.56</v>
      </c>
    </row>
    <row r="1569" spans="3:14" x14ac:dyDescent="0.3">
      <c r="C1569" s="6">
        <v>44237</v>
      </c>
      <c r="D1569" s="7" t="s">
        <v>177</v>
      </c>
      <c r="E1569" s="8">
        <v>2021</v>
      </c>
      <c r="F1569" s="9" t="s">
        <v>135</v>
      </c>
      <c r="G1569" s="9" t="s">
        <v>37</v>
      </c>
      <c r="H1569" s="10" t="s">
        <v>46</v>
      </c>
      <c r="I1569" s="7">
        <v>62</v>
      </c>
      <c r="J1569" s="11">
        <v>27</v>
      </c>
      <c r="K1569" s="11">
        <f t="shared" si="48"/>
        <v>1674</v>
      </c>
      <c r="L1569" s="11">
        <v>0.15000000596046401</v>
      </c>
      <c r="M1569" s="11">
        <v>200.88</v>
      </c>
      <c r="N1569" s="11">
        <f t="shared" si="49"/>
        <v>1874.7299999940396</v>
      </c>
    </row>
    <row r="1570" spans="3:14" x14ac:dyDescent="0.3">
      <c r="C1570" s="6">
        <v>44237</v>
      </c>
      <c r="D1570" s="7" t="s">
        <v>177</v>
      </c>
      <c r="E1570" s="8">
        <v>2021</v>
      </c>
      <c r="F1570" s="9" t="s">
        <v>135</v>
      </c>
      <c r="G1570" s="9" t="s">
        <v>32</v>
      </c>
      <c r="H1570" s="10" t="s">
        <v>47</v>
      </c>
      <c r="I1570" s="7">
        <v>25</v>
      </c>
      <c r="J1570" s="11">
        <v>73</v>
      </c>
      <c r="K1570" s="11">
        <f t="shared" si="48"/>
        <v>1825</v>
      </c>
      <c r="L1570" s="11">
        <v>0.15000000596046401</v>
      </c>
      <c r="M1570" s="11">
        <v>219</v>
      </c>
      <c r="N1570" s="11">
        <f t="shared" si="49"/>
        <v>2043.8499999940395</v>
      </c>
    </row>
    <row r="1571" spans="3:14" x14ac:dyDescent="0.3">
      <c r="C1571" s="6">
        <v>44237</v>
      </c>
      <c r="D1571" s="7" t="s">
        <v>177</v>
      </c>
      <c r="E1571" s="8">
        <v>2021</v>
      </c>
      <c r="F1571" s="9" t="s">
        <v>135</v>
      </c>
      <c r="G1571" s="9" t="s">
        <v>42</v>
      </c>
      <c r="H1571" s="10" t="s">
        <v>79</v>
      </c>
      <c r="I1571" s="7">
        <v>1</v>
      </c>
      <c r="J1571" s="11">
        <v>32</v>
      </c>
      <c r="K1571" s="11">
        <f t="shared" si="48"/>
        <v>32</v>
      </c>
      <c r="L1571" s="11">
        <v>0.15000000596046401</v>
      </c>
      <c r="M1571" s="11">
        <v>3.84</v>
      </c>
      <c r="N1571" s="11">
        <f t="shared" si="49"/>
        <v>35.689999994039539</v>
      </c>
    </row>
    <row r="1572" spans="3:14" x14ac:dyDescent="0.3">
      <c r="C1572" s="6">
        <v>44237</v>
      </c>
      <c r="D1572" s="7" t="s">
        <v>177</v>
      </c>
      <c r="E1572" s="8">
        <v>2021</v>
      </c>
      <c r="F1572" s="9" t="s">
        <v>135</v>
      </c>
      <c r="G1572" s="9" t="s">
        <v>26</v>
      </c>
      <c r="H1572" s="10" t="s">
        <v>173</v>
      </c>
      <c r="I1572" s="7">
        <v>71</v>
      </c>
      <c r="J1572" s="11">
        <v>85</v>
      </c>
      <c r="K1572" s="11">
        <f t="shared" si="48"/>
        <v>6035</v>
      </c>
      <c r="L1572" s="11">
        <v>0.15000000596046401</v>
      </c>
      <c r="M1572" s="11">
        <v>724.19999999999993</v>
      </c>
      <c r="N1572" s="11">
        <f t="shared" si="49"/>
        <v>6759.0499999940394</v>
      </c>
    </row>
    <row r="1573" spans="3:14" x14ac:dyDescent="0.3">
      <c r="C1573" s="6">
        <v>44237</v>
      </c>
      <c r="D1573" s="7" t="s">
        <v>177</v>
      </c>
      <c r="E1573" s="8">
        <v>2021</v>
      </c>
      <c r="F1573" s="9" t="s">
        <v>61</v>
      </c>
      <c r="G1573" s="9" t="s">
        <v>32</v>
      </c>
      <c r="H1573" s="10" t="s">
        <v>54</v>
      </c>
      <c r="I1573" s="7">
        <v>13</v>
      </c>
      <c r="J1573" s="11">
        <v>39</v>
      </c>
      <c r="K1573" s="11">
        <f t="shared" si="48"/>
        <v>507</v>
      </c>
      <c r="L1573" s="11">
        <v>0</v>
      </c>
      <c r="M1573" s="11">
        <v>60.839999999999996</v>
      </c>
      <c r="N1573" s="11">
        <f t="shared" si="49"/>
        <v>567.84</v>
      </c>
    </row>
    <row r="1574" spans="3:14" x14ac:dyDescent="0.3">
      <c r="C1574" s="6">
        <v>44238</v>
      </c>
      <c r="D1574" s="7" t="s">
        <v>177</v>
      </c>
      <c r="E1574" s="8">
        <v>2021</v>
      </c>
      <c r="F1574" s="9" t="s">
        <v>55</v>
      </c>
      <c r="G1574" s="9" t="s">
        <v>14</v>
      </c>
      <c r="H1574" s="10" t="s">
        <v>15</v>
      </c>
      <c r="I1574" s="7">
        <v>41</v>
      </c>
      <c r="J1574" s="11">
        <v>66</v>
      </c>
      <c r="K1574" s="11">
        <f t="shared" si="48"/>
        <v>2706</v>
      </c>
      <c r="L1574" s="11">
        <v>0</v>
      </c>
      <c r="M1574" s="11">
        <v>324.71999999999997</v>
      </c>
      <c r="N1574" s="11">
        <f t="shared" si="49"/>
        <v>3030.72</v>
      </c>
    </row>
    <row r="1575" spans="3:14" x14ac:dyDescent="0.3">
      <c r="C1575" s="6">
        <v>44238</v>
      </c>
      <c r="D1575" s="7" t="s">
        <v>177</v>
      </c>
      <c r="E1575" s="8">
        <v>2021</v>
      </c>
      <c r="F1575" s="9" t="s">
        <v>55</v>
      </c>
      <c r="G1575" s="9" t="s">
        <v>42</v>
      </c>
      <c r="H1575" s="10" t="s">
        <v>109</v>
      </c>
      <c r="I1575" s="7">
        <v>20</v>
      </c>
      <c r="J1575" s="11">
        <v>78</v>
      </c>
      <c r="K1575" s="11">
        <f t="shared" si="48"/>
        <v>1560</v>
      </c>
      <c r="L1575" s="11">
        <v>0</v>
      </c>
      <c r="M1575" s="11">
        <v>187.2</v>
      </c>
      <c r="N1575" s="11">
        <f t="shared" si="49"/>
        <v>1747.2</v>
      </c>
    </row>
    <row r="1576" spans="3:14" x14ac:dyDescent="0.3">
      <c r="C1576" s="6">
        <v>44238</v>
      </c>
      <c r="D1576" s="7" t="s">
        <v>177</v>
      </c>
      <c r="E1576" s="8">
        <v>2021</v>
      </c>
      <c r="F1576" s="9" t="s">
        <v>55</v>
      </c>
      <c r="G1576" s="9" t="s">
        <v>26</v>
      </c>
      <c r="H1576" s="10" t="s">
        <v>119</v>
      </c>
      <c r="I1576" s="7">
        <v>18</v>
      </c>
      <c r="J1576" s="11">
        <v>70</v>
      </c>
      <c r="K1576" s="11">
        <f t="shared" si="48"/>
        <v>1260</v>
      </c>
      <c r="L1576" s="11">
        <v>0</v>
      </c>
      <c r="M1576" s="11">
        <v>151.19999999999999</v>
      </c>
      <c r="N1576" s="11">
        <f t="shared" si="49"/>
        <v>1411.2</v>
      </c>
    </row>
    <row r="1577" spans="3:14" x14ac:dyDescent="0.3">
      <c r="C1577" s="6">
        <v>44239</v>
      </c>
      <c r="D1577" s="7" t="s">
        <v>177</v>
      </c>
      <c r="E1577" s="8">
        <v>2021</v>
      </c>
      <c r="F1577" s="9" t="s">
        <v>108</v>
      </c>
      <c r="G1577" s="9" t="s">
        <v>14</v>
      </c>
      <c r="H1577" s="10" t="s">
        <v>15</v>
      </c>
      <c r="I1577" s="7">
        <v>27</v>
      </c>
      <c r="J1577" s="11">
        <v>37</v>
      </c>
      <c r="K1577" s="11">
        <f t="shared" si="48"/>
        <v>999</v>
      </c>
      <c r="L1577" s="11">
        <v>0.20000000298023199</v>
      </c>
      <c r="M1577" s="11">
        <v>119.88</v>
      </c>
      <c r="N1577" s="11">
        <f t="shared" si="49"/>
        <v>1118.6799999970199</v>
      </c>
    </row>
    <row r="1578" spans="3:14" x14ac:dyDescent="0.3">
      <c r="C1578" s="6">
        <v>44239</v>
      </c>
      <c r="D1578" s="7" t="s">
        <v>177</v>
      </c>
      <c r="E1578" s="8">
        <v>2021</v>
      </c>
      <c r="F1578" s="9" t="s">
        <v>108</v>
      </c>
      <c r="G1578" s="9" t="s">
        <v>20</v>
      </c>
      <c r="H1578" s="10" t="s">
        <v>92</v>
      </c>
      <c r="I1578" s="7">
        <v>55</v>
      </c>
      <c r="J1578" s="11">
        <v>22</v>
      </c>
      <c r="K1578" s="11">
        <f t="shared" si="48"/>
        <v>1210</v>
      </c>
      <c r="L1578" s="11">
        <v>0</v>
      </c>
      <c r="M1578" s="11">
        <v>145.19999999999999</v>
      </c>
      <c r="N1578" s="11">
        <f t="shared" si="49"/>
        <v>1355.2</v>
      </c>
    </row>
    <row r="1579" spans="3:14" x14ac:dyDescent="0.3">
      <c r="C1579" s="6">
        <v>44239</v>
      </c>
      <c r="D1579" s="7" t="s">
        <v>177</v>
      </c>
      <c r="E1579" s="8">
        <v>2021</v>
      </c>
      <c r="F1579" s="9" t="s">
        <v>93</v>
      </c>
      <c r="G1579" s="9" t="s">
        <v>42</v>
      </c>
      <c r="H1579" s="10" t="s">
        <v>72</v>
      </c>
      <c r="I1579" s="7">
        <v>55</v>
      </c>
      <c r="J1579" s="11">
        <v>59</v>
      </c>
      <c r="K1579" s="11">
        <f t="shared" si="48"/>
        <v>3245</v>
      </c>
      <c r="L1579" s="11">
        <v>0</v>
      </c>
      <c r="M1579" s="11">
        <v>389.4</v>
      </c>
      <c r="N1579" s="11">
        <f t="shared" si="49"/>
        <v>3634.4</v>
      </c>
    </row>
    <row r="1580" spans="3:14" x14ac:dyDescent="0.3">
      <c r="C1580" s="6">
        <v>44239</v>
      </c>
      <c r="D1580" s="7" t="s">
        <v>177</v>
      </c>
      <c r="E1580" s="8">
        <v>2021</v>
      </c>
      <c r="F1580" s="9" t="s">
        <v>93</v>
      </c>
      <c r="G1580" s="9" t="s">
        <v>32</v>
      </c>
      <c r="H1580" s="10" t="s">
        <v>140</v>
      </c>
      <c r="I1580" s="7">
        <v>6</v>
      </c>
      <c r="J1580" s="11">
        <v>73</v>
      </c>
      <c r="K1580" s="11">
        <f t="shared" si="48"/>
        <v>438</v>
      </c>
      <c r="L1580" s="11">
        <v>0</v>
      </c>
      <c r="M1580" s="11">
        <v>52.559999999999995</v>
      </c>
      <c r="N1580" s="11">
        <f t="shared" si="49"/>
        <v>490.56</v>
      </c>
    </row>
    <row r="1581" spans="3:14" x14ac:dyDescent="0.3">
      <c r="C1581" s="6">
        <v>44239</v>
      </c>
      <c r="D1581" s="7" t="s">
        <v>177</v>
      </c>
      <c r="E1581" s="8">
        <v>2021</v>
      </c>
      <c r="F1581" s="9" t="s">
        <v>93</v>
      </c>
      <c r="G1581" s="9" t="s">
        <v>37</v>
      </c>
      <c r="H1581" s="10" t="s">
        <v>65</v>
      </c>
      <c r="I1581" s="7">
        <v>57</v>
      </c>
      <c r="J1581" s="11">
        <v>47</v>
      </c>
      <c r="K1581" s="11">
        <f t="shared" si="48"/>
        <v>2679</v>
      </c>
      <c r="L1581" s="11">
        <v>0</v>
      </c>
      <c r="M1581" s="11">
        <v>321.47999999999996</v>
      </c>
      <c r="N1581" s="11">
        <f t="shared" si="49"/>
        <v>3000.48</v>
      </c>
    </row>
    <row r="1582" spans="3:14" x14ac:dyDescent="0.3">
      <c r="C1582" s="6">
        <v>44239</v>
      </c>
      <c r="D1582" s="7" t="s">
        <v>177</v>
      </c>
      <c r="E1582" s="8">
        <v>2021</v>
      </c>
      <c r="F1582" s="9" t="s">
        <v>93</v>
      </c>
      <c r="G1582" s="9" t="s">
        <v>24</v>
      </c>
      <c r="H1582" s="10" t="s">
        <v>25</v>
      </c>
      <c r="I1582" s="7">
        <v>80</v>
      </c>
      <c r="J1582" s="11">
        <v>35</v>
      </c>
      <c r="K1582" s="11">
        <f t="shared" si="48"/>
        <v>2800</v>
      </c>
      <c r="L1582" s="11">
        <v>0</v>
      </c>
      <c r="M1582" s="11">
        <v>336</v>
      </c>
      <c r="N1582" s="11">
        <f t="shared" si="49"/>
        <v>3136</v>
      </c>
    </row>
    <row r="1583" spans="3:14" x14ac:dyDescent="0.3">
      <c r="C1583" s="6">
        <v>44240</v>
      </c>
      <c r="D1583" s="7" t="s">
        <v>177</v>
      </c>
      <c r="E1583" s="8">
        <v>2021</v>
      </c>
      <c r="F1583" s="9" t="s">
        <v>93</v>
      </c>
      <c r="G1583" s="9" t="s">
        <v>37</v>
      </c>
      <c r="H1583" s="10" t="s">
        <v>38</v>
      </c>
      <c r="I1583" s="7">
        <v>40</v>
      </c>
      <c r="J1583" s="11">
        <v>36</v>
      </c>
      <c r="K1583" s="11">
        <f t="shared" si="48"/>
        <v>1440</v>
      </c>
      <c r="L1583" s="11">
        <v>0</v>
      </c>
      <c r="M1583" s="11">
        <v>172.79999999999998</v>
      </c>
      <c r="N1583" s="11">
        <f t="shared" si="49"/>
        <v>1612.8</v>
      </c>
    </row>
    <row r="1584" spans="3:14" x14ac:dyDescent="0.3">
      <c r="C1584" s="6">
        <v>44240</v>
      </c>
      <c r="D1584" s="7" t="s">
        <v>177</v>
      </c>
      <c r="E1584" s="8">
        <v>2021</v>
      </c>
      <c r="F1584" s="9" t="s">
        <v>93</v>
      </c>
      <c r="G1584" s="9" t="s">
        <v>42</v>
      </c>
      <c r="H1584" s="10" t="s">
        <v>109</v>
      </c>
      <c r="I1584" s="7">
        <v>87</v>
      </c>
      <c r="J1584" s="11">
        <v>17</v>
      </c>
      <c r="K1584" s="11">
        <f t="shared" si="48"/>
        <v>1479</v>
      </c>
      <c r="L1584" s="11">
        <v>0</v>
      </c>
      <c r="M1584" s="11">
        <v>177.48</v>
      </c>
      <c r="N1584" s="11">
        <f t="shared" si="49"/>
        <v>1656.48</v>
      </c>
    </row>
    <row r="1585" spans="3:14" x14ac:dyDescent="0.3">
      <c r="C1585" s="6">
        <v>44241</v>
      </c>
      <c r="D1585" s="7" t="s">
        <v>177</v>
      </c>
      <c r="E1585" s="8">
        <v>2021</v>
      </c>
      <c r="F1585" s="9" t="s">
        <v>179</v>
      </c>
      <c r="G1585" s="9" t="s">
        <v>32</v>
      </c>
      <c r="H1585" s="10" t="s">
        <v>100</v>
      </c>
      <c r="I1585" s="7">
        <v>65</v>
      </c>
      <c r="J1585" s="11">
        <v>15</v>
      </c>
      <c r="K1585" s="11">
        <f t="shared" si="48"/>
        <v>975</v>
      </c>
      <c r="L1585" s="11">
        <v>0.10000000149011599</v>
      </c>
      <c r="M1585" s="11">
        <v>117</v>
      </c>
      <c r="N1585" s="11">
        <f t="shared" si="49"/>
        <v>1091.8999999985099</v>
      </c>
    </row>
    <row r="1586" spans="3:14" x14ac:dyDescent="0.3">
      <c r="C1586" s="6">
        <v>44241</v>
      </c>
      <c r="D1586" s="7" t="s">
        <v>177</v>
      </c>
      <c r="E1586" s="8">
        <v>2021</v>
      </c>
      <c r="F1586" s="9" t="s">
        <v>179</v>
      </c>
      <c r="G1586" s="9" t="s">
        <v>37</v>
      </c>
      <c r="H1586" s="10" t="s">
        <v>41</v>
      </c>
      <c r="I1586" s="7">
        <v>7</v>
      </c>
      <c r="J1586" s="11">
        <v>70</v>
      </c>
      <c r="K1586" s="11">
        <f t="shared" si="48"/>
        <v>490</v>
      </c>
      <c r="L1586" s="11">
        <v>0.10000000149011599</v>
      </c>
      <c r="M1586" s="11">
        <v>58.8</v>
      </c>
      <c r="N1586" s="11">
        <f t="shared" si="49"/>
        <v>548.69999999850984</v>
      </c>
    </row>
    <row r="1587" spans="3:14" x14ac:dyDescent="0.3">
      <c r="C1587" s="6">
        <v>44241</v>
      </c>
      <c r="D1587" s="7" t="s">
        <v>177</v>
      </c>
      <c r="E1587" s="8">
        <v>2021</v>
      </c>
      <c r="F1587" s="9" t="s">
        <v>179</v>
      </c>
      <c r="G1587" s="9" t="s">
        <v>14</v>
      </c>
      <c r="H1587" s="10" t="s">
        <v>36</v>
      </c>
      <c r="I1587" s="7">
        <v>10</v>
      </c>
      <c r="J1587" s="11">
        <v>19</v>
      </c>
      <c r="K1587" s="11">
        <f t="shared" si="48"/>
        <v>190</v>
      </c>
      <c r="L1587" s="11">
        <v>0.10000000149011599</v>
      </c>
      <c r="M1587" s="11">
        <v>22.8</v>
      </c>
      <c r="N1587" s="11">
        <f t="shared" si="49"/>
        <v>212.6999999985099</v>
      </c>
    </row>
    <row r="1588" spans="3:14" x14ac:dyDescent="0.3">
      <c r="C1588" s="6">
        <v>44241</v>
      </c>
      <c r="D1588" s="7" t="s">
        <v>177</v>
      </c>
      <c r="E1588" s="8">
        <v>2021</v>
      </c>
      <c r="F1588" s="9" t="s">
        <v>179</v>
      </c>
      <c r="G1588" s="9" t="s">
        <v>16</v>
      </c>
      <c r="H1588" s="10" t="s">
        <v>132</v>
      </c>
      <c r="I1588" s="7">
        <v>98</v>
      </c>
      <c r="J1588" s="11">
        <v>41</v>
      </c>
      <c r="K1588" s="11">
        <f t="shared" si="48"/>
        <v>4018</v>
      </c>
      <c r="L1588" s="11">
        <v>0.10000000149011599</v>
      </c>
      <c r="M1588" s="11">
        <v>482.15999999999997</v>
      </c>
      <c r="N1588" s="11">
        <f t="shared" si="49"/>
        <v>4500.0599999985097</v>
      </c>
    </row>
    <row r="1589" spans="3:14" x14ac:dyDescent="0.3">
      <c r="C1589" s="6">
        <v>44241</v>
      </c>
      <c r="D1589" s="7" t="s">
        <v>177</v>
      </c>
      <c r="E1589" s="8">
        <v>2021</v>
      </c>
      <c r="F1589" s="9" t="s">
        <v>105</v>
      </c>
      <c r="G1589" s="9" t="s">
        <v>32</v>
      </c>
      <c r="H1589" s="10" t="s">
        <v>100</v>
      </c>
      <c r="I1589" s="7">
        <v>86</v>
      </c>
      <c r="J1589" s="11">
        <v>97</v>
      </c>
      <c r="K1589" s="11">
        <f t="shared" si="48"/>
        <v>8342</v>
      </c>
      <c r="L1589" s="11">
        <v>0</v>
      </c>
      <c r="M1589" s="11">
        <v>1001.04</v>
      </c>
      <c r="N1589" s="11">
        <f t="shared" si="49"/>
        <v>9343.0400000000009</v>
      </c>
    </row>
    <row r="1590" spans="3:14" x14ac:dyDescent="0.3">
      <c r="C1590" s="6">
        <v>44241</v>
      </c>
      <c r="D1590" s="7" t="s">
        <v>177</v>
      </c>
      <c r="E1590" s="8">
        <v>2021</v>
      </c>
      <c r="F1590" s="9" t="s">
        <v>105</v>
      </c>
      <c r="G1590" s="9" t="s">
        <v>26</v>
      </c>
      <c r="H1590" s="10" t="s">
        <v>27</v>
      </c>
      <c r="I1590" s="7">
        <v>10</v>
      </c>
      <c r="J1590" s="11">
        <v>26</v>
      </c>
      <c r="K1590" s="11">
        <f t="shared" si="48"/>
        <v>260</v>
      </c>
      <c r="L1590" s="11">
        <v>0</v>
      </c>
      <c r="M1590" s="11">
        <v>31.2</v>
      </c>
      <c r="N1590" s="11">
        <f t="shared" si="49"/>
        <v>291.2</v>
      </c>
    </row>
    <row r="1591" spans="3:14" x14ac:dyDescent="0.3">
      <c r="C1591" s="6">
        <v>44241</v>
      </c>
      <c r="D1591" s="7" t="s">
        <v>177</v>
      </c>
      <c r="E1591" s="8">
        <v>2021</v>
      </c>
      <c r="F1591" s="9" t="s">
        <v>105</v>
      </c>
      <c r="G1591" s="9" t="s">
        <v>14</v>
      </c>
      <c r="H1591" s="10" t="s">
        <v>87</v>
      </c>
      <c r="I1591" s="7">
        <v>66</v>
      </c>
      <c r="J1591" s="11">
        <v>69</v>
      </c>
      <c r="K1591" s="11">
        <f t="shared" si="48"/>
        <v>4554</v>
      </c>
      <c r="L1591" s="11">
        <v>0</v>
      </c>
      <c r="M1591" s="11">
        <v>546.48</v>
      </c>
      <c r="N1591" s="11">
        <f t="shared" si="49"/>
        <v>5100.4799999999996</v>
      </c>
    </row>
    <row r="1592" spans="3:14" x14ac:dyDescent="0.3">
      <c r="C1592" s="6">
        <v>44244</v>
      </c>
      <c r="D1592" s="7" t="s">
        <v>177</v>
      </c>
      <c r="E1592" s="8">
        <v>2021</v>
      </c>
      <c r="F1592" s="9" t="s">
        <v>180</v>
      </c>
      <c r="G1592" s="9" t="s">
        <v>32</v>
      </c>
      <c r="H1592" s="10" t="s">
        <v>140</v>
      </c>
      <c r="I1592" s="7">
        <v>3</v>
      </c>
      <c r="J1592" s="11">
        <v>17</v>
      </c>
      <c r="K1592" s="11">
        <f t="shared" si="48"/>
        <v>51</v>
      </c>
      <c r="L1592" s="11">
        <v>0</v>
      </c>
      <c r="M1592" s="11">
        <v>6.12</v>
      </c>
      <c r="N1592" s="11">
        <f t="shared" si="49"/>
        <v>57.12</v>
      </c>
    </row>
    <row r="1593" spans="3:14" x14ac:dyDescent="0.3">
      <c r="C1593" s="6">
        <v>44244</v>
      </c>
      <c r="D1593" s="7" t="s">
        <v>177</v>
      </c>
      <c r="E1593" s="8">
        <v>2021</v>
      </c>
      <c r="F1593" s="9" t="s">
        <v>180</v>
      </c>
      <c r="G1593" s="9" t="s">
        <v>24</v>
      </c>
      <c r="H1593" s="10" t="s">
        <v>76</v>
      </c>
      <c r="I1593" s="7">
        <v>32</v>
      </c>
      <c r="J1593" s="11">
        <v>51</v>
      </c>
      <c r="K1593" s="11">
        <f t="shared" si="48"/>
        <v>1632</v>
      </c>
      <c r="L1593" s="11">
        <v>0</v>
      </c>
      <c r="M1593" s="11">
        <v>195.84</v>
      </c>
      <c r="N1593" s="11">
        <f t="shared" si="49"/>
        <v>1827.84</v>
      </c>
    </row>
    <row r="1594" spans="3:14" x14ac:dyDescent="0.3">
      <c r="C1594" s="6">
        <v>44245</v>
      </c>
      <c r="D1594" s="7" t="s">
        <v>177</v>
      </c>
      <c r="E1594" s="8">
        <v>2021</v>
      </c>
      <c r="F1594" s="9" t="s">
        <v>71</v>
      </c>
      <c r="G1594" s="9" t="s">
        <v>24</v>
      </c>
      <c r="H1594" s="10" t="s">
        <v>85</v>
      </c>
      <c r="I1594" s="7">
        <v>42</v>
      </c>
      <c r="J1594" s="11">
        <v>69</v>
      </c>
      <c r="K1594" s="11">
        <f t="shared" si="48"/>
        <v>2898</v>
      </c>
      <c r="L1594" s="11">
        <v>0</v>
      </c>
      <c r="M1594" s="11">
        <v>347.76</v>
      </c>
      <c r="N1594" s="11">
        <f t="shared" si="49"/>
        <v>3245.76</v>
      </c>
    </row>
    <row r="1595" spans="3:14" x14ac:dyDescent="0.3">
      <c r="C1595" s="6">
        <v>44245</v>
      </c>
      <c r="D1595" s="7" t="s">
        <v>177</v>
      </c>
      <c r="E1595" s="8">
        <v>2021</v>
      </c>
      <c r="F1595" s="9" t="s">
        <v>71</v>
      </c>
      <c r="G1595" s="9" t="s">
        <v>16</v>
      </c>
      <c r="H1595" s="10" t="s">
        <v>132</v>
      </c>
      <c r="I1595" s="7">
        <v>67</v>
      </c>
      <c r="J1595" s="11">
        <v>51</v>
      </c>
      <c r="K1595" s="11">
        <f t="shared" si="48"/>
        <v>3417</v>
      </c>
      <c r="L1595" s="11">
        <v>0</v>
      </c>
      <c r="M1595" s="11">
        <v>410.03999999999996</v>
      </c>
      <c r="N1595" s="11">
        <f t="shared" si="49"/>
        <v>3827.04</v>
      </c>
    </row>
    <row r="1596" spans="3:14" x14ac:dyDescent="0.3">
      <c r="C1596" s="6">
        <v>44245</v>
      </c>
      <c r="D1596" s="7" t="s">
        <v>177</v>
      </c>
      <c r="E1596" s="8">
        <v>2021</v>
      </c>
      <c r="F1596" s="9" t="s">
        <v>71</v>
      </c>
      <c r="G1596" s="9" t="s">
        <v>32</v>
      </c>
      <c r="H1596" s="10" t="s">
        <v>62</v>
      </c>
      <c r="I1596" s="7">
        <v>73</v>
      </c>
      <c r="J1596" s="11">
        <v>57</v>
      </c>
      <c r="K1596" s="11">
        <f t="shared" si="48"/>
        <v>4161</v>
      </c>
      <c r="L1596" s="11">
        <v>0</v>
      </c>
      <c r="M1596" s="11">
        <v>499.32</v>
      </c>
      <c r="N1596" s="11">
        <f t="shared" si="49"/>
        <v>4660.32</v>
      </c>
    </row>
    <row r="1597" spans="3:14" x14ac:dyDescent="0.3">
      <c r="C1597" s="6">
        <v>44246</v>
      </c>
      <c r="D1597" s="7" t="s">
        <v>177</v>
      </c>
      <c r="E1597" s="8">
        <v>2021</v>
      </c>
      <c r="F1597" s="9" t="s">
        <v>28</v>
      </c>
      <c r="G1597" s="9" t="s">
        <v>24</v>
      </c>
      <c r="H1597" s="10" t="s">
        <v>85</v>
      </c>
      <c r="I1597" s="7">
        <v>85</v>
      </c>
      <c r="J1597" s="11">
        <v>32</v>
      </c>
      <c r="K1597" s="11">
        <f t="shared" si="48"/>
        <v>2720</v>
      </c>
      <c r="L1597" s="11">
        <v>0.20000000298023199</v>
      </c>
      <c r="M1597" s="11">
        <v>326.39999999999998</v>
      </c>
      <c r="N1597" s="11">
        <f t="shared" si="49"/>
        <v>3046.1999999970199</v>
      </c>
    </row>
    <row r="1598" spans="3:14" x14ac:dyDescent="0.3">
      <c r="C1598" s="6">
        <v>44246</v>
      </c>
      <c r="D1598" s="7" t="s">
        <v>177</v>
      </c>
      <c r="E1598" s="8">
        <v>2021</v>
      </c>
      <c r="F1598" s="9" t="s">
        <v>28</v>
      </c>
      <c r="G1598" s="9" t="s">
        <v>42</v>
      </c>
      <c r="H1598" s="10" t="s">
        <v>109</v>
      </c>
      <c r="I1598" s="7">
        <v>15</v>
      </c>
      <c r="J1598" s="11">
        <v>70</v>
      </c>
      <c r="K1598" s="11">
        <f t="shared" si="48"/>
        <v>1050</v>
      </c>
      <c r="L1598" s="11">
        <v>0.20000000298023199</v>
      </c>
      <c r="M1598" s="11">
        <v>126</v>
      </c>
      <c r="N1598" s="11">
        <f t="shared" si="49"/>
        <v>1175.7999999970198</v>
      </c>
    </row>
    <row r="1599" spans="3:14" x14ac:dyDescent="0.3">
      <c r="C1599" s="6">
        <v>44246</v>
      </c>
      <c r="D1599" s="7" t="s">
        <v>177</v>
      </c>
      <c r="E1599" s="8">
        <v>2021</v>
      </c>
      <c r="F1599" s="9" t="s">
        <v>84</v>
      </c>
      <c r="G1599" s="9" t="s">
        <v>42</v>
      </c>
      <c r="H1599" s="10" t="s">
        <v>43</v>
      </c>
      <c r="I1599" s="7">
        <v>77</v>
      </c>
      <c r="J1599" s="11">
        <v>29</v>
      </c>
      <c r="K1599" s="11">
        <f t="shared" si="48"/>
        <v>2233</v>
      </c>
      <c r="L1599" s="11">
        <v>0.10000000149011599</v>
      </c>
      <c r="M1599" s="11">
        <v>267.95999999999998</v>
      </c>
      <c r="N1599" s="11">
        <f t="shared" si="49"/>
        <v>2500.8599999985099</v>
      </c>
    </row>
    <row r="1600" spans="3:14" x14ac:dyDescent="0.3">
      <c r="C1600" s="6">
        <v>44246</v>
      </c>
      <c r="D1600" s="7" t="s">
        <v>177</v>
      </c>
      <c r="E1600" s="8">
        <v>2021</v>
      </c>
      <c r="F1600" s="9" t="s">
        <v>84</v>
      </c>
      <c r="G1600" s="9" t="s">
        <v>16</v>
      </c>
      <c r="H1600" s="10" t="s">
        <v>113</v>
      </c>
      <c r="I1600" s="7">
        <v>95</v>
      </c>
      <c r="J1600" s="11">
        <v>63</v>
      </c>
      <c r="K1600" s="11">
        <f t="shared" si="48"/>
        <v>5985</v>
      </c>
      <c r="L1600" s="11">
        <v>0.10000000149011599</v>
      </c>
      <c r="M1600" s="11">
        <v>718.19999999999993</v>
      </c>
      <c r="N1600" s="11">
        <f t="shared" si="49"/>
        <v>6703.0999999985097</v>
      </c>
    </row>
    <row r="1601" spans="3:14" x14ac:dyDescent="0.3">
      <c r="C1601" s="6">
        <v>44246</v>
      </c>
      <c r="D1601" s="7" t="s">
        <v>177</v>
      </c>
      <c r="E1601" s="8">
        <v>2021</v>
      </c>
      <c r="F1601" s="9" t="s">
        <v>84</v>
      </c>
      <c r="G1601" s="9" t="s">
        <v>26</v>
      </c>
      <c r="H1601" s="10" t="s">
        <v>27</v>
      </c>
      <c r="I1601" s="7">
        <v>46</v>
      </c>
      <c r="J1601" s="11">
        <v>32</v>
      </c>
      <c r="K1601" s="11">
        <f t="shared" si="48"/>
        <v>1472</v>
      </c>
      <c r="L1601" s="11">
        <v>0.10000000149011599</v>
      </c>
      <c r="M1601" s="11">
        <v>176.64</v>
      </c>
      <c r="N1601" s="11">
        <f t="shared" si="49"/>
        <v>1648.5399999985098</v>
      </c>
    </row>
    <row r="1602" spans="3:14" x14ac:dyDescent="0.3">
      <c r="C1602" s="6">
        <v>44246</v>
      </c>
      <c r="D1602" s="7" t="s">
        <v>177</v>
      </c>
      <c r="E1602" s="8">
        <v>2021</v>
      </c>
      <c r="F1602" s="9" t="s">
        <v>84</v>
      </c>
      <c r="G1602" s="9" t="s">
        <v>26</v>
      </c>
      <c r="H1602" s="10" t="s">
        <v>52</v>
      </c>
      <c r="I1602" s="7">
        <v>88</v>
      </c>
      <c r="J1602" s="11">
        <v>27</v>
      </c>
      <c r="K1602" s="11">
        <f t="shared" si="48"/>
        <v>2376</v>
      </c>
      <c r="L1602" s="11">
        <v>0.10000000149011599</v>
      </c>
      <c r="M1602" s="11">
        <v>285.12</v>
      </c>
      <c r="N1602" s="11">
        <f t="shared" si="49"/>
        <v>2661.0199999985098</v>
      </c>
    </row>
    <row r="1603" spans="3:14" x14ac:dyDescent="0.3">
      <c r="C1603" s="6">
        <v>44247</v>
      </c>
      <c r="D1603" s="7" t="s">
        <v>177</v>
      </c>
      <c r="E1603" s="8">
        <v>2021</v>
      </c>
      <c r="F1603" s="9" t="s">
        <v>135</v>
      </c>
      <c r="G1603" s="9" t="s">
        <v>20</v>
      </c>
      <c r="H1603" s="10" t="s">
        <v>92</v>
      </c>
      <c r="I1603" s="7">
        <v>58</v>
      </c>
      <c r="J1603" s="11">
        <v>79</v>
      </c>
      <c r="K1603" s="11">
        <f t="shared" ref="K1603:K1666" si="50">J1603*I1603</f>
        <v>4582</v>
      </c>
      <c r="L1603" s="11">
        <v>0</v>
      </c>
      <c r="M1603" s="11">
        <v>549.84</v>
      </c>
      <c r="N1603" s="11">
        <f t="shared" ref="N1603:N1666" si="51">K1603-L1603+M1603</f>
        <v>5131.84</v>
      </c>
    </row>
    <row r="1604" spans="3:14" x14ac:dyDescent="0.3">
      <c r="C1604" s="6">
        <v>44247</v>
      </c>
      <c r="D1604" s="7" t="s">
        <v>177</v>
      </c>
      <c r="E1604" s="8">
        <v>2021</v>
      </c>
      <c r="F1604" s="9" t="s">
        <v>135</v>
      </c>
      <c r="G1604" s="9" t="s">
        <v>26</v>
      </c>
      <c r="H1604" s="10" t="s">
        <v>94</v>
      </c>
      <c r="I1604" s="7">
        <v>97</v>
      </c>
      <c r="J1604" s="11">
        <v>98</v>
      </c>
      <c r="K1604" s="11">
        <f t="shared" si="50"/>
        <v>9506</v>
      </c>
      <c r="L1604" s="11">
        <v>5.0000000745058101E-2</v>
      </c>
      <c r="M1604" s="11">
        <v>1140.72</v>
      </c>
      <c r="N1604" s="11">
        <f t="shared" si="51"/>
        <v>10646.669999999254</v>
      </c>
    </row>
    <row r="1605" spans="3:14" x14ac:dyDescent="0.3">
      <c r="C1605" s="6">
        <v>44248</v>
      </c>
      <c r="D1605" s="7" t="s">
        <v>177</v>
      </c>
      <c r="E1605" s="8">
        <v>2021</v>
      </c>
      <c r="F1605" s="9" t="s">
        <v>153</v>
      </c>
      <c r="G1605" s="9" t="s">
        <v>32</v>
      </c>
      <c r="H1605" s="10" t="s">
        <v>168</v>
      </c>
      <c r="I1605" s="7">
        <v>12</v>
      </c>
      <c r="J1605" s="11">
        <v>40</v>
      </c>
      <c r="K1605" s="11">
        <f t="shared" si="50"/>
        <v>480</v>
      </c>
      <c r="L1605" s="11">
        <v>0.10000000149011599</v>
      </c>
      <c r="M1605" s="11">
        <v>57.599999999999994</v>
      </c>
      <c r="N1605" s="11">
        <f t="shared" si="51"/>
        <v>537.49999999850991</v>
      </c>
    </row>
    <row r="1606" spans="3:14" x14ac:dyDescent="0.3">
      <c r="C1606" s="6">
        <v>44248</v>
      </c>
      <c r="D1606" s="7" t="s">
        <v>177</v>
      </c>
      <c r="E1606" s="8">
        <v>2021</v>
      </c>
      <c r="F1606" s="9" t="s">
        <v>153</v>
      </c>
      <c r="G1606" s="9" t="s">
        <v>37</v>
      </c>
      <c r="H1606" s="10" t="s">
        <v>63</v>
      </c>
      <c r="I1606" s="7">
        <v>17</v>
      </c>
      <c r="J1606" s="11">
        <v>42</v>
      </c>
      <c r="K1606" s="11">
        <f t="shared" si="50"/>
        <v>714</v>
      </c>
      <c r="L1606" s="11">
        <v>0.10000000149011599</v>
      </c>
      <c r="M1606" s="11">
        <v>85.679999999999993</v>
      </c>
      <c r="N1606" s="11">
        <f t="shared" si="51"/>
        <v>799.57999999850983</v>
      </c>
    </row>
    <row r="1607" spans="3:14" x14ac:dyDescent="0.3">
      <c r="C1607" s="6">
        <v>44248</v>
      </c>
      <c r="D1607" s="7" t="s">
        <v>177</v>
      </c>
      <c r="E1607" s="8">
        <v>2021</v>
      </c>
      <c r="F1607" s="9" t="s">
        <v>150</v>
      </c>
      <c r="G1607" s="9" t="s">
        <v>32</v>
      </c>
      <c r="H1607" s="10" t="s">
        <v>47</v>
      </c>
      <c r="I1607" s="7">
        <v>30</v>
      </c>
      <c r="J1607" s="11">
        <v>44</v>
      </c>
      <c r="K1607" s="11">
        <f t="shared" si="50"/>
        <v>1320</v>
      </c>
      <c r="L1607" s="11">
        <v>0.20000000298023199</v>
      </c>
      <c r="M1607" s="11">
        <v>158.4</v>
      </c>
      <c r="N1607" s="11">
        <f t="shared" si="51"/>
        <v>1478.1999999970199</v>
      </c>
    </row>
    <row r="1608" spans="3:14" x14ac:dyDescent="0.3">
      <c r="C1608" s="6">
        <v>44248</v>
      </c>
      <c r="D1608" s="7" t="s">
        <v>177</v>
      </c>
      <c r="E1608" s="8">
        <v>2021</v>
      </c>
      <c r="F1608" s="9" t="s">
        <v>150</v>
      </c>
      <c r="G1608" s="9" t="s">
        <v>14</v>
      </c>
      <c r="H1608" s="10" t="s">
        <v>34</v>
      </c>
      <c r="I1608" s="7">
        <v>80</v>
      </c>
      <c r="J1608" s="11">
        <v>43</v>
      </c>
      <c r="K1608" s="11">
        <f t="shared" si="50"/>
        <v>3440</v>
      </c>
      <c r="L1608" s="11">
        <v>0.20000000298023199</v>
      </c>
      <c r="M1608" s="11">
        <v>412.8</v>
      </c>
      <c r="N1608" s="11">
        <f t="shared" si="51"/>
        <v>3852.5999999970199</v>
      </c>
    </row>
    <row r="1609" spans="3:14" x14ac:dyDescent="0.3">
      <c r="C1609" s="6">
        <v>44248</v>
      </c>
      <c r="D1609" s="7" t="s">
        <v>177</v>
      </c>
      <c r="E1609" s="8">
        <v>2021</v>
      </c>
      <c r="F1609" s="9" t="s">
        <v>150</v>
      </c>
      <c r="G1609" s="9" t="s">
        <v>24</v>
      </c>
      <c r="H1609" s="10" t="s">
        <v>107</v>
      </c>
      <c r="I1609" s="7">
        <v>6</v>
      </c>
      <c r="J1609" s="11">
        <v>41</v>
      </c>
      <c r="K1609" s="11">
        <f t="shared" si="50"/>
        <v>246</v>
      </c>
      <c r="L1609" s="11">
        <v>0.20000000298023199</v>
      </c>
      <c r="M1609" s="11">
        <v>29.52</v>
      </c>
      <c r="N1609" s="11">
        <f t="shared" si="51"/>
        <v>275.31999999701975</v>
      </c>
    </row>
    <row r="1610" spans="3:14" x14ac:dyDescent="0.3">
      <c r="C1610" s="6">
        <v>44251</v>
      </c>
      <c r="D1610" s="7" t="s">
        <v>177</v>
      </c>
      <c r="E1610" s="8">
        <v>2021</v>
      </c>
      <c r="F1610" s="9" t="s">
        <v>73</v>
      </c>
      <c r="G1610" s="9" t="s">
        <v>37</v>
      </c>
      <c r="H1610" s="10" t="s">
        <v>38</v>
      </c>
      <c r="I1610" s="7">
        <v>78</v>
      </c>
      <c r="J1610" s="11">
        <v>24</v>
      </c>
      <c r="K1610" s="11">
        <f t="shared" si="50"/>
        <v>1872</v>
      </c>
      <c r="L1610" s="11">
        <v>0</v>
      </c>
      <c r="M1610" s="11">
        <v>224.64</v>
      </c>
      <c r="N1610" s="11">
        <f t="shared" si="51"/>
        <v>2096.64</v>
      </c>
    </row>
    <row r="1611" spans="3:14" x14ac:dyDescent="0.3">
      <c r="C1611" s="6">
        <v>44251</v>
      </c>
      <c r="D1611" s="7" t="s">
        <v>177</v>
      </c>
      <c r="E1611" s="8">
        <v>2021</v>
      </c>
      <c r="F1611" s="9" t="s">
        <v>73</v>
      </c>
      <c r="G1611" s="9" t="s">
        <v>42</v>
      </c>
      <c r="H1611" s="10" t="s">
        <v>51</v>
      </c>
      <c r="I1611" s="7">
        <v>76</v>
      </c>
      <c r="J1611" s="11">
        <v>21</v>
      </c>
      <c r="K1611" s="11">
        <f t="shared" si="50"/>
        <v>1596</v>
      </c>
      <c r="L1611" s="11">
        <v>0</v>
      </c>
      <c r="M1611" s="11">
        <v>191.51999999999998</v>
      </c>
      <c r="N1611" s="11">
        <f t="shared" si="51"/>
        <v>1787.52</v>
      </c>
    </row>
    <row r="1612" spans="3:14" x14ac:dyDescent="0.3">
      <c r="C1612" s="6">
        <v>44251</v>
      </c>
      <c r="D1612" s="7" t="s">
        <v>177</v>
      </c>
      <c r="E1612" s="8">
        <v>2021</v>
      </c>
      <c r="F1612" s="9" t="s">
        <v>73</v>
      </c>
      <c r="G1612" s="9" t="s">
        <v>26</v>
      </c>
      <c r="H1612" s="10" t="s">
        <v>173</v>
      </c>
      <c r="I1612" s="7">
        <v>99</v>
      </c>
      <c r="J1612" s="11">
        <v>60</v>
      </c>
      <c r="K1612" s="11">
        <f t="shared" si="50"/>
        <v>5940</v>
      </c>
      <c r="L1612" s="11">
        <v>0</v>
      </c>
      <c r="M1612" s="11">
        <v>712.8</v>
      </c>
      <c r="N1612" s="11">
        <f t="shared" si="51"/>
        <v>6652.8</v>
      </c>
    </row>
    <row r="1613" spans="3:14" x14ac:dyDescent="0.3">
      <c r="C1613" s="6">
        <v>44251</v>
      </c>
      <c r="D1613" s="7" t="s">
        <v>177</v>
      </c>
      <c r="E1613" s="8">
        <v>2021</v>
      </c>
      <c r="F1613" s="9" t="s">
        <v>73</v>
      </c>
      <c r="G1613" s="9" t="s">
        <v>14</v>
      </c>
      <c r="H1613" s="10" t="s">
        <v>87</v>
      </c>
      <c r="I1613" s="7">
        <v>41</v>
      </c>
      <c r="J1613" s="11">
        <v>92</v>
      </c>
      <c r="K1613" s="11">
        <f t="shared" si="50"/>
        <v>3772</v>
      </c>
      <c r="L1613" s="11">
        <v>0</v>
      </c>
      <c r="M1613" s="11">
        <v>452.64</v>
      </c>
      <c r="N1613" s="11">
        <f t="shared" si="51"/>
        <v>4224.6400000000003</v>
      </c>
    </row>
    <row r="1614" spans="3:14" x14ac:dyDescent="0.3">
      <c r="C1614" s="6">
        <v>44252</v>
      </c>
      <c r="D1614" s="7" t="s">
        <v>177</v>
      </c>
      <c r="E1614" s="8">
        <v>2021</v>
      </c>
      <c r="F1614" s="9" t="s">
        <v>133</v>
      </c>
      <c r="G1614" s="9" t="s">
        <v>32</v>
      </c>
      <c r="H1614" s="10" t="s">
        <v>59</v>
      </c>
      <c r="I1614" s="7">
        <v>34</v>
      </c>
      <c r="J1614" s="11">
        <v>87</v>
      </c>
      <c r="K1614" s="11">
        <f t="shared" si="50"/>
        <v>2958</v>
      </c>
      <c r="L1614" s="11">
        <v>0.15000000596046401</v>
      </c>
      <c r="M1614" s="11">
        <v>354.96</v>
      </c>
      <c r="N1614" s="11">
        <f t="shared" si="51"/>
        <v>3312.8099999940396</v>
      </c>
    </row>
    <row r="1615" spans="3:14" x14ac:dyDescent="0.3">
      <c r="C1615" s="6">
        <v>44252</v>
      </c>
      <c r="D1615" s="7" t="s">
        <v>177</v>
      </c>
      <c r="E1615" s="8">
        <v>2021</v>
      </c>
      <c r="F1615" s="9" t="s">
        <v>133</v>
      </c>
      <c r="G1615" s="9" t="s">
        <v>32</v>
      </c>
      <c r="H1615" s="10" t="s">
        <v>39</v>
      </c>
      <c r="I1615" s="7">
        <v>99</v>
      </c>
      <c r="J1615" s="11">
        <v>58</v>
      </c>
      <c r="K1615" s="11">
        <f t="shared" si="50"/>
        <v>5742</v>
      </c>
      <c r="L1615" s="11">
        <v>0.15000000596046401</v>
      </c>
      <c r="M1615" s="11">
        <v>689.04</v>
      </c>
      <c r="N1615" s="11">
        <f t="shared" si="51"/>
        <v>6430.8899999940395</v>
      </c>
    </row>
    <row r="1616" spans="3:14" x14ac:dyDescent="0.3">
      <c r="C1616" s="6">
        <v>44252</v>
      </c>
      <c r="D1616" s="7" t="s">
        <v>177</v>
      </c>
      <c r="E1616" s="8">
        <v>2021</v>
      </c>
      <c r="F1616" s="9" t="s">
        <v>133</v>
      </c>
      <c r="G1616" s="9" t="s">
        <v>14</v>
      </c>
      <c r="H1616" s="10" t="s">
        <v>49</v>
      </c>
      <c r="I1616" s="7">
        <v>77</v>
      </c>
      <c r="J1616" s="11">
        <v>65</v>
      </c>
      <c r="K1616" s="11">
        <f t="shared" si="50"/>
        <v>5005</v>
      </c>
      <c r="L1616" s="11">
        <v>0</v>
      </c>
      <c r="M1616" s="11">
        <v>600.6</v>
      </c>
      <c r="N1616" s="11">
        <f t="shared" si="51"/>
        <v>5605.6</v>
      </c>
    </row>
    <row r="1617" spans="3:14" x14ac:dyDescent="0.3">
      <c r="C1617" s="6">
        <v>44253</v>
      </c>
      <c r="D1617" s="7" t="s">
        <v>177</v>
      </c>
      <c r="E1617" s="8">
        <v>2021</v>
      </c>
      <c r="F1617" s="9" t="s">
        <v>31</v>
      </c>
      <c r="G1617" s="9" t="s">
        <v>32</v>
      </c>
      <c r="H1617" s="10" t="s">
        <v>140</v>
      </c>
      <c r="I1617" s="7">
        <v>79</v>
      </c>
      <c r="J1617" s="11">
        <v>51</v>
      </c>
      <c r="K1617" s="11">
        <f t="shared" si="50"/>
        <v>4029</v>
      </c>
      <c r="L1617" s="11">
        <v>0</v>
      </c>
      <c r="M1617" s="11">
        <v>483.47999999999996</v>
      </c>
      <c r="N1617" s="11">
        <f t="shared" si="51"/>
        <v>4512.4799999999996</v>
      </c>
    </row>
    <row r="1618" spans="3:14" x14ac:dyDescent="0.3">
      <c r="C1618" s="6">
        <v>44253</v>
      </c>
      <c r="D1618" s="7" t="s">
        <v>177</v>
      </c>
      <c r="E1618" s="8">
        <v>2021</v>
      </c>
      <c r="F1618" s="9" t="s">
        <v>31</v>
      </c>
      <c r="G1618" s="9" t="s">
        <v>20</v>
      </c>
      <c r="H1618" s="10" t="s">
        <v>92</v>
      </c>
      <c r="I1618" s="7">
        <v>78</v>
      </c>
      <c r="J1618" s="11">
        <v>58</v>
      </c>
      <c r="K1618" s="11">
        <f t="shared" si="50"/>
        <v>4524</v>
      </c>
      <c r="L1618" s="11">
        <v>0</v>
      </c>
      <c r="M1618" s="11">
        <v>542.88</v>
      </c>
      <c r="N1618" s="11">
        <f t="shared" si="51"/>
        <v>5066.88</v>
      </c>
    </row>
    <row r="1619" spans="3:14" x14ac:dyDescent="0.3">
      <c r="C1619" s="6">
        <v>44253</v>
      </c>
      <c r="D1619" s="7" t="s">
        <v>177</v>
      </c>
      <c r="E1619" s="8">
        <v>2021</v>
      </c>
      <c r="F1619" s="9" t="s">
        <v>31</v>
      </c>
      <c r="G1619" s="9" t="s">
        <v>37</v>
      </c>
      <c r="H1619" s="10" t="s">
        <v>82</v>
      </c>
      <c r="I1619" s="7">
        <v>56</v>
      </c>
      <c r="J1619" s="11">
        <v>81</v>
      </c>
      <c r="K1619" s="11">
        <f t="shared" si="50"/>
        <v>4536</v>
      </c>
      <c r="L1619" s="11">
        <v>0</v>
      </c>
      <c r="M1619" s="11">
        <v>544.31999999999994</v>
      </c>
      <c r="N1619" s="11">
        <f t="shared" si="51"/>
        <v>5080.32</v>
      </c>
    </row>
    <row r="1620" spans="3:14" x14ac:dyDescent="0.3">
      <c r="C1620" s="6">
        <v>44253</v>
      </c>
      <c r="D1620" s="7" t="s">
        <v>177</v>
      </c>
      <c r="E1620" s="8">
        <v>2021</v>
      </c>
      <c r="F1620" s="9" t="s">
        <v>31</v>
      </c>
      <c r="G1620" s="9" t="s">
        <v>16</v>
      </c>
      <c r="H1620" s="10" t="s">
        <v>68</v>
      </c>
      <c r="I1620" s="7">
        <v>30</v>
      </c>
      <c r="J1620" s="11">
        <v>71</v>
      </c>
      <c r="K1620" s="11">
        <f t="shared" si="50"/>
        <v>2130</v>
      </c>
      <c r="L1620" s="11">
        <v>0</v>
      </c>
      <c r="M1620" s="11">
        <v>255.6</v>
      </c>
      <c r="N1620" s="11">
        <f t="shared" si="51"/>
        <v>2385.6</v>
      </c>
    </row>
    <row r="1621" spans="3:14" x14ac:dyDescent="0.3">
      <c r="C1621" s="6">
        <v>44253</v>
      </c>
      <c r="D1621" s="7" t="s">
        <v>177</v>
      </c>
      <c r="E1621" s="8">
        <v>2021</v>
      </c>
      <c r="F1621" s="9" t="s">
        <v>31</v>
      </c>
      <c r="G1621" s="9" t="s">
        <v>14</v>
      </c>
      <c r="H1621" s="10" t="s">
        <v>87</v>
      </c>
      <c r="I1621" s="7">
        <v>89</v>
      </c>
      <c r="J1621" s="11">
        <v>11</v>
      </c>
      <c r="K1621" s="11">
        <f t="shared" si="50"/>
        <v>979</v>
      </c>
      <c r="L1621" s="11">
        <v>0</v>
      </c>
      <c r="M1621" s="11">
        <v>117.47999999999999</v>
      </c>
      <c r="N1621" s="11">
        <f t="shared" si="51"/>
        <v>1096.48</v>
      </c>
    </row>
    <row r="1622" spans="3:14" x14ac:dyDescent="0.3">
      <c r="C1622" s="6">
        <v>44254</v>
      </c>
      <c r="D1622" s="7" t="s">
        <v>177</v>
      </c>
      <c r="E1622" s="8">
        <v>2021</v>
      </c>
      <c r="F1622" s="9" t="s">
        <v>28</v>
      </c>
      <c r="G1622" s="9" t="s">
        <v>20</v>
      </c>
      <c r="H1622" s="10" t="s">
        <v>67</v>
      </c>
      <c r="I1622" s="7">
        <v>50</v>
      </c>
      <c r="J1622" s="11">
        <v>26</v>
      </c>
      <c r="K1622" s="11">
        <f t="shared" si="50"/>
        <v>1300</v>
      </c>
      <c r="L1622" s="11">
        <v>5.0000000745058101E-2</v>
      </c>
      <c r="M1622" s="11">
        <v>156</v>
      </c>
      <c r="N1622" s="11">
        <f t="shared" si="51"/>
        <v>1455.9499999992549</v>
      </c>
    </row>
    <row r="1623" spans="3:14" x14ac:dyDescent="0.3">
      <c r="C1623" s="6">
        <v>44254</v>
      </c>
      <c r="D1623" s="7" t="s">
        <v>177</v>
      </c>
      <c r="E1623" s="8">
        <v>2021</v>
      </c>
      <c r="F1623" s="9" t="s">
        <v>28</v>
      </c>
      <c r="G1623" s="9" t="s">
        <v>24</v>
      </c>
      <c r="H1623" s="10" t="s">
        <v>107</v>
      </c>
      <c r="I1623" s="7">
        <v>68</v>
      </c>
      <c r="J1623" s="11">
        <v>17</v>
      </c>
      <c r="K1623" s="11">
        <f t="shared" si="50"/>
        <v>1156</v>
      </c>
      <c r="L1623" s="11">
        <v>5.0000000745058101E-2</v>
      </c>
      <c r="M1623" s="11">
        <v>138.72</v>
      </c>
      <c r="N1623" s="11">
        <f t="shared" si="51"/>
        <v>1294.669999999255</v>
      </c>
    </row>
    <row r="1624" spans="3:14" x14ac:dyDescent="0.3">
      <c r="C1624" s="6">
        <v>44254</v>
      </c>
      <c r="D1624" s="7" t="s">
        <v>177</v>
      </c>
      <c r="E1624" s="8">
        <v>2021</v>
      </c>
      <c r="F1624" s="9" t="s">
        <v>28</v>
      </c>
      <c r="G1624" s="9" t="s">
        <v>14</v>
      </c>
      <c r="H1624" s="10" t="s">
        <v>18</v>
      </c>
      <c r="I1624" s="7">
        <v>25</v>
      </c>
      <c r="J1624" s="11">
        <v>57</v>
      </c>
      <c r="K1624" s="11">
        <f t="shared" si="50"/>
        <v>1425</v>
      </c>
      <c r="L1624" s="11">
        <v>0</v>
      </c>
      <c r="M1624" s="11">
        <v>171</v>
      </c>
      <c r="N1624" s="11">
        <f t="shared" si="51"/>
        <v>1596</v>
      </c>
    </row>
    <row r="1625" spans="3:14" x14ac:dyDescent="0.3">
      <c r="C1625" s="6">
        <v>44255</v>
      </c>
      <c r="D1625" s="7" t="s">
        <v>177</v>
      </c>
      <c r="E1625" s="8">
        <v>2021</v>
      </c>
      <c r="F1625" s="9" t="s">
        <v>70</v>
      </c>
      <c r="G1625" s="9" t="s">
        <v>32</v>
      </c>
      <c r="H1625" s="10" t="s">
        <v>110</v>
      </c>
      <c r="I1625" s="7">
        <v>68</v>
      </c>
      <c r="J1625" s="11">
        <v>35</v>
      </c>
      <c r="K1625" s="11">
        <f t="shared" si="50"/>
        <v>2380</v>
      </c>
      <c r="L1625" s="11">
        <v>0.25</v>
      </c>
      <c r="M1625" s="11">
        <v>285.59999999999997</v>
      </c>
      <c r="N1625" s="11">
        <f t="shared" si="51"/>
        <v>2665.35</v>
      </c>
    </row>
    <row r="1626" spans="3:14" x14ac:dyDescent="0.3">
      <c r="C1626" s="6">
        <v>44255</v>
      </c>
      <c r="D1626" s="7" t="s">
        <v>177</v>
      </c>
      <c r="E1626" s="8">
        <v>2021</v>
      </c>
      <c r="F1626" s="9" t="s">
        <v>70</v>
      </c>
      <c r="G1626" s="9" t="s">
        <v>37</v>
      </c>
      <c r="H1626" s="10" t="s">
        <v>98</v>
      </c>
      <c r="I1626" s="7">
        <v>67</v>
      </c>
      <c r="J1626" s="11">
        <v>15</v>
      </c>
      <c r="K1626" s="11">
        <f t="shared" si="50"/>
        <v>1005</v>
      </c>
      <c r="L1626" s="11">
        <v>0.25</v>
      </c>
      <c r="M1626" s="11">
        <v>120.6</v>
      </c>
      <c r="N1626" s="11">
        <f t="shared" si="51"/>
        <v>1125.3499999999999</v>
      </c>
    </row>
    <row r="1627" spans="3:14" x14ac:dyDescent="0.3">
      <c r="C1627" s="6">
        <v>44255</v>
      </c>
      <c r="D1627" s="7" t="s">
        <v>177</v>
      </c>
      <c r="E1627" s="8">
        <v>2021</v>
      </c>
      <c r="F1627" s="9" t="s">
        <v>101</v>
      </c>
      <c r="G1627" s="9" t="s">
        <v>32</v>
      </c>
      <c r="H1627" s="10" t="s">
        <v>59</v>
      </c>
      <c r="I1627" s="7">
        <v>9</v>
      </c>
      <c r="J1627" s="11">
        <v>15</v>
      </c>
      <c r="K1627" s="11">
        <f t="shared" si="50"/>
        <v>135</v>
      </c>
      <c r="L1627" s="11">
        <v>0.25</v>
      </c>
      <c r="M1627" s="11">
        <v>16.2</v>
      </c>
      <c r="N1627" s="11">
        <f t="shared" si="51"/>
        <v>150.94999999999999</v>
      </c>
    </row>
    <row r="1628" spans="3:14" x14ac:dyDescent="0.3">
      <c r="C1628" s="6">
        <v>44255</v>
      </c>
      <c r="D1628" s="7" t="s">
        <v>177</v>
      </c>
      <c r="E1628" s="8">
        <v>2021</v>
      </c>
      <c r="F1628" s="9" t="s">
        <v>101</v>
      </c>
      <c r="G1628" s="9" t="s">
        <v>24</v>
      </c>
      <c r="H1628" s="10" t="s">
        <v>69</v>
      </c>
      <c r="I1628" s="7">
        <v>75</v>
      </c>
      <c r="J1628" s="11">
        <v>49</v>
      </c>
      <c r="K1628" s="11">
        <f t="shared" si="50"/>
        <v>3675</v>
      </c>
      <c r="L1628" s="11">
        <v>0.25</v>
      </c>
      <c r="M1628" s="11">
        <v>441</v>
      </c>
      <c r="N1628" s="11">
        <f t="shared" si="51"/>
        <v>4115.75</v>
      </c>
    </row>
    <row r="1629" spans="3:14" x14ac:dyDescent="0.3">
      <c r="C1629" s="6">
        <v>44255</v>
      </c>
      <c r="D1629" s="7" t="s">
        <v>177</v>
      </c>
      <c r="E1629" s="8">
        <v>2021</v>
      </c>
      <c r="F1629" s="9" t="s">
        <v>101</v>
      </c>
      <c r="G1629" s="9" t="s">
        <v>42</v>
      </c>
      <c r="H1629" s="10" t="s">
        <v>43</v>
      </c>
      <c r="I1629" s="7">
        <v>22</v>
      </c>
      <c r="J1629" s="11">
        <v>59</v>
      </c>
      <c r="K1629" s="11">
        <f t="shared" si="50"/>
        <v>1298</v>
      </c>
      <c r="L1629" s="11">
        <v>0.25</v>
      </c>
      <c r="M1629" s="11">
        <v>155.76</v>
      </c>
      <c r="N1629" s="11">
        <f t="shared" si="51"/>
        <v>1453.51</v>
      </c>
    </row>
    <row r="1630" spans="3:14" x14ac:dyDescent="0.3">
      <c r="C1630" s="6">
        <v>44258</v>
      </c>
      <c r="D1630" s="7" t="s">
        <v>181</v>
      </c>
      <c r="E1630" s="8">
        <v>2021</v>
      </c>
      <c r="F1630" s="9" t="s">
        <v>178</v>
      </c>
      <c r="G1630" s="9" t="s">
        <v>24</v>
      </c>
      <c r="H1630" s="10" t="s">
        <v>90</v>
      </c>
      <c r="I1630" s="7">
        <v>4</v>
      </c>
      <c r="J1630" s="11">
        <v>86</v>
      </c>
      <c r="K1630" s="11">
        <f t="shared" si="50"/>
        <v>344</v>
      </c>
      <c r="L1630" s="11">
        <v>0</v>
      </c>
      <c r="M1630" s="11">
        <v>41.28</v>
      </c>
      <c r="N1630" s="11">
        <f t="shared" si="51"/>
        <v>385.28</v>
      </c>
    </row>
    <row r="1631" spans="3:14" x14ac:dyDescent="0.3">
      <c r="C1631" s="6">
        <v>44258</v>
      </c>
      <c r="D1631" s="7" t="s">
        <v>181</v>
      </c>
      <c r="E1631" s="8">
        <v>2021</v>
      </c>
      <c r="F1631" s="9" t="s">
        <v>178</v>
      </c>
      <c r="G1631" s="9" t="s">
        <v>16</v>
      </c>
      <c r="H1631" s="10" t="s">
        <v>145</v>
      </c>
      <c r="I1631" s="7">
        <v>36</v>
      </c>
      <c r="J1631" s="11">
        <v>66</v>
      </c>
      <c r="K1631" s="11">
        <f t="shared" si="50"/>
        <v>2376</v>
      </c>
      <c r="L1631" s="11">
        <v>0</v>
      </c>
      <c r="M1631" s="11">
        <v>285.12</v>
      </c>
      <c r="N1631" s="11">
        <f t="shared" si="51"/>
        <v>2661.12</v>
      </c>
    </row>
    <row r="1632" spans="3:14" x14ac:dyDescent="0.3">
      <c r="C1632" s="6">
        <v>44259</v>
      </c>
      <c r="D1632" s="7" t="s">
        <v>181</v>
      </c>
      <c r="E1632" s="8">
        <v>2021</v>
      </c>
      <c r="F1632" s="9" t="s">
        <v>31</v>
      </c>
      <c r="G1632" s="9" t="s">
        <v>32</v>
      </c>
      <c r="H1632" s="10" t="s">
        <v>100</v>
      </c>
      <c r="I1632" s="7">
        <v>66</v>
      </c>
      <c r="J1632" s="11">
        <v>64</v>
      </c>
      <c r="K1632" s="11">
        <f t="shared" si="50"/>
        <v>4224</v>
      </c>
      <c r="L1632" s="11">
        <v>0</v>
      </c>
      <c r="M1632" s="11">
        <v>506.88</v>
      </c>
      <c r="N1632" s="11">
        <f t="shared" si="51"/>
        <v>4730.88</v>
      </c>
    </row>
    <row r="1633" spans="3:14" x14ac:dyDescent="0.3">
      <c r="C1633" s="6">
        <v>44259</v>
      </c>
      <c r="D1633" s="7" t="s">
        <v>181</v>
      </c>
      <c r="E1633" s="8">
        <v>2021</v>
      </c>
      <c r="F1633" s="9" t="s">
        <v>31</v>
      </c>
      <c r="G1633" s="9" t="s">
        <v>16</v>
      </c>
      <c r="H1633" s="10" t="s">
        <v>17</v>
      </c>
      <c r="I1633" s="7">
        <v>65</v>
      </c>
      <c r="J1633" s="11">
        <v>22</v>
      </c>
      <c r="K1633" s="11">
        <f t="shared" si="50"/>
        <v>1430</v>
      </c>
      <c r="L1633" s="11">
        <v>0</v>
      </c>
      <c r="M1633" s="11">
        <v>171.6</v>
      </c>
      <c r="N1633" s="11">
        <f t="shared" si="51"/>
        <v>1601.6</v>
      </c>
    </row>
    <row r="1634" spans="3:14" x14ac:dyDescent="0.3">
      <c r="C1634" s="6">
        <v>44259</v>
      </c>
      <c r="D1634" s="7" t="s">
        <v>181</v>
      </c>
      <c r="E1634" s="8">
        <v>2021</v>
      </c>
      <c r="F1634" s="9" t="s">
        <v>138</v>
      </c>
      <c r="G1634" s="9" t="s">
        <v>26</v>
      </c>
      <c r="H1634" s="10" t="s">
        <v>124</v>
      </c>
      <c r="I1634" s="7">
        <v>16</v>
      </c>
      <c r="J1634" s="11">
        <v>91</v>
      </c>
      <c r="K1634" s="11">
        <f t="shared" si="50"/>
        <v>1456</v>
      </c>
      <c r="L1634" s="11">
        <v>0.20000000298023199</v>
      </c>
      <c r="M1634" s="11">
        <v>174.72</v>
      </c>
      <c r="N1634" s="11">
        <f t="shared" si="51"/>
        <v>1630.5199999970198</v>
      </c>
    </row>
    <row r="1635" spans="3:14" x14ac:dyDescent="0.3">
      <c r="C1635" s="6">
        <v>44259</v>
      </c>
      <c r="D1635" s="7" t="s">
        <v>181</v>
      </c>
      <c r="E1635" s="8">
        <v>2021</v>
      </c>
      <c r="F1635" s="9" t="s">
        <v>138</v>
      </c>
      <c r="G1635" s="9" t="s">
        <v>37</v>
      </c>
      <c r="H1635" s="10" t="s">
        <v>82</v>
      </c>
      <c r="I1635" s="7">
        <v>45</v>
      </c>
      <c r="J1635" s="11">
        <v>97</v>
      </c>
      <c r="K1635" s="11">
        <f t="shared" si="50"/>
        <v>4365</v>
      </c>
      <c r="L1635" s="11">
        <v>0</v>
      </c>
      <c r="M1635" s="11">
        <v>523.79999999999995</v>
      </c>
      <c r="N1635" s="11">
        <f t="shared" si="51"/>
        <v>4888.8</v>
      </c>
    </row>
    <row r="1636" spans="3:14" x14ac:dyDescent="0.3">
      <c r="C1636" s="6">
        <v>44259</v>
      </c>
      <c r="D1636" s="7" t="s">
        <v>181</v>
      </c>
      <c r="E1636" s="8">
        <v>2021</v>
      </c>
      <c r="F1636" s="9" t="s">
        <v>138</v>
      </c>
      <c r="G1636" s="9" t="s">
        <v>16</v>
      </c>
      <c r="H1636" s="10" t="s">
        <v>68</v>
      </c>
      <c r="I1636" s="7">
        <v>50</v>
      </c>
      <c r="J1636" s="11">
        <v>75</v>
      </c>
      <c r="K1636" s="11">
        <f t="shared" si="50"/>
        <v>3750</v>
      </c>
      <c r="L1636" s="11">
        <v>0.20000000298023199</v>
      </c>
      <c r="M1636" s="11">
        <v>450</v>
      </c>
      <c r="N1636" s="11">
        <f t="shared" si="51"/>
        <v>4199.7999999970198</v>
      </c>
    </row>
    <row r="1637" spans="3:14" x14ac:dyDescent="0.3">
      <c r="C1637" s="6">
        <v>44259</v>
      </c>
      <c r="D1637" s="7" t="s">
        <v>181</v>
      </c>
      <c r="E1637" s="8">
        <v>2021</v>
      </c>
      <c r="F1637" s="9" t="s">
        <v>138</v>
      </c>
      <c r="G1637" s="9" t="s">
        <v>14</v>
      </c>
      <c r="H1637" s="10" t="s">
        <v>35</v>
      </c>
      <c r="I1637" s="7">
        <v>23</v>
      </c>
      <c r="J1637" s="11">
        <v>60</v>
      </c>
      <c r="K1637" s="11">
        <f t="shared" si="50"/>
        <v>1380</v>
      </c>
      <c r="L1637" s="11">
        <v>0</v>
      </c>
      <c r="M1637" s="11">
        <v>165.6</v>
      </c>
      <c r="N1637" s="11">
        <f t="shared" si="51"/>
        <v>1545.6</v>
      </c>
    </row>
    <row r="1638" spans="3:14" x14ac:dyDescent="0.3">
      <c r="C1638" s="6">
        <v>44260</v>
      </c>
      <c r="D1638" s="7" t="s">
        <v>181</v>
      </c>
      <c r="E1638" s="8">
        <v>2021</v>
      </c>
      <c r="F1638" s="9" t="s">
        <v>159</v>
      </c>
      <c r="G1638" s="9" t="s">
        <v>37</v>
      </c>
      <c r="H1638" s="10" t="s">
        <v>41</v>
      </c>
      <c r="I1638" s="7">
        <v>31</v>
      </c>
      <c r="J1638" s="11">
        <v>35</v>
      </c>
      <c r="K1638" s="11">
        <f t="shared" si="50"/>
        <v>1085</v>
      </c>
      <c r="L1638" s="11">
        <v>0</v>
      </c>
      <c r="M1638" s="11">
        <v>130.19999999999999</v>
      </c>
      <c r="N1638" s="11">
        <f t="shared" si="51"/>
        <v>1215.2</v>
      </c>
    </row>
    <row r="1639" spans="3:14" x14ac:dyDescent="0.3">
      <c r="C1639" s="6">
        <v>44260</v>
      </c>
      <c r="D1639" s="7" t="s">
        <v>181</v>
      </c>
      <c r="E1639" s="8">
        <v>2021</v>
      </c>
      <c r="F1639" s="9" t="s">
        <v>159</v>
      </c>
      <c r="G1639" s="9" t="s">
        <v>42</v>
      </c>
      <c r="H1639" s="10" t="s">
        <v>79</v>
      </c>
      <c r="I1639" s="7">
        <v>82</v>
      </c>
      <c r="J1639" s="11">
        <v>83</v>
      </c>
      <c r="K1639" s="11">
        <f t="shared" si="50"/>
        <v>6806</v>
      </c>
      <c r="L1639" s="11">
        <v>0.10000000149011599</v>
      </c>
      <c r="M1639" s="11">
        <v>816.71999999999991</v>
      </c>
      <c r="N1639" s="11">
        <f t="shared" si="51"/>
        <v>7622.6199999985101</v>
      </c>
    </row>
    <row r="1640" spans="3:14" x14ac:dyDescent="0.3">
      <c r="C1640" s="6">
        <v>44260</v>
      </c>
      <c r="D1640" s="7" t="s">
        <v>181</v>
      </c>
      <c r="E1640" s="8">
        <v>2021</v>
      </c>
      <c r="F1640" s="9" t="s">
        <v>159</v>
      </c>
      <c r="G1640" s="9" t="s">
        <v>24</v>
      </c>
      <c r="H1640" s="10" t="s">
        <v>76</v>
      </c>
      <c r="I1640" s="7">
        <v>68</v>
      </c>
      <c r="J1640" s="11">
        <v>88</v>
      </c>
      <c r="K1640" s="11">
        <f t="shared" si="50"/>
        <v>5984</v>
      </c>
      <c r="L1640" s="11">
        <v>0</v>
      </c>
      <c r="M1640" s="11">
        <v>718.07999999999993</v>
      </c>
      <c r="N1640" s="11">
        <f t="shared" si="51"/>
        <v>6702.08</v>
      </c>
    </row>
    <row r="1641" spans="3:14" x14ac:dyDescent="0.3">
      <c r="C1641" s="6">
        <v>44260</v>
      </c>
      <c r="D1641" s="7" t="s">
        <v>181</v>
      </c>
      <c r="E1641" s="8">
        <v>2021</v>
      </c>
      <c r="F1641" s="9" t="s">
        <v>159</v>
      </c>
      <c r="G1641" s="9" t="s">
        <v>24</v>
      </c>
      <c r="H1641" s="10" t="s">
        <v>165</v>
      </c>
      <c r="I1641" s="7">
        <v>90</v>
      </c>
      <c r="J1641" s="11">
        <v>42</v>
      </c>
      <c r="K1641" s="11">
        <f t="shared" si="50"/>
        <v>3780</v>
      </c>
      <c r="L1641" s="11">
        <v>0.10000000149011599</v>
      </c>
      <c r="M1641" s="11">
        <v>453.59999999999997</v>
      </c>
      <c r="N1641" s="11">
        <f t="shared" si="51"/>
        <v>4233.4999999985102</v>
      </c>
    </row>
    <row r="1642" spans="3:14" x14ac:dyDescent="0.3">
      <c r="C1642" s="6">
        <v>44260</v>
      </c>
      <c r="D1642" s="7" t="s">
        <v>181</v>
      </c>
      <c r="E1642" s="8">
        <v>2021</v>
      </c>
      <c r="F1642" s="9" t="s">
        <v>159</v>
      </c>
      <c r="G1642" s="9" t="s">
        <v>32</v>
      </c>
      <c r="H1642" s="10" t="s">
        <v>151</v>
      </c>
      <c r="I1642" s="7">
        <v>55</v>
      </c>
      <c r="J1642" s="11">
        <v>31</v>
      </c>
      <c r="K1642" s="11">
        <f t="shared" si="50"/>
        <v>1705</v>
      </c>
      <c r="L1642" s="11">
        <v>0</v>
      </c>
      <c r="M1642" s="11">
        <v>204.6</v>
      </c>
      <c r="N1642" s="11">
        <f t="shared" si="51"/>
        <v>1909.6</v>
      </c>
    </row>
    <row r="1643" spans="3:14" x14ac:dyDescent="0.3">
      <c r="C1643" s="6">
        <v>44261</v>
      </c>
      <c r="D1643" s="7" t="s">
        <v>181</v>
      </c>
      <c r="E1643" s="8">
        <v>2021</v>
      </c>
      <c r="F1643" s="9" t="s">
        <v>114</v>
      </c>
      <c r="G1643" s="9" t="s">
        <v>14</v>
      </c>
      <c r="H1643" s="10" t="s">
        <v>15</v>
      </c>
      <c r="I1643" s="7">
        <v>53</v>
      </c>
      <c r="J1643" s="11">
        <v>46</v>
      </c>
      <c r="K1643" s="11">
        <f t="shared" si="50"/>
        <v>2438</v>
      </c>
      <c r="L1643" s="11">
        <v>0</v>
      </c>
      <c r="M1643" s="11">
        <v>292.56</v>
      </c>
      <c r="N1643" s="11">
        <f t="shared" si="51"/>
        <v>2730.56</v>
      </c>
    </row>
    <row r="1644" spans="3:14" x14ac:dyDescent="0.3">
      <c r="C1644" s="6">
        <v>44261</v>
      </c>
      <c r="D1644" s="7" t="s">
        <v>181</v>
      </c>
      <c r="E1644" s="8">
        <v>2021</v>
      </c>
      <c r="F1644" s="9" t="s">
        <v>114</v>
      </c>
      <c r="G1644" s="9" t="s">
        <v>24</v>
      </c>
      <c r="H1644" s="10" t="s">
        <v>107</v>
      </c>
      <c r="I1644" s="7">
        <v>1</v>
      </c>
      <c r="J1644" s="11">
        <v>82</v>
      </c>
      <c r="K1644" s="11">
        <f t="shared" si="50"/>
        <v>82</v>
      </c>
      <c r="L1644" s="11">
        <v>0</v>
      </c>
      <c r="M1644" s="11">
        <v>9.84</v>
      </c>
      <c r="N1644" s="11">
        <f t="shared" si="51"/>
        <v>91.84</v>
      </c>
    </row>
    <row r="1645" spans="3:14" x14ac:dyDescent="0.3">
      <c r="C1645" s="6">
        <v>44261</v>
      </c>
      <c r="D1645" s="7" t="s">
        <v>181</v>
      </c>
      <c r="E1645" s="8">
        <v>2021</v>
      </c>
      <c r="F1645" s="9" t="s">
        <v>88</v>
      </c>
      <c r="G1645" s="9" t="s">
        <v>37</v>
      </c>
      <c r="H1645" s="10" t="s">
        <v>41</v>
      </c>
      <c r="I1645" s="7">
        <v>3</v>
      </c>
      <c r="J1645" s="11">
        <v>94</v>
      </c>
      <c r="K1645" s="11">
        <f t="shared" si="50"/>
        <v>282</v>
      </c>
      <c r="L1645" s="11">
        <v>0</v>
      </c>
      <c r="M1645" s="11">
        <v>33.839999999999996</v>
      </c>
      <c r="N1645" s="11">
        <f t="shared" si="51"/>
        <v>315.83999999999997</v>
      </c>
    </row>
    <row r="1646" spans="3:14" x14ac:dyDescent="0.3">
      <c r="C1646" s="6">
        <v>44261</v>
      </c>
      <c r="D1646" s="7" t="s">
        <v>181</v>
      </c>
      <c r="E1646" s="8">
        <v>2021</v>
      </c>
      <c r="F1646" s="9" t="s">
        <v>88</v>
      </c>
      <c r="G1646" s="9" t="s">
        <v>32</v>
      </c>
      <c r="H1646" s="10" t="s">
        <v>134</v>
      </c>
      <c r="I1646" s="7">
        <v>34</v>
      </c>
      <c r="J1646" s="11">
        <v>49</v>
      </c>
      <c r="K1646" s="11">
        <f t="shared" si="50"/>
        <v>1666</v>
      </c>
      <c r="L1646" s="11">
        <v>0</v>
      </c>
      <c r="M1646" s="11">
        <v>199.92</v>
      </c>
      <c r="N1646" s="11">
        <f t="shared" si="51"/>
        <v>1865.92</v>
      </c>
    </row>
    <row r="1647" spans="3:14" x14ac:dyDescent="0.3">
      <c r="C1647" s="6">
        <v>44262</v>
      </c>
      <c r="D1647" s="7" t="s">
        <v>181</v>
      </c>
      <c r="E1647" s="8">
        <v>2021</v>
      </c>
      <c r="F1647" s="9" t="s">
        <v>133</v>
      </c>
      <c r="G1647" s="9" t="s">
        <v>24</v>
      </c>
      <c r="H1647" s="10" t="s">
        <v>69</v>
      </c>
      <c r="I1647" s="7">
        <v>37</v>
      </c>
      <c r="J1647" s="11">
        <v>37</v>
      </c>
      <c r="K1647" s="11">
        <f t="shared" si="50"/>
        <v>1369</v>
      </c>
      <c r="L1647" s="11">
        <v>0</v>
      </c>
      <c r="M1647" s="11">
        <v>164.28</v>
      </c>
      <c r="N1647" s="11">
        <f t="shared" si="51"/>
        <v>1533.28</v>
      </c>
    </row>
    <row r="1648" spans="3:14" x14ac:dyDescent="0.3">
      <c r="C1648" s="6">
        <v>44262</v>
      </c>
      <c r="D1648" s="7" t="s">
        <v>181</v>
      </c>
      <c r="E1648" s="8">
        <v>2021</v>
      </c>
      <c r="F1648" s="9" t="s">
        <v>133</v>
      </c>
      <c r="G1648" s="9" t="s">
        <v>37</v>
      </c>
      <c r="H1648" s="10" t="s">
        <v>82</v>
      </c>
      <c r="I1648" s="7">
        <v>97</v>
      </c>
      <c r="J1648" s="11">
        <v>68</v>
      </c>
      <c r="K1648" s="11">
        <f t="shared" si="50"/>
        <v>6596</v>
      </c>
      <c r="L1648" s="11">
        <v>0</v>
      </c>
      <c r="M1648" s="11">
        <v>791.52</v>
      </c>
      <c r="N1648" s="11">
        <f t="shared" si="51"/>
        <v>7387.52</v>
      </c>
    </row>
    <row r="1649" spans="3:14" x14ac:dyDescent="0.3">
      <c r="C1649" s="6">
        <v>44265</v>
      </c>
      <c r="D1649" s="7" t="s">
        <v>181</v>
      </c>
      <c r="E1649" s="8">
        <v>2021</v>
      </c>
      <c r="F1649" s="9" t="s">
        <v>80</v>
      </c>
      <c r="G1649" s="9" t="s">
        <v>37</v>
      </c>
      <c r="H1649" s="10" t="s">
        <v>46</v>
      </c>
      <c r="I1649" s="7">
        <v>65</v>
      </c>
      <c r="J1649" s="11">
        <v>95</v>
      </c>
      <c r="K1649" s="11">
        <f t="shared" si="50"/>
        <v>6175</v>
      </c>
      <c r="L1649" s="11">
        <v>0.15000000596046401</v>
      </c>
      <c r="M1649" s="11">
        <v>741</v>
      </c>
      <c r="N1649" s="11">
        <f t="shared" si="51"/>
        <v>6915.8499999940395</v>
      </c>
    </row>
    <row r="1650" spans="3:14" x14ac:dyDescent="0.3">
      <c r="C1650" s="6">
        <v>44265</v>
      </c>
      <c r="D1650" s="7" t="s">
        <v>181</v>
      </c>
      <c r="E1650" s="8">
        <v>2021</v>
      </c>
      <c r="F1650" s="9" t="s">
        <v>80</v>
      </c>
      <c r="G1650" s="9" t="s">
        <v>32</v>
      </c>
      <c r="H1650" s="10" t="s">
        <v>47</v>
      </c>
      <c r="I1650" s="7">
        <v>33</v>
      </c>
      <c r="J1650" s="11">
        <v>76</v>
      </c>
      <c r="K1650" s="11">
        <f t="shared" si="50"/>
        <v>2508</v>
      </c>
      <c r="L1650" s="11">
        <v>0.15000000596046401</v>
      </c>
      <c r="M1650" s="11">
        <v>300.95999999999998</v>
      </c>
      <c r="N1650" s="11">
        <f t="shared" si="51"/>
        <v>2808.8099999940396</v>
      </c>
    </row>
    <row r="1651" spans="3:14" x14ac:dyDescent="0.3">
      <c r="C1651" s="6">
        <v>44265</v>
      </c>
      <c r="D1651" s="7" t="s">
        <v>181</v>
      </c>
      <c r="E1651" s="8">
        <v>2021</v>
      </c>
      <c r="F1651" s="9" t="s">
        <v>80</v>
      </c>
      <c r="G1651" s="9" t="s">
        <v>26</v>
      </c>
      <c r="H1651" s="10" t="s">
        <v>94</v>
      </c>
      <c r="I1651" s="7">
        <v>86</v>
      </c>
      <c r="J1651" s="11">
        <v>21</v>
      </c>
      <c r="K1651" s="11">
        <f t="shared" si="50"/>
        <v>1806</v>
      </c>
      <c r="L1651" s="11">
        <v>0.15000000596046401</v>
      </c>
      <c r="M1651" s="11">
        <v>216.72</v>
      </c>
      <c r="N1651" s="11">
        <f t="shared" si="51"/>
        <v>2022.5699999940396</v>
      </c>
    </row>
    <row r="1652" spans="3:14" x14ac:dyDescent="0.3">
      <c r="C1652" s="6">
        <v>44266</v>
      </c>
      <c r="D1652" s="7" t="s">
        <v>181</v>
      </c>
      <c r="E1652" s="8">
        <v>2021</v>
      </c>
      <c r="F1652" s="9" t="s">
        <v>141</v>
      </c>
      <c r="G1652" s="9" t="s">
        <v>24</v>
      </c>
      <c r="H1652" s="10" t="s">
        <v>115</v>
      </c>
      <c r="I1652" s="7">
        <v>28</v>
      </c>
      <c r="J1652" s="11">
        <v>30</v>
      </c>
      <c r="K1652" s="11">
        <f t="shared" si="50"/>
        <v>840</v>
      </c>
      <c r="L1652" s="11">
        <v>0</v>
      </c>
      <c r="M1652" s="11">
        <v>100.8</v>
      </c>
      <c r="N1652" s="11">
        <f t="shared" si="51"/>
        <v>940.8</v>
      </c>
    </row>
    <row r="1653" spans="3:14" x14ac:dyDescent="0.3">
      <c r="C1653" s="6">
        <v>44266</v>
      </c>
      <c r="D1653" s="7" t="s">
        <v>181</v>
      </c>
      <c r="E1653" s="8">
        <v>2021</v>
      </c>
      <c r="F1653" s="9" t="s">
        <v>141</v>
      </c>
      <c r="G1653" s="9" t="s">
        <v>16</v>
      </c>
      <c r="H1653" s="10" t="s">
        <v>145</v>
      </c>
      <c r="I1653" s="7">
        <v>8</v>
      </c>
      <c r="J1653" s="11">
        <v>41</v>
      </c>
      <c r="K1653" s="11">
        <f t="shared" si="50"/>
        <v>328</v>
      </c>
      <c r="L1653" s="11">
        <v>0</v>
      </c>
      <c r="M1653" s="11">
        <v>39.36</v>
      </c>
      <c r="N1653" s="11">
        <f t="shared" si="51"/>
        <v>367.36</v>
      </c>
    </row>
    <row r="1654" spans="3:14" x14ac:dyDescent="0.3">
      <c r="C1654" s="6">
        <v>44266</v>
      </c>
      <c r="D1654" s="7" t="s">
        <v>181</v>
      </c>
      <c r="E1654" s="8">
        <v>2021</v>
      </c>
      <c r="F1654" s="9" t="s">
        <v>141</v>
      </c>
      <c r="G1654" s="9" t="s">
        <v>16</v>
      </c>
      <c r="H1654" s="10" t="s">
        <v>113</v>
      </c>
      <c r="I1654" s="7">
        <v>77</v>
      </c>
      <c r="J1654" s="11">
        <v>76</v>
      </c>
      <c r="K1654" s="11">
        <f t="shared" si="50"/>
        <v>5852</v>
      </c>
      <c r="L1654" s="11">
        <v>0</v>
      </c>
      <c r="M1654" s="11">
        <v>702.24</v>
      </c>
      <c r="N1654" s="11">
        <f t="shared" si="51"/>
        <v>6554.24</v>
      </c>
    </row>
    <row r="1655" spans="3:14" x14ac:dyDescent="0.3">
      <c r="C1655" s="6">
        <v>44266</v>
      </c>
      <c r="D1655" s="7" t="s">
        <v>181</v>
      </c>
      <c r="E1655" s="8">
        <v>2021</v>
      </c>
      <c r="F1655" s="9" t="s">
        <v>111</v>
      </c>
      <c r="G1655" s="9" t="s">
        <v>20</v>
      </c>
      <c r="H1655" s="10" t="s">
        <v>67</v>
      </c>
      <c r="I1655" s="7">
        <v>37</v>
      </c>
      <c r="J1655" s="11">
        <v>85</v>
      </c>
      <c r="K1655" s="11">
        <f t="shared" si="50"/>
        <v>3145</v>
      </c>
      <c r="L1655" s="11">
        <v>0</v>
      </c>
      <c r="M1655" s="11">
        <v>377.4</v>
      </c>
      <c r="N1655" s="11">
        <f t="shared" si="51"/>
        <v>3522.4</v>
      </c>
    </row>
    <row r="1656" spans="3:14" x14ac:dyDescent="0.3">
      <c r="C1656" s="6">
        <v>44266</v>
      </c>
      <c r="D1656" s="7" t="s">
        <v>181</v>
      </c>
      <c r="E1656" s="8">
        <v>2021</v>
      </c>
      <c r="F1656" s="9" t="s">
        <v>111</v>
      </c>
      <c r="G1656" s="9" t="s">
        <v>16</v>
      </c>
      <c r="H1656" s="10" t="s">
        <v>68</v>
      </c>
      <c r="I1656" s="7">
        <v>16</v>
      </c>
      <c r="J1656" s="11">
        <v>41</v>
      </c>
      <c r="K1656" s="11">
        <f t="shared" si="50"/>
        <v>656</v>
      </c>
      <c r="L1656" s="11">
        <v>0</v>
      </c>
      <c r="M1656" s="11">
        <v>78.72</v>
      </c>
      <c r="N1656" s="11">
        <f t="shared" si="51"/>
        <v>734.72</v>
      </c>
    </row>
    <row r="1657" spans="3:14" x14ac:dyDescent="0.3">
      <c r="C1657" s="6">
        <v>44267</v>
      </c>
      <c r="D1657" s="7" t="s">
        <v>181</v>
      </c>
      <c r="E1657" s="8">
        <v>2021</v>
      </c>
      <c r="F1657" s="9" t="s">
        <v>154</v>
      </c>
      <c r="G1657" s="9" t="s">
        <v>37</v>
      </c>
      <c r="H1657" s="10" t="s">
        <v>41</v>
      </c>
      <c r="I1657" s="7">
        <v>10</v>
      </c>
      <c r="J1657" s="11">
        <v>46</v>
      </c>
      <c r="K1657" s="11">
        <f t="shared" si="50"/>
        <v>460</v>
      </c>
      <c r="L1657" s="11">
        <v>5.0000000745058101E-2</v>
      </c>
      <c r="M1657" s="11">
        <v>55.199999999999996</v>
      </c>
      <c r="N1657" s="11">
        <f t="shared" si="51"/>
        <v>515.14999999925499</v>
      </c>
    </row>
    <row r="1658" spans="3:14" x14ac:dyDescent="0.3">
      <c r="C1658" s="6">
        <v>44267</v>
      </c>
      <c r="D1658" s="7" t="s">
        <v>181</v>
      </c>
      <c r="E1658" s="8">
        <v>2021</v>
      </c>
      <c r="F1658" s="9" t="s">
        <v>154</v>
      </c>
      <c r="G1658" s="9" t="s">
        <v>20</v>
      </c>
      <c r="H1658" s="10" t="s">
        <v>22</v>
      </c>
      <c r="I1658" s="7">
        <v>31</v>
      </c>
      <c r="J1658" s="11">
        <v>92</v>
      </c>
      <c r="K1658" s="11">
        <f t="shared" si="50"/>
        <v>2852</v>
      </c>
      <c r="L1658" s="11">
        <v>0</v>
      </c>
      <c r="M1658" s="11">
        <v>342.24</v>
      </c>
      <c r="N1658" s="11">
        <f t="shared" si="51"/>
        <v>3194.24</v>
      </c>
    </row>
    <row r="1659" spans="3:14" x14ac:dyDescent="0.3">
      <c r="C1659" s="6">
        <v>44268</v>
      </c>
      <c r="D1659" s="7" t="s">
        <v>181</v>
      </c>
      <c r="E1659" s="8">
        <v>2021</v>
      </c>
      <c r="F1659" s="9" t="s">
        <v>129</v>
      </c>
      <c r="G1659" s="9" t="s">
        <v>14</v>
      </c>
      <c r="H1659" s="10" t="s">
        <v>34</v>
      </c>
      <c r="I1659" s="7">
        <v>13</v>
      </c>
      <c r="J1659" s="11">
        <v>92</v>
      </c>
      <c r="K1659" s="11">
        <f t="shared" si="50"/>
        <v>1196</v>
      </c>
      <c r="L1659" s="11">
        <v>0</v>
      </c>
      <c r="M1659" s="11">
        <v>143.51999999999998</v>
      </c>
      <c r="N1659" s="11">
        <f t="shared" si="51"/>
        <v>1339.52</v>
      </c>
    </row>
    <row r="1660" spans="3:14" x14ac:dyDescent="0.3">
      <c r="C1660" s="6">
        <v>44268</v>
      </c>
      <c r="D1660" s="7" t="s">
        <v>181</v>
      </c>
      <c r="E1660" s="8">
        <v>2021</v>
      </c>
      <c r="F1660" s="9" t="s">
        <v>129</v>
      </c>
      <c r="G1660" s="9" t="s">
        <v>14</v>
      </c>
      <c r="H1660" s="10" t="s">
        <v>87</v>
      </c>
      <c r="I1660" s="7">
        <v>68</v>
      </c>
      <c r="J1660" s="11">
        <v>62</v>
      </c>
      <c r="K1660" s="11">
        <f t="shared" si="50"/>
        <v>4216</v>
      </c>
      <c r="L1660" s="11">
        <v>0</v>
      </c>
      <c r="M1660" s="11">
        <v>505.91999999999996</v>
      </c>
      <c r="N1660" s="11">
        <f t="shared" si="51"/>
        <v>4721.92</v>
      </c>
    </row>
    <row r="1661" spans="3:14" x14ac:dyDescent="0.3">
      <c r="C1661" s="6">
        <v>44268</v>
      </c>
      <c r="D1661" s="7" t="s">
        <v>181</v>
      </c>
      <c r="E1661" s="8">
        <v>2021</v>
      </c>
      <c r="F1661" s="9" t="s">
        <v>131</v>
      </c>
      <c r="G1661" s="9" t="s">
        <v>20</v>
      </c>
      <c r="H1661" s="10" t="s">
        <v>136</v>
      </c>
      <c r="I1661" s="7">
        <v>50</v>
      </c>
      <c r="J1661" s="11">
        <v>80</v>
      </c>
      <c r="K1661" s="11">
        <f t="shared" si="50"/>
        <v>4000</v>
      </c>
      <c r="L1661" s="11">
        <v>0</v>
      </c>
      <c r="M1661" s="11">
        <v>480</v>
      </c>
      <c r="N1661" s="11">
        <f t="shared" si="51"/>
        <v>4480</v>
      </c>
    </row>
    <row r="1662" spans="3:14" x14ac:dyDescent="0.3">
      <c r="C1662" s="6">
        <v>44268</v>
      </c>
      <c r="D1662" s="7" t="s">
        <v>181</v>
      </c>
      <c r="E1662" s="8">
        <v>2021</v>
      </c>
      <c r="F1662" s="9" t="s">
        <v>131</v>
      </c>
      <c r="G1662" s="9" t="s">
        <v>20</v>
      </c>
      <c r="H1662" s="10" t="s">
        <v>92</v>
      </c>
      <c r="I1662" s="7">
        <v>33</v>
      </c>
      <c r="J1662" s="11">
        <v>84</v>
      </c>
      <c r="K1662" s="11">
        <f t="shared" si="50"/>
        <v>2772</v>
      </c>
      <c r="L1662" s="11">
        <v>0</v>
      </c>
      <c r="M1662" s="11">
        <v>332.64</v>
      </c>
      <c r="N1662" s="11">
        <f t="shared" si="51"/>
        <v>3104.64</v>
      </c>
    </row>
    <row r="1663" spans="3:14" x14ac:dyDescent="0.3">
      <c r="C1663" s="6">
        <v>44268</v>
      </c>
      <c r="D1663" s="7" t="s">
        <v>181</v>
      </c>
      <c r="E1663" s="8">
        <v>2021</v>
      </c>
      <c r="F1663" s="9" t="s">
        <v>131</v>
      </c>
      <c r="G1663" s="9" t="s">
        <v>24</v>
      </c>
      <c r="H1663" s="10" t="s">
        <v>76</v>
      </c>
      <c r="I1663" s="7">
        <v>79</v>
      </c>
      <c r="J1663" s="11">
        <v>73</v>
      </c>
      <c r="K1663" s="11">
        <f t="shared" si="50"/>
        <v>5767</v>
      </c>
      <c r="L1663" s="11">
        <v>0</v>
      </c>
      <c r="M1663" s="11">
        <v>692.04</v>
      </c>
      <c r="N1663" s="11">
        <f t="shared" si="51"/>
        <v>6459.04</v>
      </c>
    </row>
    <row r="1664" spans="3:14" x14ac:dyDescent="0.3">
      <c r="C1664" s="6">
        <v>44268</v>
      </c>
      <c r="D1664" s="7" t="s">
        <v>181</v>
      </c>
      <c r="E1664" s="8">
        <v>2021</v>
      </c>
      <c r="F1664" s="9" t="s">
        <v>131</v>
      </c>
      <c r="G1664" s="9" t="s">
        <v>37</v>
      </c>
      <c r="H1664" s="10" t="s">
        <v>98</v>
      </c>
      <c r="I1664" s="7">
        <v>66</v>
      </c>
      <c r="J1664" s="11">
        <v>48</v>
      </c>
      <c r="K1664" s="11">
        <f t="shared" si="50"/>
        <v>3168</v>
      </c>
      <c r="L1664" s="11">
        <v>0</v>
      </c>
      <c r="M1664" s="11">
        <v>380.15999999999997</v>
      </c>
      <c r="N1664" s="11">
        <f t="shared" si="51"/>
        <v>3548.16</v>
      </c>
    </row>
    <row r="1665" spans="3:14" x14ac:dyDescent="0.3">
      <c r="C1665" s="6">
        <v>44269</v>
      </c>
      <c r="D1665" s="7" t="s">
        <v>181</v>
      </c>
      <c r="E1665" s="8">
        <v>2021</v>
      </c>
      <c r="F1665" s="9" t="s">
        <v>31</v>
      </c>
      <c r="G1665" s="9" t="s">
        <v>14</v>
      </c>
      <c r="H1665" s="10" t="s">
        <v>36</v>
      </c>
      <c r="I1665" s="7">
        <v>66</v>
      </c>
      <c r="J1665" s="11">
        <v>56</v>
      </c>
      <c r="K1665" s="11">
        <f t="shared" si="50"/>
        <v>3696</v>
      </c>
      <c r="L1665" s="11">
        <v>0.15000000596046401</v>
      </c>
      <c r="M1665" s="11">
        <v>443.52</v>
      </c>
      <c r="N1665" s="11">
        <f t="shared" si="51"/>
        <v>4139.36999999404</v>
      </c>
    </row>
    <row r="1666" spans="3:14" x14ac:dyDescent="0.3">
      <c r="C1666" s="6">
        <v>44269</v>
      </c>
      <c r="D1666" s="7" t="s">
        <v>181</v>
      </c>
      <c r="E1666" s="8">
        <v>2021</v>
      </c>
      <c r="F1666" s="9" t="s">
        <v>31</v>
      </c>
      <c r="G1666" s="9" t="s">
        <v>26</v>
      </c>
      <c r="H1666" s="10" t="s">
        <v>119</v>
      </c>
      <c r="I1666" s="7">
        <v>44</v>
      </c>
      <c r="J1666" s="11">
        <v>66</v>
      </c>
      <c r="K1666" s="11">
        <f t="shared" si="50"/>
        <v>2904</v>
      </c>
      <c r="L1666" s="11">
        <v>0.15000000596046401</v>
      </c>
      <c r="M1666" s="11">
        <v>348.47999999999996</v>
      </c>
      <c r="N1666" s="11">
        <f t="shared" si="51"/>
        <v>3252.3299999940396</v>
      </c>
    </row>
    <row r="1667" spans="3:14" x14ac:dyDescent="0.3">
      <c r="C1667" s="6">
        <v>44269</v>
      </c>
      <c r="D1667" s="7" t="s">
        <v>181</v>
      </c>
      <c r="E1667" s="8">
        <v>2021</v>
      </c>
      <c r="F1667" s="9" t="s">
        <v>31</v>
      </c>
      <c r="G1667" s="9" t="s">
        <v>37</v>
      </c>
      <c r="H1667" s="10" t="s">
        <v>77</v>
      </c>
      <c r="I1667" s="7">
        <v>93</v>
      </c>
      <c r="J1667" s="11">
        <v>32</v>
      </c>
      <c r="K1667" s="11">
        <f t="shared" ref="K1667:K1730" si="52">J1667*I1667</f>
        <v>2976</v>
      </c>
      <c r="L1667" s="11">
        <v>0.15000000596046401</v>
      </c>
      <c r="M1667" s="11">
        <v>357.12</v>
      </c>
      <c r="N1667" s="11">
        <f t="shared" ref="N1667:N1730" si="53">K1667-L1667+M1667</f>
        <v>3332.9699999940394</v>
      </c>
    </row>
    <row r="1668" spans="3:14" x14ac:dyDescent="0.3">
      <c r="C1668" s="6">
        <v>44272</v>
      </c>
      <c r="D1668" s="7" t="s">
        <v>181</v>
      </c>
      <c r="E1668" s="8">
        <v>2021</v>
      </c>
      <c r="F1668" s="9" t="s">
        <v>53</v>
      </c>
      <c r="G1668" s="9" t="s">
        <v>42</v>
      </c>
      <c r="H1668" s="10" t="s">
        <v>43</v>
      </c>
      <c r="I1668" s="7">
        <v>60</v>
      </c>
      <c r="J1668" s="11">
        <v>95</v>
      </c>
      <c r="K1668" s="11">
        <f t="shared" si="52"/>
        <v>5700</v>
      </c>
      <c r="L1668" s="11">
        <v>5.0000000745058101E-2</v>
      </c>
      <c r="M1668" s="11">
        <v>684</v>
      </c>
      <c r="N1668" s="11">
        <f t="shared" si="53"/>
        <v>6383.9499999992549</v>
      </c>
    </row>
    <row r="1669" spans="3:14" x14ac:dyDescent="0.3">
      <c r="C1669" s="6">
        <v>44272</v>
      </c>
      <c r="D1669" s="7" t="s">
        <v>181</v>
      </c>
      <c r="E1669" s="8">
        <v>2021</v>
      </c>
      <c r="F1669" s="9" t="s">
        <v>53</v>
      </c>
      <c r="G1669" s="9" t="s">
        <v>37</v>
      </c>
      <c r="H1669" s="10" t="s">
        <v>63</v>
      </c>
      <c r="I1669" s="7">
        <v>51</v>
      </c>
      <c r="J1669" s="11">
        <v>87</v>
      </c>
      <c r="K1669" s="11">
        <f t="shared" si="52"/>
        <v>4437</v>
      </c>
      <c r="L1669" s="11">
        <v>0</v>
      </c>
      <c r="M1669" s="11">
        <v>532.43999999999994</v>
      </c>
      <c r="N1669" s="11">
        <f t="shared" si="53"/>
        <v>4969.4399999999996</v>
      </c>
    </row>
    <row r="1670" spans="3:14" x14ac:dyDescent="0.3">
      <c r="C1670" s="6">
        <v>44272</v>
      </c>
      <c r="D1670" s="7" t="s">
        <v>181</v>
      </c>
      <c r="E1670" s="8">
        <v>2021</v>
      </c>
      <c r="F1670" s="9" t="s">
        <v>144</v>
      </c>
      <c r="G1670" s="9" t="s">
        <v>37</v>
      </c>
      <c r="H1670" s="10" t="s">
        <v>104</v>
      </c>
      <c r="I1670" s="7">
        <v>8</v>
      </c>
      <c r="J1670" s="11">
        <v>70</v>
      </c>
      <c r="K1670" s="11">
        <f t="shared" si="52"/>
        <v>560</v>
      </c>
      <c r="L1670" s="11">
        <v>0</v>
      </c>
      <c r="M1670" s="11">
        <v>67.2</v>
      </c>
      <c r="N1670" s="11">
        <f t="shared" si="53"/>
        <v>627.20000000000005</v>
      </c>
    </row>
    <row r="1671" spans="3:14" x14ac:dyDescent="0.3">
      <c r="C1671" s="6">
        <v>44272</v>
      </c>
      <c r="D1671" s="7" t="s">
        <v>181</v>
      </c>
      <c r="E1671" s="8">
        <v>2021</v>
      </c>
      <c r="F1671" s="9" t="s">
        <v>144</v>
      </c>
      <c r="G1671" s="9" t="s">
        <v>32</v>
      </c>
      <c r="H1671" s="10" t="s">
        <v>59</v>
      </c>
      <c r="I1671" s="7">
        <v>32</v>
      </c>
      <c r="J1671" s="11">
        <v>88</v>
      </c>
      <c r="K1671" s="11">
        <f t="shared" si="52"/>
        <v>2816</v>
      </c>
      <c r="L1671" s="11">
        <v>0.25</v>
      </c>
      <c r="M1671" s="11">
        <v>337.91999999999996</v>
      </c>
      <c r="N1671" s="11">
        <f t="shared" si="53"/>
        <v>3153.67</v>
      </c>
    </row>
    <row r="1672" spans="3:14" x14ac:dyDescent="0.3">
      <c r="C1672" s="6">
        <v>44272</v>
      </c>
      <c r="D1672" s="7" t="s">
        <v>181</v>
      </c>
      <c r="E1672" s="8">
        <v>2021</v>
      </c>
      <c r="F1672" s="9" t="s">
        <v>144</v>
      </c>
      <c r="G1672" s="9" t="s">
        <v>37</v>
      </c>
      <c r="H1672" s="10" t="s">
        <v>38</v>
      </c>
      <c r="I1672" s="7">
        <v>83</v>
      </c>
      <c r="J1672" s="11">
        <v>54</v>
      </c>
      <c r="K1672" s="11">
        <f t="shared" si="52"/>
        <v>4482</v>
      </c>
      <c r="L1672" s="11">
        <v>0.25</v>
      </c>
      <c r="M1672" s="11">
        <v>537.84</v>
      </c>
      <c r="N1672" s="11">
        <f t="shared" si="53"/>
        <v>5019.59</v>
      </c>
    </row>
    <row r="1673" spans="3:14" x14ac:dyDescent="0.3">
      <c r="C1673" s="6">
        <v>44273</v>
      </c>
      <c r="D1673" s="7" t="s">
        <v>181</v>
      </c>
      <c r="E1673" s="8">
        <v>2021</v>
      </c>
      <c r="F1673" s="9" t="s">
        <v>28</v>
      </c>
      <c r="G1673" s="9" t="s">
        <v>24</v>
      </c>
      <c r="H1673" s="10" t="s">
        <v>85</v>
      </c>
      <c r="I1673" s="7">
        <v>98</v>
      </c>
      <c r="J1673" s="11">
        <v>48</v>
      </c>
      <c r="K1673" s="11">
        <f t="shared" si="52"/>
        <v>4704</v>
      </c>
      <c r="L1673" s="11">
        <v>5.0000000745058101E-2</v>
      </c>
      <c r="M1673" s="11">
        <v>564.48</v>
      </c>
      <c r="N1673" s="11">
        <f t="shared" si="53"/>
        <v>5268.4299999992545</v>
      </c>
    </row>
    <row r="1674" spans="3:14" x14ac:dyDescent="0.3">
      <c r="C1674" s="6">
        <v>44274</v>
      </c>
      <c r="D1674" s="7" t="s">
        <v>181</v>
      </c>
      <c r="E1674" s="8">
        <v>2021</v>
      </c>
      <c r="F1674" s="9" t="s">
        <v>66</v>
      </c>
      <c r="G1674" s="9" t="s">
        <v>37</v>
      </c>
      <c r="H1674" s="10" t="s">
        <v>139</v>
      </c>
      <c r="I1674" s="7">
        <v>68</v>
      </c>
      <c r="J1674" s="11">
        <v>43</v>
      </c>
      <c r="K1674" s="11">
        <f t="shared" si="52"/>
        <v>2924</v>
      </c>
      <c r="L1674" s="11">
        <v>0</v>
      </c>
      <c r="M1674" s="11">
        <v>350.88</v>
      </c>
      <c r="N1674" s="11">
        <f t="shared" si="53"/>
        <v>3274.88</v>
      </c>
    </row>
    <row r="1675" spans="3:14" x14ac:dyDescent="0.3">
      <c r="C1675" s="6">
        <v>44274</v>
      </c>
      <c r="D1675" s="7" t="s">
        <v>181</v>
      </c>
      <c r="E1675" s="8">
        <v>2021</v>
      </c>
      <c r="F1675" s="9" t="s">
        <v>66</v>
      </c>
      <c r="G1675" s="9" t="s">
        <v>42</v>
      </c>
      <c r="H1675" s="10" t="s">
        <v>51</v>
      </c>
      <c r="I1675" s="7">
        <v>93</v>
      </c>
      <c r="J1675" s="11">
        <v>13</v>
      </c>
      <c r="K1675" s="11">
        <f t="shared" si="52"/>
        <v>1209</v>
      </c>
      <c r="L1675" s="11">
        <v>0</v>
      </c>
      <c r="M1675" s="11">
        <v>145.07999999999998</v>
      </c>
      <c r="N1675" s="11">
        <f t="shared" si="53"/>
        <v>1354.08</v>
      </c>
    </row>
    <row r="1676" spans="3:14" x14ac:dyDescent="0.3">
      <c r="C1676" s="6">
        <v>44274</v>
      </c>
      <c r="D1676" s="7" t="s">
        <v>181</v>
      </c>
      <c r="E1676" s="8">
        <v>2021</v>
      </c>
      <c r="F1676" s="9" t="s">
        <v>66</v>
      </c>
      <c r="G1676" s="9" t="s">
        <v>14</v>
      </c>
      <c r="H1676" s="10" t="s">
        <v>49</v>
      </c>
      <c r="I1676" s="7">
        <v>26</v>
      </c>
      <c r="J1676" s="11">
        <v>43</v>
      </c>
      <c r="K1676" s="11">
        <f t="shared" si="52"/>
        <v>1118</v>
      </c>
      <c r="L1676" s="11">
        <v>0</v>
      </c>
      <c r="M1676" s="11">
        <v>134.16</v>
      </c>
      <c r="N1676" s="11">
        <f t="shared" si="53"/>
        <v>1252.1600000000001</v>
      </c>
    </row>
    <row r="1677" spans="3:14" x14ac:dyDescent="0.3">
      <c r="C1677" s="6">
        <v>44274</v>
      </c>
      <c r="D1677" s="7" t="s">
        <v>181</v>
      </c>
      <c r="E1677" s="8">
        <v>2021</v>
      </c>
      <c r="F1677" s="9" t="s">
        <v>66</v>
      </c>
      <c r="G1677" s="9" t="s">
        <v>16</v>
      </c>
      <c r="H1677" s="10" t="s">
        <v>113</v>
      </c>
      <c r="I1677" s="7">
        <v>61</v>
      </c>
      <c r="J1677" s="11">
        <v>63</v>
      </c>
      <c r="K1677" s="11">
        <f t="shared" si="52"/>
        <v>3843</v>
      </c>
      <c r="L1677" s="11">
        <v>0</v>
      </c>
      <c r="M1677" s="11">
        <v>461.15999999999997</v>
      </c>
      <c r="N1677" s="11">
        <f t="shared" si="53"/>
        <v>4304.16</v>
      </c>
    </row>
    <row r="1678" spans="3:14" x14ac:dyDescent="0.3">
      <c r="C1678" s="6">
        <v>44275</v>
      </c>
      <c r="D1678" s="7" t="s">
        <v>181</v>
      </c>
      <c r="E1678" s="8">
        <v>2021</v>
      </c>
      <c r="F1678" s="9" t="s">
        <v>171</v>
      </c>
      <c r="G1678" s="9" t="s">
        <v>32</v>
      </c>
      <c r="H1678" s="10" t="s">
        <v>143</v>
      </c>
      <c r="I1678" s="7">
        <v>51</v>
      </c>
      <c r="J1678" s="11">
        <v>63</v>
      </c>
      <c r="K1678" s="11">
        <f t="shared" si="52"/>
        <v>3213</v>
      </c>
      <c r="L1678" s="11">
        <v>0</v>
      </c>
      <c r="M1678" s="11">
        <v>385.56</v>
      </c>
      <c r="N1678" s="11">
        <f t="shared" si="53"/>
        <v>3598.56</v>
      </c>
    </row>
    <row r="1679" spans="3:14" x14ac:dyDescent="0.3">
      <c r="C1679" s="6">
        <v>44275</v>
      </c>
      <c r="D1679" s="7" t="s">
        <v>181</v>
      </c>
      <c r="E1679" s="8">
        <v>2021</v>
      </c>
      <c r="F1679" s="9" t="s">
        <v>171</v>
      </c>
      <c r="G1679" s="9" t="s">
        <v>14</v>
      </c>
      <c r="H1679" s="10" t="s">
        <v>49</v>
      </c>
      <c r="I1679" s="7">
        <v>65</v>
      </c>
      <c r="J1679" s="11">
        <v>40</v>
      </c>
      <c r="K1679" s="11">
        <f t="shared" si="52"/>
        <v>2600</v>
      </c>
      <c r="L1679" s="11">
        <v>0</v>
      </c>
      <c r="M1679" s="11">
        <v>312</v>
      </c>
      <c r="N1679" s="11">
        <f t="shared" si="53"/>
        <v>2912</v>
      </c>
    </row>
    <row r="1680" spans="3:14" x14ac:dyDescent="0.3">
      <c r="C1680" s="6">
        <v>44275</v>
      </c>
      <c r="D1680" s="7" t="s">
        <v>181</v>
      </c>
      <c r="E1680" s="8">
        <v>2021</v>
      </c>
      <c r="F1680" s="9" t="s">
        <v>105</v>
      </c>
      <c r="G1680" s="9" t="s">
        <v>32</v>
      </c>
      <c r="H1680" s="10" t="s">
        <v>39</v>
      </c>
      <c r="I1680" s="7">
        <v>93</v>
      </c>
      <c r="J1680" s="11">
        <v>76</v>
      </c>
      <c r="K1680" s="11">
        <f t="shared" si="52"/>
        <v>7068</v>
      </c>
      <c r="L1680" s="11">
        <v>0</v>
      </c>
      <c r="M1680" s="11">
        <v>848.16</v>
      </c>
      <c r="N1680" s="11">
        <f t="shared" si="53"/>
        <v>7916.16</v>
      </c>
    </row>
    <row r="1681" spans="3:14" x14ac:dyDescent="0.3">
      <c r="C1681" s="6">
        <v>44275</v>
      </c>
      <c r="D1681" s="7" t="s">
        <v>181</v>
      </c>
      <c r="E1681" s="8">
        <v>2021</v>
      </c>
      <c r="F1681" s="9" t="s">
        <v>105</v>
      </c>
      <c r="G1681" s="9" t="s">
        <v>14</v>
      </c>
      <c r="H1681" s="10" t="s">
        <v>35</v>
      </c>
      <c r="I1681" s="7">
        <v>57</v>
      </c>
      <c r="J1681" s="11">
        <v>37</v>
      </c>
      <c r="K1681" s="11">
        <f t="shared" si="52"/>
        <v>2109</v>
      </c>
      <c r="L1681" s="11">
        <v>0</v>
      </c>
      <c r="M1681" s="11">
        <v>253.07999999999998</v>
      </c>
      <c r="N1681" s="11">
        <f t="shared" si="53"/>
        <v>2362.08</v>
      </c>
    </row>
    <row r="1682" spans="3:14" x14ac:dyDescent="0.3">
      <c r="C1682" s="6">
        <v>44276</v>
      </c>
      <c r="D1682" s="7" t="s">
        <v>181</v>
      </c>
      <c r="E1682" s="8">
        <v>2021</v>
      </c>
      <c r="F1682" s="9" t="s">
        <v>182</v>
      </c>
      <c r="G1682" s="9" t="s">
        <v>24</v>
      </c>
      <c r="H1682" s="10" t="s">
        <v>76</v>
      </c>
      <c r="I1682" s="7">
        <v>100</v>
      </c>
      <c r="J1682" s="11">
        <v>56</v>
      </c>
      <c r="K1682" s="11">
        <f t="shared" si="52"/>
        <v>5600</v>
      </c>
      <c r="L1682" s="11">
        <v>0</v>
      </c>
      <c r="M1682" s="11">
        <v>672</v>
      </c>
      <c r="N1682" s="11">
        <f t="shared" si="53"/>
        <v>6272</v>
      </c>
    </row>
    <row r="1683" spans="3:14" x14ac:dyDescent="0.3">
      <c r="C1683" s="6">
        <v>44279</v>
      </c>
      <c r="D1683" s="7" t="s">
        <v>181</v>
      </c>
      <c r="E1683" s="8">
        <v>2021</v>
      </c>
      <c r="F1683" s="9" t="s">
        <v>80</v>
      </c>
      <c r="G1683" s="9" t="s">
        <v>37</v>
      </c>
      <c r="H1683" s="10" t="s">
        <v>106</v>
      </c>
      <c r="I1683" s="7">
        <v>63</v>
      </c>
      <c r="J1683" s="11">
        <v>10</v>
      </c>
      <c r="K1683" s="11">
        <f t="shared" si="52"/>
        <v>630</v>
      </c>
      <c r="L1683" s="11">
        <v>5.0000000745058101E-2</v>
      </c>
      <c r="M1683" s="11">
        <v>75.599999999999994</v>
      </c>
      <c r="N1683" s="11">
        <f t="shared" si="53"/>
        <v>705.54999999925496</v>
      </c>
    </row>
    <row r="1684" spans="3:14" x14ac:dyDescent="0.3">
      <c r="C1684" s="6">
        <v>44279</v>
      </c>
      <c r="D1684" s="7" t="s">
        <v>181</v>
      </c>
      <c r="E1684" s="8">
        <v>2021</v>
      </c>
      <c r="F1684" s="9" t="s">
        <v>80</v>
      </c>
      <c r="G1684" s="9" t="s">
        <v>26</v>
      </c>
      <c r="H1684" s="10" t="s">
        <v>52</v>
      </c>
      <c r="I1684" s="7">
        <v>35</v>
      </c>
      <c r="J1684" s="11">
        <v>62</v>
      </c>
      <c r="K1684" s="11">
        <f t="shared" si="52"/>
        <v>2170</v>
      </c>
      <c r="L1684" s="11">
        <v>5.0000000745058101E-2</v>
      </c>
      <c r="M1684" s="11">
        <v>260.39999999999998</v>
      </c>
      <c r="N1684" s="11">
        <f t="shared" si="53"/>
        <v>2430.349999999255</v>
      </c>
    </row>
    <row r="1685" spans="3:14" x14ac:dyDescent="0.3">
      <c r="C1685" s="6">
        <v>44279</v>
      </c>
      <c r="D1685" s="7" t="s">
        <v>181</v>
      </c>
      <c r="E1685" s="8">
        <v>2021</v>
      </c>
      <c r="F1685" s="9" t="s">
        <v>111</v>
      </c>
      <c r="G1685" s="9" t="s">
        <v>32</v>
      </c>
      <c r="H1685" s="10" t="s">
        <v>59</v>
      </c>
      <c r="I1685" s="7">
        <v>37</v>
      </c>
      <c r="J1685" s="11">
        <v>15</v>
      </c>
      <c r="K1685" s="11">
        <f t="shared" si="52"/>
        <v>555</v>
      </c>
      <c r="L1685" s="11">
        <v>0</v>
      </c>
      <c r="M1685" s="11">
        <v>66.599999999999994</v>
      </c>
      <c r="N1685" s="11">
        <f t="shared" si="53"/>
        <v>621.6</v>
      </c>
    </row>
    <row r="1686" spans="3:14" x14ac:dyDescent="0.3">
      <c r="C1686" s="6">
        <v>44279</v>
      </c>
      <c r="D1686" s="7" t="s">
        <v>181</v>
      </c>
      <c r="E1686" s="8">
        <v>2021</v>
      </c>
      <c r="F1686" s="9" t="s">
        <v>111</v>
      </c>
      <c r="G1686" s="9" t="s">
        <v>24</v>
      </c>
      <c r="H1686" s="10" t="s">
        <v>76</v>
      </c>
      <c r="I1686" s="7">
        <v>82</v>
      </c>
      <c r="J1686" s="11">
        <v>100</v>
      </c>
      <c r="K1686" s="11">
        <f t="shared" si="52"/>
        <v>8200</v>
      </c>
      <c r="L1686" s="11">
        <v>0</v>
      </c>
      <c r="M1686" s="11">
        <v>984</v>
      </c>
      <c r="N1686" s="11">
        <f t="shared" si="53"/>
        <v>9184</v>
      </c>
    </row>
    <row r="1687" spans="3:14" x14ac:dyDescent="0.3">
      <c r="C1687" s="6">
        <v>44279</v>
      </c>
      <c r="D1687" s="7" t="s">
        <v>181</v>
      </c>
      <c r="E1687" s="8">
        <v>2021</v>
      </c>
      <c r="F1687" s="9" t="s">
        <v>111</v>
      </c>
      <c r="G1687" s="9" t="s">
        <v>20</v>
      </c>
      <c r="H1687" s="10" t="s">
        <v>22</v>
      </c>
      <c r="I1687" s="7">
        <v>41</v>
      </c>
      <c r="J1687" s="11">
        <v>98</v>
      </c>
      <c r="K1687" s="11">
        <f t="shared" si="52"/>
        <v>4018</v>
      </c>
      <c r="L1687" s="11">
        <v>0</v>
      </c>
      <c r="M1687" s="11">
        <v>482.15999999999997</v>
      </c>
      <c r="N1687" s="11">
        <f t="shared" si="53"/>
        <v>4500.16</v>
      </c>
    </row>
    <row r="1688" spans="3:14" x14ac:dyDescent="0.3">
      <c r="C1688" s="6">
        <v>44280</v>
      </c>
      <c r="D1688" s="7" t="s">
        <v>181</v>
      </c>
      <c r="E1688" s="8">
        <v>2021</v>
      </c>
      <c r="F1688" s="9" t="s">
        <v>169</v>
      </c>
      <c r="G1688" s="9" t="s">
        <v>37</v>
      </c>
      <c r="H1688" s="10" t="s">
        <v>46</v>
      </c>
      <c r="I1688" s="7">
        <v>28</v>
      </c>
      <c r="J1688" s="11">
        <v>20</v>
      </c>
      <c r="K1688" s="11">
        <f t="shared" si="52"/>
        <v>560</v>
      </c>
      <c r="L1688" s="11">
        <v>0.10000000149011599</v>
      </c>
      <c r="M1688" s="11">
        <v>67.2</v>
      </c>
      <c r="N1688" s="11">
        <f t="shared" si="53"/>
        <v>627.09999999850993</v>
      </c>
    </row>
    <row r="1689" spans="3:14" x14ac:dyDescent="0.3">
      <c r="C1689" s="6">
        <v>44280</v>
      </c>
      <c r="D1689" s="7" t="s">
        <v>181</v>
      </c>
      <c r="E1689" s="8">
        <v>2021</v>
      </c>
      <c r="F1689" s="9" t="s">
        <v>169</v>
      </c>
      <c r="G1689" s="9" t="s">
        <v>26</v>
      </c>
      <c r="H1689" s="10" t="s">
        <v>112</v>
      </c>
      <c r="I1689" s="7">
        <v>72</v>
      </c>
      <c r="J1689" s="11">
        <v>44</v>
      </c>
      <c r="K1689" s="11">
        <f t="shared" si="52"/>
        <v>3168</v>
      </c>
      <c r="L1689" s="11">
        <v>0.10000000149011599</v>
      </c>
      <c r="M1689" s="11">
        <v>380.15999999999997</v>
      </c>
      <c r="N1689" s="11">
        <f t="shared" si="53"/>
        <v>3548.0599999985097</v>
      </c>
    </row>
    <row r="1690" spans="3:14" x14ac:dyDescent="0.3">
      <c r="C1690" s="6">
        <v>44280</v>
      </c>
      <c r="D1690" s="7" t="s">
        <v>181</v>
      </c>
      <c r="E1690" s="8">
        <v>2021</v>
      </c>
      <c r="F1690" s="9" t="s">
        <v>169</v>
      </c>
      <c r="G1690" s="9" t="s">
        <v>42</v>
      </c>
      <c r="H1690" s="10" t="s">
        <v>43</v>
      </c>
      <c r="I1690" s="7">
        <v>55</v>
      </c>
      <c r="J1690" s="11">
        <v>69</v>
      </c>
      <c r="K1690" s="11">
        <f t="shared" si="52"/>
        <v>3795</v>
      </c>
      <c r="L1690" s="11">
        <v>0.10000000149011599</v>
      </c>
      <c r="M1690" s="11">
        <v>455.4</v>
      </c>
      <c r="N1690" s="11">
        <f t="shared" si="53"/>
        <v>4250.2999999985095</v>
      </c>
    </row>
    <row r="1691" spans="3:14" x14ac:dyDescent="0.3">
      <c r="C1691" s="6">
        <v>44280</v>
      </c>
      <c r="D1691" s="7" t="s">
        <v>181</v>
      </c>
      <c r="E1691" s="8">
        <v>2021</v>
      </c>
      <c r="F1691" s="9" t="s">
        <v>169</v>
      </c>
      <c r="G1691" s="9" t="s">
        <v>37</v>
      </c>
      <c r="H1691" s="10" t="s">
        <v>63</v>
      </c>
      <c r="I1691" s="7">
        <v>21</v>
      </c>
      <c r="J1691" s="11">
        <v>65</v>
      </c>
      <c r="K1691" s="11">
        <f t="shared" si="52"/>
        <v>1365</v>
      </c>
      <c r="L1691" s="11">
        <v>0.10000000149011599</v>
      </c>
      <c r="M1691" s="11">
        <v>163.79999999999998</v>
      </c>
      <c r="N1691" s="11">
        <f t="shared" si="53"/>
        <v>1528.6999999985098</v>
      </c>
    </row>
    <row r="1692" spans="3:14" x14ac:dyDescent="0.3">
      <c r="C1692" s="6">
        <v>44281</v>
      </c>
      <c r="D1692" s="7" t="s">
        <v>181</v>
      </c>
      <c r="E1692" s="8">
        <v>2021</v>
      </c>
      <c r="F1692" s="9" t="s">
        <v>53</v>
      </c>
      <c r="G1692" s="9" t="s">
        <v>14</v>
      </c>
      <c r="H1692" s="10" t="s">
        <v>15</v>
      </c>
      <c r="I1692" s="7">
        <v>74</v>
      </c>
      <c r="J1692" s="11">
        <v>98</v>
      </c>
      <c r="K1692" s="11">
        <f t="shared" si="52"/>
        <v>7252</v>
      </c>
      <c r="L1692" s="11">
        <v>0</v>
      </c>
      <c r="M1692" s="11">
        <v>870.24</v>
      </c>
      <c r="N1692" s="11">
        <f t="shared" si="53"/>
        <v>8122.24</v>
      </c>
    </row>
    <row r="1693" spans="3:14" x14ac:dyDescent="0.3">
      <c r="C1693" s="6">
        <v>44281</v>
      </c>
      <c r="D1693" s="7" t="s">
        <v>181</v>
      </c>
      <c r="E1693" s="8">
        <v>2021</v>
      </c>
      <c r="F1693" s="9" t="s">
        <v>53</v>
      </c>
      <c r="G1693" s="9" t="s">
        <v>20</v>
      </c>
      <c r="H1693" s="10" t="s">
        <v>22</v>
      </c>
      <c r="I1693" s="7">
        <v>71</v>
      </c>
      <c r="J1693" s="11">
        <v>39</v>
      </c>
      <c r="K1693" s="11">
        <f t="shared" si="52"/>
        <v>2769</v>
      </c>
      <c r="L1693" s="11">
        <v>0</v>
      </c>
      <c r="M1693" s="11">
        <v>332.28</v>
      </c>
      <c r="N1693" s="11">
        <f t="shared" si="53"/>
        <v>3101.2799999999997</v>
      </c>
    </row>
    <row r="1694" spans="3:14" x14ac:dyDescent="0.3">
      <c r="C1694" s="6">
        <v>44281</v>
      </c>
      <c r="D1694" s="7" t="s">
        <v>181</v>
      </c>
      <c r="E1694" s="8">
        <v>2021</v>
      </c>
      <c r="F1694" s="9" t="s">
        <v>53</v>
      </c>
      <c r="G1694" s="9" t="s">
        <v>20</v>
      </c>
      <c r="H1694" s="10" t="s">
        <v>44</v>
      </c>
      <c r="I1694" s="7">
        <v>19</v>
      </c>
      <c r="J1694" s="11">
        <v>90</v>
      </c>
      <c r="K1694" s="11">
        <f t="shared" si="52"/>
        <v>1710</v>
      </c>
      <c r="L1694" s="11">
        <v>0</v>
      </c>
      <c r="M1694" s="11">
        <v>205.2</v>
      </c>
      <c r="N1694" s="11">
        <f t="shared" si="53"/>
        <v>1915.2</v>
      </c>
    </row>
    <row r="1695" spans="3:14" x14ac:dyDescent="0.3">
      <c r="C1695" s="6">
        <v>44281</v>
      </c>
      <c r="D1695" s="7" t="s">
        <v>181</v>
      </c>
      <c r="E1695" s="8">
        <v>2021</v>
      </c>
      <c r="F1695" s="9" t="s">
        <v>161</v>
      </c>
      <c r="G1695" s="9" t="s">
        <v>32</v>
      </c>
      <c r="H1695" s="10" t="s">
        <v>100</v>
      </c>
      <c r="I1695" s="7">
        <v>52</v>
      </c>
      <c r="J1695" s="11">
        <v>62</v>
      </c>
      <c r="K1695" s="11">
        <f t="shared" si="52"/>
        <v>3224</v>
      </c>
      <c r="L1695" s="11">
        <v>0</v>
      </c>
      <c r="M1695" s="11">
        <v>386.88</v>
      </c>
      <c r="N1695" s="11">
        <f t="shared" si="53"/>
        <v>3610.88</v>
      </c>
    </row>
    <row r="1696" spans="3:14" x14ac:dyDescent="0.3">
      <c r="C1696" s="6">
        <v>44281</v>
      </c>
      <c r="D1696" s="7" t="s">
        <v>181</v>
      </c>
      <c r="E1696" s="8">
        <v>2021</v>
      </c>
      <c r="F1696" s="9" t="s">
        <v>161</v>
      </c>
      <c r="G1696" s="9" t="s">
        <v>32</v>
      </c>
      <c r="H1696" s="10" t="s">
        <v>140</v>
      </c>
      <c r="I1696" s="7">
        <v>53</v>
      </c>
      <c r="J1696" s="11">
        <v>100</v>
      </c>
      <c r="K1696" s="11">
        <f t="shared" si="52"/>
        <v>5300</v>
      </c>
      <c r="L1696" s="11">
        <v>0</v>
      </c>
      <c r="M1696" s="11">
        <v>636</v>
      </c>
      <c r="N1696" s="11">
        <f t="shared" si="53"/>
        <v>5936</v>
      </c>
    </row>
    <row r="1697" spans="3:14" x14ac:dyDescent="0.3">
      <c r="C1697" s="6">
        <v>44281</v>
      </c>
      <c r="D1697" s="7" t="s">
        <v>181</v>
      </c>
      <c r="E1697" s="8">
        <v>2021</v>
      </c>
      <c r="F1697" s="9" t="s">
        <v>161</v>
      </c>
      <c r="G1697" s="9" t="s">
        <v>42</v>
      </c>
      <c r="H1697" s="10" t="s">
        <v>109</v>
      </c>
      <c r="I1697" s="7">
        <v>46</v>
      </c>
      <c r="J1697" s="11">
        <v>96</v>
      </c>
      <c r="K1697" s="11">
        <f t="shared" si="52"/>
        <v>4416</v>
      </c>
      <c r="L1697" s="11">
        <v>0.25</v>
      </c>
      <c r="M1697" s="11">
        <v>529.91999999999996</v>
      </c>
      <c r="N1697" s="11">
        <f t="shared" si="53"/>
        <v>4945.67</v>
      </c>
    </row>
    <row r="1698" spans="3:14" x14ac:dyDescent="0.3">
      <c r="C1698" s="6">
        <v>44282</v>
      </c>
      <c r="D1698" s="7" t="s">
        <v>181</v>
      </c>
      <c r="E1698" s="8">
        <v>2021</v>
      </c>
      <c r="F1698" s="9" t="s">
        <v>75</v>
      </c>
      <c r="G1698" s="9" t="s">
        <v>14</v>
      </c>
      <c r="H1698" s="10" t="s">
        <v>49</v>
      </c>
      <c r="I1698" s="7">
        <v>69</v>
      </c>
      <c r="J1698" s="11">
        <v>75</v>
      </c>
      <c r="K1698" s="11">
        <f t="shared" si="52"/>
        <v>5175</v>
      </c>
      <c r="L1698" s="11">
        <v>0</v>
      </c>
      <c r="M1698" s="11">
        <v>621</v>
      </c>
      <c r="N1698" s="11">
        <f t="shared" si="53"/>
        <v>5796</v>
      </c>
    </row>
    <row r="1699" spans="3:14" x14ac:dyDescent="0.3">
      <c r="C1699" s="6">
        <v>44282</v>
      </c>
      <c r="D1699" s="7" t="s">
        <v>181</v>
      </c>
      <c r="E1699" s="8">
        <v>2021</v>
      </c>
      <c r="F1699" s="9" t="s">
        <v>75</v>
      </c>
      <c r="G1699" s="9" t="s">
        <v>24</v>
      </c>
      <c r="H1699" s="10" t="s">
        <v>96</v>
      </c>
      <c r="I1699" s="7">
        <v>15</v>
      </c>
      <c r="J1699" s="11">
        <v>33</v>
      </c>
      <c r="K1699" s="11">
        <f t="shared" si="52"/>
        <v>495</v>
      </c>
      <c r="L1699" s="11">
        <v>0.20000000298023199</v>
      </c>
      <c r="M1699" s="11">
        <v>59.4</v>
      </c>
      <c r="N1699" s="11">
        <f t="shared" si="53"/>
        <v>554.19999999701975</v>
      </c>
    </row>
    <row r="1700" spans="3:14" x14ac:dyDescent="0.3">
      <c r="C1700" s="6">
        <v>44283</v>
      </c>
      <c r="D1700" s="7" t="s">
        <v>181</v>
      </c>
      <c r="E1700" s="8">
        <v>2021</v>
      </c>
      <c r="F1700" s="9" t="s">
        <v>152</v>
      </c>
      <c r="G1700" s="9" t="s">
        <v>14</v>
      </c>
      <c r="H1700" s="10" t="s">
        <v>15</v>
      </c>
      <c r="I1700" s="7">
        <v>63</v>
      </c>
      <c r="J1700" s="11">
        <v>55</v>
      </c>
      <c r="K1700" s="11">
        <f t="shared" si="52"/>
        <v>3465</v>
      </c>
      <c r="L1700" s="11">
        <v>0.25</v>
      </c>
      <c r="M1700" s="11">
        <v>415.8</v>
      </c>
      <c r="N1700" s="11">
        <f t="shared" si="53"/>
        <v>3880.55</v>
      </c>
    </row>
    <row r="1701" spans="3:14" x14ac:dyDescent="0.3">
      <c r="C1701" s="6">
        <v>44283</v>
      </c>
      <c r="D1701" s="7" t="s">
        <v>181</v>
      </c>
      <c r="E1701" s="8">
        <v>2021</v>
      </c>
      <c r="F1701" s="9" t="s">
        <v>152</v>
      </c>
      <c r="G1701" s="9" t="s">
        <v>32</v>
      </c>
      <c r="H1701" s="10" t="s">
        <v>47</v>
      </c>
      <c r="I1701" s="7">
        <v>77</v>
      </c>
      <c r="J1701" s="11">
        <v>86</v>
      </c>
      <c r="K1701" s="11">
        <f t="shared" si="52"/>
        <v>6622</v>
      </c>
      <c r="L1701" s="11">
        <v>0</v>
      </c>
      <c r="M1701" s="11">
        <v>794.64</v>
      </c>
      <c r="N1701" s="11">
        <f t="shared" si="53"/>
        <v>7416.64</v>
      </c>
    </row>
    <row r="1702" spans="3:14" x14ac:dyDescent="0.3">
      <c r="C1702" s="6">
        <v>44286</v>
      </c>
      <c r="D1702" s="7" t="s">
        <v>181</v>
      </c>
      <c r="E1702" s="8">
        <v>2021</v>
      </c>
      <c r="F1702" s="9" t="s">
        <v>53</v>
      </c>
      <c r="G1702" s="9" t="s">
        <v>14</v>
      </c>
      <c r="H1702" s="10" t="s">
        <v>49</v>
      </c>
      <c r="I1702" s="7">
        <v>50</v>
      </c>
      <c r="J1702" s="11">
        <v>51</v>
      </c>
      <c r="K1702" s="11">
        <f t="shared" si="52"/>
        <v>2550</v>
      </c>
      <c r="L1702" s="11">
        <v>0</v>
      </c>
      <c r="M1702" s="11">
        <v>306</v>
      </c>
      <c r="N1702" s="11">
        <f t="shared" si="53"/>
        <v>2856</v>
      </c>
    </row>
    <row r="1703" spans="3:14" x14ac:dyDescent="0.3">
      <c r="C1703" s="6">
        <v>44286</v>
      </c>
      <c r="D1703" s="7" t="s">
        <v>181</v>
      </c>
      <c r="E1703" s="8">
        <v>2021</v>
      </c>
      <c r="F1703" s="9" t="s">
        <v>53</v>
      </c>
      <c r="G1703" s="9" t="s">
        <v>32</v>
      </c>
      <c r="H1703" s="10" t="s">
        <v>110</v>
      </c>
      <c r="I1703" s="7">
        <v>89</v>
      </c>
      <c r="J1703" s="11">
        <v>57</v>
      </c>
      <c r="K1703" s="11">
        <f t="shared" si="52"/>
        <v>5073</v>
      </c>
      <c r="L1703" s="11">
        <v>0</v>
      </c>
      <c r="M1703" s="11">
        <v>608.76</v>
      </c>
      <c r="N1703" s="11">
        <f t="shared" si="53"/>
        <v>5681.76</v>
      </c>
    </row>
    <row r="1704" spans="3:14" x14ac:dyDescent="0.3">
      <c r="C1704" s="6">
        <v>44286</v>
      </c>
      <c r="D1704" s="7" t="s">
        <v>181</v>
      </c>
      <c r="E1704" s="8">
        <v>2021</v>
      </c>
      <c r="F1704" s="9" t="s">
        <v>53</v>
      </c>
      <c r="G1704" s="9" t="s">
        <v>37</v>
      </c>
      <c r="H1704" s="10" t="s">
        <v>98</v>
      </c>
      <c r="I1704" s="7">
        <v>67</v>
      </c>
      <c r="J1704" s="11">
        <v>64</v>
      </c>
      <c r="K1704" s="11">
        <f t="shared" si="52"/>
        <v>4288</v>
      </c>
      <c r="L1704" s="11">
        <v>0</v>
      </c>
      <c r="M1704" s="11">
        <v>514.55999999999995</v>
      </c>
      <c r="N1704" s="11">
        <f t="shared" si="53"/>
        <v>4802.5599999999995</v>
      </c>
    </row>
    <row r="1705" spans="3:14" x14ac:dyDescent="0.3">
      <c r="C1705" s="6">
        <v>44286</v>
      </c>
      <c r="D1705" s="7" t="s">
        <v>181</v>
      </c>
      <c r="E1705" s="8">
        <v>2021</v>
      </c>
      <c r="F1705" s="9" t="s">
        <v>138</v>
      </c>
      <c r="G1705" s="9" t="s">
        <v>26</v>
      </c>
      <c r="H1705" s="10" t="s">
        <v>94</v>
      </c>
      <c r="I1705" s="7">
        <v>27</v>
      </c>
      <c r="J1705" s="11">
        <v>69</v>
      </c>
      <c r="K1705" s="11">
        <f t="shared" si="52"/>
        <v>1863</v>
      </c>
      <c r="L1705" s="11">
        <v>0.15000000596046401</v>
      </c>
      <c r="M1705" s="11">
        <v>223.56</v>
      </c>
      <c r="N1705" s="11">
        <f t="shared" si="53"/>
        <v>2086.4099999940395</v>
      </c>
    </row>
    <row r="1706" spans="3:14" x14ac:dyDescent="0.3">
      <c r="C1706" s="6">
        <v>44286</v>
      </c>
      <c r="D1706" s="7" t="s">
        <v>181</v>
      </c>
      <c r="E1706" s="8">
        <v>2021</v>
      </c>
      <c r="F1706" s="9" t="s">
        <v>138</v>
      </c>
      <c r="G1706" s="9" t="s">
        <v>26</v>
      </c>
      <c r="H1706" s="10" t="s">
        <v>52</v>
      </c>
      <c r="I1706" s="7">
        <v>44</v>
      </c>
      <c r="J1706" s="11">
        <v>39</v>
      </c>
      <c r="K1706" s="11">
        <f t="shared" si="52"/>
        <v>1716</v>
      </c>
      <c r="L1706" s="11">
        <v>0.15000000596046401</v>
      </c>
      <c r="M1706" s="11">
        <v>205.92</v>
      </c>
      <c r="N1706" s="11">
        <f t="shared" si="53"/>
        <v>1921.7699999940396</v>
      </c>
    </row>
    <row r="1707" spans="3:14" x14ac:dyDescent="0.3">
      <c r="C1707" s="6">
        <v>44287</v>
      </c>
      <c r="D1707" s="7" t="s">
        <v>183</v>
      </c>
      <c r="E1707" s="8">
        <v>2021</v>
      </c>
      <c r="F1707" s="9" t="s">
        <v>166</v>
      </c>
      <c r="G1707" s="9" t="s">
        <v>32</v>
      </c>
      <c r="H1707" s="10" t="s">
        <v>134</v>
      </c>
      <c r="I1707" s="7">
        <v>27</v>
      </c>
      <c r="J1707" s="11">
        <v>20</v>
      </c>
      <c r="K1707" s="11">
        <f t="shared" si="52"/>
        <v>540</v>
      </c>
      <c r="L1707" s="11">
        <v>5.0000000745058101E-2</v>
      </c>
      <c r="M1707" s="11">
        <v>64.8</v>
      </c>
      <c r="N1707" s="11">
        <f t="shared" si="53"/>
        <v>604.7499999992549</v>
      </c>
    </row>
    <row r="1708" spans="3:14" x14ac:dyDescent="0.3">
      <c r="C1708" s="6">
        <v>44287</v>
      </c>
      <c r="D1708" s="7" t="s">
        <v>183</v>
      </c>
      <c r="E1708" s="8">
        <v>2021</v>
      </c>
      <c r="F1708" s="9" t="s">
        <v>166</v>
      </c>
      <c r="G1708" s="9" t="s">
        <v>16</v>
      </c>
      <c r="H1708" s="10" t="s">
        <v>17</v>
      </c>
      <c r="I1708" s="7">
        <v>21</v>
      </c>
      <c r="J1708" s="11">
        <v>27</v>
      </c>
      <c r="K1708" s="11">
        <f t="shared" si="52"/>
        <v>567</v>
      </c>
      <c r="L1708" s="11">
        <v>5.0000000745058101E-2</v>
      </c>
      <c r="M1708" s="11">
        <v>68.039999999999992</v>
      </c>
      <c r="N1708" s="11">
        <f t="shared" si="53"/>
        <v>634.98999999925491</v>
      </c>
    </row>
    <row r="1709" spans="3:14" x14ac:dyDescent="0.3">
      <c r="C1709" s="6">
        <v>44288</v>
      </c>
      <c r="D1709" s="7" t="s">
        <v>183</v>
      </c>
      <c r="E1709" s="8">
        <v>2021</v>
      </c>
      <c r="F1709" s="9" t="s">
        <v>150</v>
      </c>
      <c r="G1709" s="9" t="s">
        <v>26</v>
      </c>
      <c r="H1709" s="10" t="s">
        <v>27</v>
      </c>
      <c r="I1709" s="7">
        <v>20</v>
      </c>
      <c r="J1709" s="11">
        <v>88</v>
      </c>
      <c r="K1709" s="11">
        <f t="shared" si="52"/>
        <v>1760</v>
      </c>
      <c r="L1709" s="11">
        <v>0.10000000149011599</v>
      </c>
      <c r="M1709" s="11">
        <v>211.2</v>
      </c>
      <c r="N1709" s="11">
        <f t="shared" si="53"/>
        <v>1971.0999999985099</v>
      </c>
    </row>
    <row r="1710" spans="3:14" x14ac:dyDescent="0.3">
      <c r="C1710" s="6">
        <v>44288</v>
      </c>
      <c r="D1710" s="7" t="s">
        <v>183</v>
      </c>
      <c r="E1710" s="8">
        <v>2021</v>
      </c>
      <c r="F1710" s="9" t="s">
        <v>150</v>
      </c>
      <c r="G1710" s="9" t="s">
        <v>26</v>
      </c>
      <c r="H1710" s="10" t="s">
        <v>119</v>
      </c>
      <c r="I1710" s="7">
        <v>19</v>
      </c>
      <c r="J1710" s="11">
        <v>15</v>
      </c>
      <c r="K1710" s="11">
        <f t="shared" si="52"/>
        <v>285</v>
      </c>
      <c r="L1710" s="11">
        <v>0.10000000149011599</v>
      </c>
      <c r="M1710" s="11">
        <v>34.199999999999996</v>
      </c>
      <c r="N1710" s="11">
        <f t="shared" si="53"/>
        <v>319.09999999850987</v>
      </c>
    </row>
    <row r="1711" spans="3:14" x14ac:dyDescent="0.3">
      <c r="C1711" s="6">
        <v>44288</v>
      </c>
      <c r="D1711" s="7" t="s">
        <v>183</v>
      </c>
      <c r="E1711" s="8">
        <v>2021</v>
      </c>
      <c r="F1711" s="9" t="s">
        <v>150</v>
      </c>
      <c r="G1711" s="9" t="s">
        <v>14</v>
      </c>
      <c r="H1711" s="10" t="s">
        <v>117</v>
      </c>
      <c r="I1711" s="7">
        <v>80</v>
      </c>
      <c r="J1711" s="11">
        <v>33</v>
      </c>
      <c r="K1711" s="11">
        <f t="shared" si="52"/>
        <v>2640</v>
      </c>
      <c r="L1711" s="11">
        <v>0.10000000149011599</v>
      </c>
      <c r="M1711" s="11">
        <v>316.8</v>
      </c>
      <c r="N1711" s="11">
        <f t="shared" si="53"/>
        <v>2956.6999999985101</v>
      </c>
    </row>
    <row r="1712" spans="3:14" x14ac:dyDescent="0.3">
      <c r="C1712" s="6">
        <v>44288</v>
      </c>
      <c r="D1712" s="7" t="s">
        <v>183</v>
      </c>
      <c r="E1712" s="8">
        <v>2021</v>
      </c>
      <c r="F1712" s="9" t="s">
        <v>114</v>
      </c>
      <c r="G1712" s="9" t="s">
        <v>16</v>
      </c>
      <c r="H1712" s="10" t="s">
        <v>68</v>
      </c>
      <c r="I1712" s="7">
        <v>28</v>
      </c>
      <c r="J1712" s="11">
        <v>75</v>
      </c>
      <c r="K1712" s="11">
        <f t="shared" si="52"/>
        <v>2100</v>
      </c>
      <c r="L1712" s="11">
        <v>0</v>
      </c>
      <c r="M1712" s="11">
        <v>252</v>
      </c>
      <c r="N1712" s="11">
        <f t="shared" si="53"/>
        <v>2352</v>
      </c>
    </row>
    <row r="1713" spans="3:14" x14ac:dyDescent="0.3">
      <c r="C1713" s="6">
        <v>44289</v>
      </c>
      <c r="D1713" s="7" t="s">
        <v>183</v>
      </c>
      <c r="E1713" s="8">
        <v>2021</v>
      </c>
      <c r="F1713" s="9" t="s">
        <v>184</v>
      </c>
      <c r="G1713" s="9" t="s">
        <v>16</v>
      </c>
      <c r="H1713" s="10" t="s">
        <v>145</v>
      </c>
      <c r="I1713" s="7">
        <v>88</v>
      </c>
      <c r="J1713" s="11">
        <v>27</v>
      </c>
      <c r="K1713" s="11">
        <f t="shared" si="52"/>
        <v>2376</v>
      </c>
      <c r="L1713" s="11">
        <v>0</v>
      </c>
      <c r="M1713" s="11">
        <v>285.12</v>
      </c>
      <c r="N1713" s="11">
        <f t="shared" si="53"/>
        <v>2661.12</v>
      </c>
    </row>
    <row r="1714" spans="3:14" x14ac:dyDescent="0.3">
      <c r="C1714" s="6">
        <v>44289</v>
      </c>
      <c r="D1714" s="7" t="s">
        <v>183</v>
      </c>
      <c r="E1714" s="8">
        <v>2021</v>
      </c>
      <c r="F1714" s="9" t="s">
        <v>184</v>
      </c>
      <c r="G1714" s="9" t="s">
        <v>24</v>
      </c>
      <c r="H1714" s="10" t="s">
        <v>25</v>
      </c>
      <c r="I1714" s="7">
        <v>83</v>
      </c>
      <c r="J1714" s="11">
        <v>23</v>
      </c>
      <c r="K1714" s="11">
        <f t="shared" si="52"/>
        <v>1909</v>
      </c>
      <c r="L1714" s="11">
        <v>0</v>
      </c>
      <c r="M1714" s="11">
        <v>229.07999999999998</v>
      </c>
      <c r="N1714" s="11">
        <f t="shared" si="53"/>
        <v>2138.08</v>
      </c>
    </row>
    <row r="1715" spans="3:14" x14ac:dyDescent="0.3">
      <c r="C1715" s="6">
        <v>44289</v>
      </c>
      <c r="D1715" s="7" t="s">
        <v>183</v>
      </c>
      <c r="E1715" s="8">
        <v>2021</v>
      </c>
      <c r="F1715" s="9" t="s">
        <v>184</v>
      </c>
      <c r="G1715" s="9" t="s">
        <v>26</v>
      </c>
      <c r="H1715" s="10" t="s">
        <v>52</v>
      </c>
      <c r="I1715" s="7">
        <v>12</v>
      </c>
      <c r="J1715" s="11">
        <v>20</v>
      </c>
      <c r="K1715" s="11">
        <f t="shared" si="52"/>
        <v>240</v>
      </c>
      <c r="L1715" s="11">
        <v>0</v>
      </c>
      <c r="M1715" s="11">
        <v>28.799999999999997</v>
      </c>
      <c r="N1715" s="11">
        <f t="shared" si="53"/>
        <v>268.8</v>
      </c>
    </row>
    <row r="1716" spans="3:14" x14ac:dyDescent="0.3">
      <c r="C1716" s="6">
        <v>44290</v>
      </c>
      <c r="D1716" s="7" t="s">
        <v>183</v>
      </c>
      <c r="E1716" s="8">
        <v>2021</v>
      </c>
      <c r="F1716" s="9" t="s">
        <v>19</v>
      </c>
      <c r="G1716" s="9" t="s">
        <v>14</v>
      </c>
      <c r="H1716" s="10" t="s">
        <v>36</v>
      </c>
      <c r="I1716" s="7">
        <v>98</v>
      </c>
      <c r="J1716" s="11">
        <v>54</v>
      </c>
      <c r="K1716" s="11">
        <f t="shared" si="52"/>
        <v>5292</v>
      </c>
      <c r="L1716" s="11">
        <v>5.0000000745058101E-2</v>
      </c>
      <c r="M1716" s="11">
        <v>635.04</v>
      </c>
      <c r="N1716" s="11">
        <f t="shared" si="53"/>
        <v>5926.9899999992549</v>
      </c>
    </row>
    <row r="1717" spans="3:14" x14ac:dyDescent="0.3">
      <c r="C1717" s="6">
        <v>44290</v>
      </c>
      <c r="D1717" s="7" t="s">
        <v>183</v>
      </c>
      <c r="E1717" s="8">
        <v>2021</v>
      </c>
      <c r="F1717" s="9" t="s">
        <v>97</v>
      </c>
      <c r="G1717" s="9" t="s">
        <v>16</v>
      </c>
      <c r="H1717" s="10" t="s">
        <v>68</v>
      </c>
      <c r="I1717" s="7">
        <v>59</v>
      </c>
      <c r="J1717" s="11">
        <v>65</v>
      </c>
      <c r="K1717" s="11">
        <f t="shared" si="52"/>
        <v>3835</v>
      </c>
      <c r="L1717" s="11">
        <v>0</v>
      </c>
      <c r="M1717" s="11">
        <v>460.2</v>
      </c>
      <c r="N1717" s="11">
        <f t="shared" si="53"/>
        <v>4295.2</v>
      </c>
    </row>
    <row r="1718" spans="3:14" x14ac:dyDescent="0.3">
      <c r="C1718" s="6">
        <v>44290</v>
      </c>
      <c r="D1718" s="7" t="s">
        <v>183</v>
      </c>
      <c r="E1718" s="8">
        <v>2021</v>
      </c>
      <c r="F1718" s="9" t="s">
        <v>97</v>
      </c>
      <c r="G1718" s="9" t="s">
        <v>14</v>
      </c>
      <c r="H1718" s="10" t="s">
        <v>18</v>
      </c>
      <c r="I1718" s="7">
        <v>2</v>
      </c>
      <c r="J1718" s="11">
        <v>92</v>
      </c>
      <c r="K1718" s="11">
        <f t="shared" si="52"/>
        <v>184</v>
      </c>
      <c r="L1718" s="11">
        <v>0</v>
      </c>
      <c r="M1718" s="11">
        <v>22.08</v>
      </c>
      <c r="N1718" s="11">
        <f t="shared" si="53"/>
        <v>206.07999999999998</v>
      </c>
    </row>
    <row r="1719" spans="3:14" x14ac:dyDescent="0.3">
      <c r="C1719" s="6">
        <v>44290</v>
      </c>
      <c r="D1719" s="7" t="s">
        <v>183</v>
      </c>
      <c r="E1719" s="8">
        <v>2021</v>
      </c>
      <c r="F1719" s="9" t="s">
        <v>97</v>
      </c>
      <c r="G1719" s="9" t="s">
        <v>26</v>
      </c>
      <c r="H1719" s="10" t="s">
        <v>52</v>
      </c>
      <c r="I1719" s="7">
        <v>25</v>
      </c>
      <c r="J1719" s="11">
        <v>57</v>
      </c>
      <c r="K1719" s="11">
        <f t="shared" si="52"/>
        <v>1425</v>
      </c>
      <c r="L1719" s="11">
        <v>0</v>
      </c>
      <c r="M1719" s="11">
        <v>171</v>
      </c>
      <c r="N1719" s="11">
        <f t="shared" si="53"/>
        <v>1596</v>
      </c>
    </row>
    <row r="1720" spans="3:14" x14ac:dyDescent="0.3">
      <c r="C1720" s="6">
        <v>44293</v>
      </c>
      <c r="D1720" s="7" t="s">
        <v>183</v>
      </c>
      <c r="E1720" s="8">
        <v>2021</v>
      </c>
      <c r="F1720" s="9" t="s">
        <v>53</v>
      </c>
      <c r="G1720" s="9" t="s">
        <v>37</v>
      </c>
      <c r="H1720" s="10" t="s">
        <v>41</v>
      </c>
      <c r="I1720" s="7">
        <v>27</v>
      </c>
      <c r="J1720" s="11">
        <v>83</v>
      </c>
      <c r="K1720" s="11">
        <f t="shared" si="52"/>
        <v>2241</v>
      </c>
      <c r="L1720" s="11">
        <v>0</v>
      </c>
      <c r="M1720" s="11">
        <v>268.92</v>
      </c>
      <c r="N1720" s="11">
        <f t="shared" si="53"/>
        <v>2509.92</v>
      </c>
    </row>
    <row r="1721" spans="3:14" x14ac:dyDescent="0.3">
      <c r="C1721" s="6">
        <v>44293</v>
      </c>
      <c r="D1721" s="7" t="s">
        <v>183</v>
      </c>
      <c r="E1721" s="8">
        <v>2021</v>
      </c>
      <c r="F1721" s="9" t="s">
        <v>53</v>
      </c>
      <c r="G1721" s="9" t="s">
        <v>24</v>
      </c>
      <c r="H1721" s="10" t="s">
        <v>76</v>
      </c>
      <c r="I1721" s="7">
        <v>96</v>
      </c>
      <c r="J1721" s="11">
        <v>67</v>
      </c>
      <c r="K1721" s="11">
        <f t="shared" si="52"/>
        <v>6432</v>
      </c>
      <c r="L1721" s="11">
        <v>0</v>
      </c>
      <c r="M1721" s="11">
        <v>771.83999999999992</v>
      </c>
      <c r="N1721" s="11">
        <f t="shared" si="53"/>
        <v>7203.84</v>
      </c>
    </row>
    <row r="1722" spans="3:14" x14ac:dyDescent="0.3">
      <c r="C1722" s="6">
        <v>44293</v>
      </c>
      <c r="D1722" s="7" t="s">
        <v>183</v>
      </c>
      <c r="E1722" s="8">
        <v>2021</v>
      </c>
      <c r="F1722" s="9" t="s">
        <v>53</v>
      </c>
      <c r="G1722" s="9" t="s">
        <v>16</v>
      </c>
      <c r="H1722" s="10" t="s">
        <v>17</v>
      </c>
      <c r="I1722" s="7">
        <v>94</v>
      </c>
      <c r="J1722" s="11">
        <v>68</v>
      </c>
      <c r="K1722" s="11">
        <f t="shared" si="52"/>
        <v>6392</v>
      </c>
      <c r="L1722" s="11">
        <v>0</v>
      </c>
      <c r="M1722" s="11">
        <v>767.04</v>
      </c>
      <c r="N1722" s="11">
        <f t="shared" si="53"/>
        <v>7159.04</v>
      </c>
    </row>
    <row r="1723" spans="3:14" x14ac:dyDescent="0.3">
      <c r="C1723" s="6">
        <v>44294</v>
      </c>
      <c r="D1723" s="7" t="s">
        <v>183</v>
      </c>
      <c r="E1723" s="8">
        <v>2021</v>
      </c>
      <c r="F1723" s="9" t="s">
        <v>101</v>
      </c>
      <c r="G1723" s="9" t="s">
        <v>20</v>
      </c>
      <c r="H1723" s="10" t="s">
        <v>92</v>
      </c>
      <c r="I1723" s="7">
        <v>37</v>
      </c>
      <c r="J1723" s="11">
        <v>74</v>
      </c>
      <c r="K1723" s="11">
        <f t="shared" si="52"/>
        <v>2738</v>
      </c>
      <c r="L1723" s="11">
        <v>0</v>
      </c>
      <c r="M1723" s="11">
        <v>328.56</v>
      </c>
      <c r="N1723" s="11">
        <f t="shared" si="53"/>
        <v>3066.56</v>
      </c>
    </row>
    <row r="1724" spans="3:14" x14ac:dyDescent="0.3">
      <c r="C1724" s="6">
        <v>44294</v>
      </c>
      <c r="D1724" s="7" t="s">
        <v>183</v>
      </c>
      <c r="E1724" s="8">
        <v>2021</v>
      </c>
      <c r="F1724" s="9" t="s">
        <v>101</v>
      </c>
      <c r="G1724" s="9" t="s">
        <v>32</v>
      </c>
      <c r="H1724" s="10" t="s">
        <v>39</v>
      </c>
      <c r="I1724" s="7">
        <v>18</v>
      </c>
      <c r="J1724" s="11">
        <v>25</v>
      </c>
      <c r="K1724" s="11">
        <f t="shared" si="52"/>
        <v>450</v>
      </c>
      <c r="L1724" s="11">
        <v>0</v>
      </c>
      <c r="M1724" s="11">
        <v>54</v>
      </c>
      <c r="N1724" s="11">
        <f t="shared" si="53"/>
        <v>504</v>
      </c>
    </row>
    <row r="1725" spans="3:14" x14ac:dyDescent="0.3">
      <c r="C1725" s="6">
        <v>44295</v>
      </c>
      <c r="D1725" s="7" t="s">
        <v>183</v>
      </c>
      <c r="E1725" s="8">
        <v>2021</v>
      </c>
      <c r="F1725" s="9" t="s">
        <v>150</v>
      </c>
      <c r="G1725" s="9" t="s">
        <v>26</v>
      </c>
      <c r="H1725" s="10" t="s">
        <v>102</v>
      </c>
      <c r="I1725" s="7">
        <v>95</v>
      </c>
      <c r="J1725" s="11">
        <v>43</v>
      </c>
      <c r="K1725" s="11">
        <f t="shared" si="52"/>
        <v>4085</v>
      </c>
      <c r="L1725" s="11">
        <v>5.0000000745058101E-2</v>
      </c>
      <c r="M1725" s="11">
        <v>490.2</v>
      </c>
      <c r="N1725" s="11">
        <f t="shared" si="53"/>
        <v>4575.1499999992548</v>
      </c>
    </row>
    <row r="1726" spans="3:14" x14ac:dyDescent="0.3">
      <c r="C1726" s="6">
        <v>44295</v>
      </c>
      <c r="D1726" s="7" t="s">
        <v>183</v>
      </c>
      <c r="E1726" s="8">
        <v>2021</v>
      </c>
      <c r="F1726" s="9" t="s">
        <v>150</v>
      </c>
      <c r="G1726" s="9" t="s">
        <v>20</v>
      </c>
      <c r="H1726" s="10" t="s">
        <v>92</v>
      </c>
      <c r="I1726" s="7">
        <v>27</v>
      </c>
      <c r="J1726" s="11">
        <v>42</v>
      </c>
      <c r="K1726" s="11">
        <f t="shared" si="52"/>
        <v>1134</v>
      </c>
      <c r="L1726" s="11">
        <v>5.0000000745058101E-2</v>
      </c>
      <c r="M1726" s="11">
        <v>136.07999999999998</v>
      </c>
      <c r="N1726" s="11">
        <f t="shared" si="53"/>
        <v>1270.0299999992549</v>
      </c>
    </row>
    <row r="1727" spans="3:14" x14ac:dyDescent="0.3">
      <c r="C1727" s="6">
        <v>44295</v>
      </c>
      <c r="D1727" s="7" t="s">
        <v>183</v>
      </c>
      <c r="E1727" s="8">
        <v>2021</v>
      </c>
      <c r="F1727" s="9" t="s">
        <v>185</v>
      </c>
      <c r="G1727" s="9" t="s">
        <v>42</v>
      </c>
      <c r="H1727" s="10" t="s">
        <v>109</v>
      </c>
      <c r="I1727" s="7">
        <v>85</v>
      </c>
      <c r="J1727" s="11">
        <v>11</v>
      </c>
      <c r="K1727" s="11">
        <f t="shared" si="52"/>
        <v>935</v>
      </c>
      <c r="L1727" s="11">
        <v>0</v>
      </c>
      <c r="M1727" s="11">
        <v>112.2</v>
      </c>
      <c r="N1727" s="11">
        <f t="shared" si="53"/>
        <v>1047.2</v>
      </c>
    </row>
    <row r="1728" spans="3:14" x14ac:dyDescent="0.3">
      <c r="C1728" s="6">
        <v>44296</v>
      </c>
      <c r="D1728" s="7" t="s">
        <v>183</v>
      </c>
      <c r="E1728" s="8">
        <v>2021</v>
      </c>
      <c r="F1728" s="9" t="s">
        <v>131</v>
      </c>
      <c r="G1728" s="9" t="s">
        <v>24</v>
      </c>
      <c r="H1728" s="10" t="s">
        <v>165</v>
      </c>
      <c r="I1728" s="7">
        <v>14</v>
      </c>
      <c r="J1728" s="11">
        <v>51</v>
      </c>
      <c r="K1728" s="11">
        <f t="shared" si="52"/>
        <v>714</v>
      </c>
      <c r="L1728" s="11">
        <v>0</v>
      </c>
      <c r="M1728" s="11">
        <v>85.679999999999993</v>
      </c>
      <c r="N1728" s="11">
        <f t="shared" si="53"/>
        <v>799.68</v>
      </c>
    </row>
    <row r="1729" spans="3:14" x14ac:dyDescent="0.3">
      <c r="C1729" s="6">
        <v>44296</v>
      </c>
      <c r="D1729" s="7" t="s">
        <v>183</v>
      </c>
      <c r="E1729" s="8">
        <v>2021</v>
      </c>
      <c r="F1729" s="9" t="s">
        <v>131</v>
      </c>
      <c r="G1729" s="9" t="s">
        <v>42</v>
      </c>
      <c r="H1729" s="10" t="s">
        <v>51</v>
      </c>
      <c r="I1729" s="7">
        <v>66</v>
      </c>
      <c r="J1729" s="11">
        <v>69</v>
      </c>
      <c r="K1729" s="11">
        <f t="shared" si="52"/>
        <v>4554</v>
      </c>
      <c r="L1729" s="11">
        <v>0</v>
      </c>
      <c r="M1729" s="11">
        <v>546.48</v>
      </c>
      <c r="N1729" s="11">
        <f t="shared" si="53"/>
        <v>5100.4799999999996</v>
      </c>
    </row>
    <row r="1730" spans="3:14" x14ac:dyDescent="0.3">
      <c r="C1730" s="6">
        <v>44296</v>
      </c>
      <c r="D1730" s="7" t="s">
        <v>183</v>
      </c>
      <c r="E1730" s="8">
        <v>2021</v>
      </c>
      <c r="F1730" s="9" t="s">
        <v>131</v>
      </c>
      <c r="G1730" s="9" t="s">
        <v>37</v>
      </c>
      <c r="H1730" s="10" t="s">
        <v>103</v>
      </c>
      <c r="I1730" s="7">
        <v>73</v>
      </c>
      <c r="J1730" s="11">
        <v>61</v>
      </c>
      <c r="K1730" s="11">
        <f t="shared" si="52"/>
        <v>4453</v>
      </c>
      <c r="L1730" s="11">
        <v>0</v>
      </c>
      <c r="M1730" s="11">
        <v>534.36</v>
      </c>
      <c r="N1730" s="11">
        <f t="shared" si="53"/>
        <v>4987.3599999999997</v>
      </c>
    </row>
    <row r="1731" spans="3:14" x14ac:dyDescent="0.3">
      <c r="C1731" s="6">
        <v>44297</v>
      </c>
      <c r="D1731" s="7" t="s">
        <v>183</v>
      </c>
      <c r="E1731" s="8">
        <v>2021</v>
      </c>
      <c r="F1731" s="9" t="s">
        <v>118</v>
      </c>
      <c r="G1731" s="9" t="s">
        <v>20</v>
      </c>
      <c r="H1731" s="10" t="s">
        <v>136</v>
      </c>
      <c r="I1731" s="7">
        <v>62</v>
      </c>
      <c r="J1731" s="11">
        <v>70</v>
      </c>
      <c r="K1731" s="11">
        <f t="shared" ref="K1731:K1794" si="54">J1731*I1731</f>
        <v>4340</v>
      </c>
      <c r="L1731" s="11">
        <v>0</v>
      </c>
      <c r="M1731" s="11">
        <v>520.79999999999995</v>
      </c>
      <c r="N1731" s="11">
        <f t="shared" ref="N1731:N1794" si="55">K1731-L1731+M1731</f>
        <v>4860.8</v>
      </c>
    </row>
    <row r="1732" spans="3:14" x14ac:dyDescent="0.3">
      <c r="C1732" s="6">
        <v>44297</v>
      </c>
      <c r="D1732" s="7" t="s">
        <v>183</v>
      </c>
      <c r="E1732" s="8">
        <v>2021</v>
      </c>
      <c r="F1732" s="9" t="s">
        <v>118</v>
      </c>
      <c r="G1732" s="9" t="s">
        <v>26</v>
      </c>
      <c r="H1732" s="10" t="s">
        <v>27</v>
      </c>
      <c r="I1732" s="7">
        <v>58</v>
      </c>
      <c r="J1732" s="11">
        <v>17</v>
      </c>
      <c r="K1732" s="11">
        <f t="shared" si="54"/>
        <v>986</v>
      </c>
      <c r="L1732" s="11">
        <v>0</v>
      </c>
      <c r="M1732" s="11">
        <v>118.32</v>
      </c>
      <c r="N1732" s="11">
        <f t="shared" si="55"/>
        <v>1104.32</v>
      </c>
    </row>
    <row r="1733" spans="3:14" x14ac:dyDescent="0.3">
      <c r="C1733" s="6">
        <v>44297</v>
      </c>
      <c r="D1733" s="7" t="s">
        <v>183</v>
      </c>
      <c r="E1733" s="8">
        <v>2021</v>
      </c>
      <c r="F1733" s="9" t="s">
        <v>80</v>
      </c>
      <c r="G1733" s="9" t="s">
        <v>37</v>
      </c>
      <c r="H1733" s="10" t="s">
        <v>46</v>
      </c>
      <c r="I1733" s="7">
        <v>84</v>
      </c>
      <c r="J1733" s="11">
        <v>48</v>
      </c>
      <c r="K1733" s="11">
        <f t="shared" si="54"/>
        <v>4032</v>
      </c>
      <c r="L1733" s="11">
        <v>0</v>
      </c>
      <c r="M1733" s="11">
        <v>483.84</v>
      </c>
      <c r="N1733" s="11">
        <f t="shared" si="55"/>
        <v>4515.84</v>
      </c>
    </row>
    <row r="1734" spans="3:14" x14ac:dyDescent="0.3">
      <c r="C1734" s="6">
        <v>44297</v>
      </c>
      <c r="D1734" s="7" t="s">
        <v>183</v>
      </c>
      <c r="E1734" s="8">
        <v>2021</v>
      </c>
      <c r="F1734" s="9" t="s">
        <v>80</v>
      </c>
      <c r="G1734" s="9" t="s">
        <v>32</v>
      </c>
      <c r="H1734" s="10" t="s">
        <v>59</v>
      </c>
      <c r="I1734" s="7">
        <v>50</v>
      </c>
      <c r="J1734" s="11">
        <v>19</v>
      </c>
      <c r="K1734" s="11">
        <f t="shared" si="54"/>
        <v>950</v>
      </c>
      <c r="L1734" s="11">
        <v>0</v>
      </c>
      <c r="M1734" s="11">
        <v>114</v>
      </c>
      <c r="N1734" s="11">
        <f t="shared" si="55"/>
        <v>1064</v>
      </c>
    </row>
    <row r="1735" spans="3:14" x14ac:dyDescent="0.3">
      <c r="C1735" s="6">
        <v>44297</v>
      </c>
      <c r="D1735" s="7" t="s">
        <v>183</v>
      </c>
      <c r="E1735" s="8">
        <v>2021</v>
      </c>
      <c r="F1735" s="9" t="s">
        <v>80</v>
      </c>
      <c r="G1735" s="9" t="s">
        <v>42</v>
      </c>
      <c r="H1735" s="10" t="s">
        <v>51</v>
      </c>
      <c r="I1735" s="7">
        <v>60</v>
      </c>
      <c r="J1735" s="11">
        <v>85</v>
      </c>
      <c r="K1735" s="11">
        <f t="shared" si="54"/>
        <v>5100</v>
      </c>
      <c r="L1735" s="11">
        <v>0</v>
      </c>
      <c r="M1735" s="11">
        <v>612</v>
      </c>
      <c r="N1735" s="11">
        <f t="shared" si="55"/>
        <v>5712</v>
      </c>
    </row>
    <row r="1736" spans="3:14" x14ac:dyDescent="0.3">
      <c r="C1736" s="6">
        <v>44297</v>
      </c>
      <c r="D1736" s="7" t="s">
        <v>183</v>
      </c>
      <c r="E1736" s="8">
        <v>2021</v>
      </c>
      <c r="F1736" s="9" t="s">
        <v>80</v>
      </c>
      <c r="G1736" s="9" t="s">
        <v>26</v>
      </c>
      <c r="H1736" s="10" t="s">
        <v>173</v>
      </c>
      <c r="I1736" s="7">
        <v>4</v>
      </c>
      <c r="J1736" s="11">
        <v>45</v>
      </c>
      <c r="K1736" s="11">
        <f t="shared" si="54"/>
        <v>180</v>
      </c>
      <c r="L1736" s="11">
        <v>0</v>
      </c>
      <c r="M1736" s="11">
        <v>21.599999999999998</v>
      </c>
      <c r="N1736" s="11">
        <f t="shared" si="55"/>
        <v>201.6</v>
      </c>
    </row>
    <row r="1737" spans="3:14" x14ac:dyDescent="0.3">
      <c r="C1737" s="6">
        <v>44300</v>
      </c>
      <c r="D1737" s="7" t="s">
        <v>183</v>
      </c>
      <c r="E1737" s="8">
        <v>2021</v>
      </c>
      <c r="F1737" s="9" t="s">
        <v>142</v>
      </c>
      <c r="G1737" s="9" t="s">
        <v>32</v>
      </c>
      <c r="H1737" s="10" t="s">
        <v>62</v>
      </c>
      <c r="I1737" s="7">
        <v>51</v>
      </c>
      <c r="J1737" s="11">
        <v>65</v>
      </c>
      <c r="K1737" s="11">
        <f t="shared" si="54"/>
        <v>3315</v>
      </c>
      <c r="L1737" s="11">
        <v>0</v>
      </c>
      <c r="M1737" s="11">
        <v>397.8</v>
      </c>
      <c r="N1737" s="11">
        <f t="shared" si="55"/>
        <v>3712.8</v>
      </c>
    </row>
    <row r="1738" spans="3:14" x14ac:dyDescent="0.3">
      <c r="C1738" s="6">
        <v>44301</v>
      </c>
      <c r="D1738" s="7" t="s">
        <v>183</v>
      </c>
      <c r="E1738" s="8">
        <v>2021</v>
      </c>
      <c r="F1738" s="9" t="s">
        <v>133</v>
      </c>
      <c r="G1738" s="9" t="s">
        <v>32</v>
      </c>
      <c r="H1738" s="10" t="s">
        <v>134</v>
      </c>
      <c r="I1738" s="7">
        <v>44</v>
      </c>
      <c r="J1738" s="11">
        <v>100</v>
      </c>
      <c r="K1738" s="11">
        <f t="shared" si="54"/>
        <v>4400</v>
      </c>
      <c r="L1738" s="11">
        <v>0.10000000149011599</v>
      </c>
      <c r="M1738" s="11">
        <v>528</v>
      </c>
      <c r="N1738" s="11">
        <f t="shared" si="55"/>
        <v>4927.8999999985099</v>
      </c>
    </row>
    <row r="1739" spans="3:14" x14ac:dyDescent="0.3">
      <c r="C1739" s="6">
        <v>44301</v>
      </c>
      <c r="D1739" s="7" t="s">
        <v>183</v>
      </c>
      <c r="E1739" s="8">
        <v>2021</v>
      </c>
      <c r="F1739" s="9" t="s">
        <v>133</v>
      </c>
      <c r="G1739" s="9" t="s">
        <v>37</v>
      </c>
      <c r="H1739" s="10" t="s">
        <v>63</v>
      </c>
      <c r="I1739" s="7">
        <v>39</v>
      </c>
      <c r="J1739" s="11">
        <v>16</v>
      </c>
      <c r="K1739" s="11">
        <f t="shared" si="54"/>
        <v>624</v>
      </c>
      <c r="L1739" s="11">
        <v>0.10000000149011599</v>
      </c>
      <c r="M1739" s="11">
        <v>74.88</v>
      </c>
      <c r="N1739" s="11">
        <f t="shared" si="55"/>
        <v>698.77999999850988</v>
      </c>
    </row>
    <row r="1740" spans="3:14" x14ac:dyDescent="0.3">
      <c r="C1740" s="6">
        <v>44301</v>
      </c>
      <c r="D1740" s="7" t="s">
        <v>183</v>
      </c>
      <c r="E1740" s="8">
        <v>2021</v>
      </c>
      <c r="F1740" s="9" t="s">
        <v>157</v>
      </c>
      <c r="G1740" s="9" t="s">
        <v>37</v>
      </c>
      <c r="H1740" s="10" t="s">
        <v>82</v>
      </c>
      <c r="I1740" s="7">
        <v>90</v>
      </c>
      <c r="J1740" s="11">
        <v>26</v>
      </c>
      <c r="K1740" s="11">
        <f t="shared" si="54"/>
        <v>2340</v>
      </c>
      <c r="L1740" s="11">
        <v>0.15000000596046401</v>
      </c>
      <c r="M1740" s="11">
        <v>280.8</v>
      </c>
      <c r="N1740" s="11">
        <f t="shared" si="55"/>
        <v>2620.6499999940397</v>
      </c>
    </row>
    <row r="1741" spans="3:14" x14ac:dyDescent="0.3">
      <c r="C1741" s="6">
        <v>44301</v>
      </c>
      <c r="D1741" s="7" t="s">
        <v>183</v>
      </c>
      <c r="E1741" s="8">
        <v>2021</v>
      </c>
      <c r="F1741" s="9" t="s">
        <v>157</v>
      </c>
      <c r="G1741" s="9" t="s">
        <v>32</v>
      </c>
      <c r="H1741" s="10" t="s">
        <v>168</v>
      </c>
      <c r="I1741" s="7">
        <v>40</v>
      </c>
      <c r="J1741" s="11">
        <v>93</v>
      </c>
      <c r="K1741" s="11">
        <f t="shared" si="54"/>
        <v>3720</v>
      </c>
      <c r="L1741" s="11">
        <v>0.15000000596046401</v>
      </c>
      <c r="M1741" s="11">
        <v>446.4</v>
      </c>
      <c r="N1741" s="11">
        <f t="shared" si="55"/>
        <v>4166.2499999940392</v>
      </c>
    </row>
    <row r="1742" spans="3:14" x14ac:dyDescent="0.3">
      <c r="C1742" s="6">
        <v>44302</v>
      </c>
      <c r="D1742" s="7" t="s">
        <v>183</v>
      </c>
      <c r="E1742" s="8">
        <v>2021</v>
      </c>
      <c r="F1742" s="9" t="s">
        <v>170</v>
      </c>
      <c r="G1742" s="9" t="s">
        <v>24</v>
      </c>
      <c r="H1742" s="10" t="s">
        <v>90</v>
      </c>
      <c r="I1742" s="7">
        <v>32</v>
      </c>
      <c r="J1742" s="11">
        <v>96</v>
      </c>
      <c r="K1742" s="11">
        <f t="shared" si="54"/>
        <v>3072</v>
      </c>
      <c r="L1742" s="11">
        <v>0</v>
      </c>
      <c r="M1742" s="11">
        <v>368.64</v>
      </c>
      <c r="N1742" s="11">
        <f t="shared" si="55"/>
        <v>3440.64</v>
      </c>
    </row>
    <row r="1743" spans="3:14" x14ac:dyDescent="0.3">
      <c r="C1743" s="6">
        <v>44302</v>
      </c>
      <c r="D1743" s="7" t="s">
        <v>183</v>
      </c>
      <c r="E1743" s="8">
        <v>2021</v>
      </c>
      <c r="F1743" s="9" t="s">
        <v>170</v>
      </c>
      <c r="G1743" s="9" t="s">
        <v>37</v>
      </c>
      <c r="H1743" s="10" t="s">
        <v>38</v>
      </c>
      <c r="I1743" s="7">
        <v>100</v>
      </c>
      <c r="J1743" s="11">
        <v>33</v>
      </c>
      <c r="K1743" s="11">
        <f t="shared" si="54"/>
        <v>3300</v>
      </c>
      <c r="L1743" s="11">
        <v>0</v>
      </c>
      <c r="M1743" s="11">
        <v>396</v>
      </c>
      <c r="N1743" s="11">
        <f t="shared" si="55"/>
        <v>3696</v>
      </c>
    </row>
    <row r="1744" spans="3:14" x14ac:dyDescent="0.3">
      <c r="C1744" s="6">
        <v>44303</v>
      </c>
      <c r="D1744" s="7" t="s">
        <v>183</v>
      </c>
      <c r="E1744" s="8">
        <v>2021</v>
      </c>
      <c r="F1744" s="9" t="s">
        <v>185</v>
      </c>
      <c r="G1744" s="9" t="s">
        <v>20</v>
      </c>
      <c r="H1744" s="10" t="s">
        <v>92</v>
      </c>
      <c r="I1744" s="7">
        <v>41</v>
      </c>
      <c r="J1744" s="11">
        <v>55</v>
      </c>
      <c r="K1744" s="11">
        <f t="shared" si="54"/>
        <v>2255</v>
      </c>
      <c r="L1744" s="11">
        <v>0</v>
      </c>
      <c r="M1744" s="11">
        <v>270.59999999999997</v>
      </c>
      <c r="N1744" s="11">
        <f t="shared" si="55"/>
        <v>2525.6</v>
      </c>
    </row>
    <row r="1745" spans="3:14" x14ac:dyDescent="0.3">
      <c r="C1745" s="6">
        <v>44304</v>
      </c>
      <c r="D1745" s="7" t="s">
        <v>183</v>
      </c>
      <c r="E1745" s="8">
        <v>2021</v>
      </c>
      <c r="F1745" s="9" t="s">
        <v>135</v>
      </c>
      <c r="G1745" s="9" t="s">
        <v>42</v>
      </c>
      <c r="H1745" s="10" t="s">
        <v>79</v>
      </c>
      <c r="I1745" s="7">
        <v>84</v>
      </c>
      <c r="J1745" s="11">
        <v>12</v>
      </c>
      <c r="K1745" s="11">
        <f t="shared" si="54"/>
        <v>1008</v>
      </c>
      <c r="L1745" s="11">
        <v>0</v>
      </c>
      <c r="M1745" s="11">
        <v>120.96</v>
      </c>
      <c r="N1745" s="11">
        <f t="shared" si="55"/>
        <v>1128.96</v>
      </c>
    </row>
    <row r="1746" spans="3:14" x14ac:dyDescent="0.3">
      <c r="C1746" s="6">
        <v>44304</v>
      </c>
      <c r="D1746" s="7" t="s">
        <v>183</v>
      </c>
      <c r="E1746" s="8">
        <v>2021</v>
      </c>
      <c r="F1746" s="9" t="s">
        <v>135</v>
      </c>
      <c r="G1746" s="9" t="s">
        <v>37</v>
      </c>
      <c r="H1746" s="10" t="s">
        <v>98</v>
      </c>
      <c r="I1746" s="7">
        <v>55</v>
      </c>
      <c r="J1746" s="11">
        <v>59</v>
      </c>
      <c r="K1746" s="11">
        <f t="shared" si="54"/>
        <v>3245</v>
      </c>
      <c r="L1746" s="11">
        <v>0.10000000149011599</v>
      </c>
      <c r="M1746" s="11">
        <v>389.4</v>
      </c>
      <c r="N1746" s="11">
        <f t="shared" si="55"/>
        <v>3634.29999999851</v>
      </c>
    </row>
    <row r="1747" spans="3:14" x14ac:dyDescent="0.3">
      <c r="C1747" s="6">
        <v>44304</v>
      </c>
      <c r="D1747" s="7" t="s">
        <v>183</v>
      </c>
      <c r="E1747" s="8">
        <v>2021</v>
      </c>
      <c r="F1747" s="9" t="s">
        <v>141</v>
      </c>
      <c r="G1747" s="9" t="s">
        <v>26</v>
      </c>
      <c r="H1747" s="10" t="s">
        <v>124</v>
      </c>
      <c r="I1747" s="7">
        <v>65</v>
      </c>
      <c r="J1747" s="11">
        <v>52</v>
      </c>
      <c r="K1747" s="11">
        <f t="shared" si="54"/>
        <v>3380</v>
      </c>
      <c r="L1747" s="11">
        <v>0.15000000596046401</v>
      </c>
      <c r="M1747" s="11">
        <v>405.59999999999997</v>
      </c>
      <c r="N1747" s="11">
        <f t="shared" si="55"/>
        <v>3785.4499999940394</v>
      </c>
    </row>
    <row r="1748" spans="3:14" x14ac:dyDescent="0.3">
      <c r="C1748" s="6">
        <v>44304</v>
      </c>
      <c r="D1748" s="7" t="s">
        <v>183</v>
      </c>
      <c r="E1748" s="8">
        <v>2021</v>
      </c>
      <c r="F1748" s="9" t="s">
        <v>141</v>
      </c>
      <c r="G1748" s="9" t="s">
        <v>20</v>
      </c>
      <c r="H1748" s="10" t="s">
        <v>67</v>
      </c>
      <c r="I1748" s="7">
        <v>94</v>
      </c>
      <c r="J1748" s="11">
        <v>29</v>
      </c>
      <c r="K1748" s="11">
        <f t="shared" si="54"/>
        <v>2726</v>
      </c>
      <c r="L1748" s="11">
        <v>0.15000000596046401</v>
      </c>
      <c r="M1748" s="11">
        <v>327.12</v>
      </c>
      <c r="N1748" s="11">
        <f t="shared" si="55"/>
        <v>3052.9699999940394</v>
      </c>
    </row>
    <row r="1749" spans="3:14" x14ac:dyDescent="0.3">
      <c r="C1749" s="6">
        <v>44304</v>
      </c>
      <c r="D1749" s="7" t="s">
        <v>183</v>
      </c>
      <c r="E1749" s="8">
        <v>2021</v>
      </c>
      <c r="F1749" s="9" t="s">
        <v>141</v>
      </c>
      <c r="G1749" s="9" t="s">
        <v>26</v>
      </c>
      <c r="H1749" s="10" t="s">
        <v>148</v>
      </c>
      <c r="I1749" s="7">
        <v>68</v>
      </c>
      <c r="J1749" s="11">
        <v>11</v>
      </c>
      <c r="K1749" s="11">
        <f t="shared" si="54"/>
        <v>748</v>
      </c>
      <c r="L1749" s="11">
        <v>0.15000000596046401</v>
      </c>
      <c r="M1749" s="11">
        <v>89.759999999999991</v>
      </c>
      <c r="N1749" s="11">
        <f t="shared" si="55"/>
        <v>837.60999999403953</v>
      </c>
    </row>
    <row r="1750" spans="3:14" x14ac:dyDescent="0.3">
      <c r="C1750" s="6">
        <v>44307</v>
      </c>
      <c r="D1750" s="7" t="s">
        <v>183</v>
      </c>
      <c r="E1750" s="8">
        <v>2021</v>
      </c>
      <c r="F1750" s="9" t="s">
        <v>149</v>
      </c>
      <c r="G1750" s="9" t="s">
        <v>37</v>
      </c>
      <c r="H1750" s="10" t="s">
        <v>41</v>
      </c>
      <c r="I1750" s="7">
        <v>66</v>
      </c>
      <c r="J1750" s="11">
        <v>70</v>
      </c>
      <c r="K1750" s="11">
        <f t="shared" si="54"/>
        <v>4620</v>
      </c>
      <c r="L1750" s="11">
        <v>0.15000000596046401</v>
      </c>
      <c r="M1750" s="11">
        <v>554.4</v>
      </c>
      <c r="N1750" s="11">
        <f t="shared" si="55"/>
        <v>5174.2499999940392</v>
      </c>
    </row>
    <row r="1751" spans="3:14" x14ac:dyDescent="0.3">
      <c r="C1751" s="6">
        <v>44307</v>
      </c>
      <c r="D1751" s="7" t="s">
        <v>183</v>
      </c>
      <c r="E1751" s="8">
        <v>2021</v>
      </c>
      <c r="F1751" s="9" t="s">
        <v>149</v>
      </c>
      <c r="G1751" s="9" t="s">
        <v>24</v>
      </c>
      <c r="H1751" s="10" t="s">
        <v>107</v>
      </c>
      <c r="I1751" s="7">
        <v>70</v>
      </c>
      <c r="J1751" s="11">
        <v>57</v>
      </c>
      <c r="K1751" s="11">
        <f t="shared" si="54"/>
        <v>3990</v>
      </c>
      <c r="L1751" s="11">
        <v>0.15000000596046401</v>
      </c>
      <c r="M1751" s="11">
        <v>478.79999999999995</v>
      </c>
      <c r="N1751" s="11">
        <f t="shared" si="55"/>
        <v>4468.6499999940397</v>
      </c>
    </row>
    <row r="1752" spans="3:14" x14ac:dyDescent="0.3">
      <c r="C1752" s="6">
        <v>44307</v>
      </c>
      <c r="D1752" s="7" t="s">
        <v>183</v>
      </c>
      <c r="E1752" s="8">
        <v>2021</v>
      </c>
      <c r="F1752" s="9" t="s">
        <v>149</v>
      </c>
      <c r="G1752" s="9" t="s">
        <v>32</v>
      </c>
      <c r="H1752" s="10" t="s">
        <v>143</v>
      </c>
      <c r="I1752" s="7">
        <v>56</v>
      </c>
      <c r="J1752" s="11">
        <v>81</v>
      </c>
      <c r="K1752" s="11">
        <f t="shared" si="54"/>
        <v>4536</v>
      </c>
      <c r="L1752" s="11">
        <v>0.15000000596046401</v>
      </c>
      <c r="M1752" s="11">
        <v>544.31999999999994</v>
      </c>
      <c r="N1752" s="11">
        <f t="shared" si="55"/>
        <v>5080.1699999940392</v>
      </c>
    </row>
    <row r="1753" spans="3:14" x14ac:dyDescent="0.3">
      <c r="C1753" s="6">
        <v>44307</v>
      </c>
      <c r="D1753" s="7" t="s">
        <v>183</v>
      </c>
      <c r="E1753" s="8">
        <v>2021</v>
      </c>
      <c r="F1753" s="9" t="s">
        <v>149</v>
      </c>
      <c r="G1753" s="9" t="s">
        <v>14</v>
      </c>
      <c r="H1753" s="10" t="s">
        <v>35</v>
      </c>
      <c r="I1753" s="7">
        <v>4</v>
      </c>
      <c r="J1753" s="11">
        <v>60</v>
      </c>
      <c r="K1753" s="11">
        <f t="shared" si="54"/>
        <v>240</v>
      </c>
      <c r="L1753" s="11">
        <v>0.15000000596046401</v>
      </c>
      <c r="M1753" s="11">
        <v>28.799999999999997</v>
      </c>
      <c r="N1753" s="11">
        <f t="shared" si="55"/>
        <v>268.64999999403955</v>
      </c>
    </row>
    <row r="1754" spans="3:14" x14ac:dyDescent="0.3">
      <c r="C1754" s="6">
        <v>44308</v>
      </c>
      <c r="D1754" s="7" t="s">
        <v>183</v>
      </c>
      <c r="E1754" s="8">
        <v>2021</v>
      </c>
      <c r="F1754" s="9" t="s">
        <v>120</v>
      </c>
      <c r="G1754" s="9" t="s">
        <v>32</v>
      </c>
      <c r="H1754" s="10" t="s">
        <v>59</v>
      </c>
      <c r="I1754" s="7">
        <v>82</v>
      </c>
      <c r="J1754" s="11">
        <v>97</v>
      </c>
      <c r="K1754" s="11">
        <f t="shared" si="54"/>
        <v>7954</v>
      </c>
      <c r="L1754" s="11">
        <v>0.20000000298023199</v>
      </c>
      <c r="M1754" s="11">
        <v>954.48</v>
      </c>
      <c r="N1754" s="11">
        <f t="shared" si="55"/>
        <v>8908.2799999970193</v>
      </c>
    </row>
    <row r="1755" spans="3:14" x14ac:dyDescent="0.3">
      <c r="C1755" s="6">
        <v>44308</v>
      </c>
      <c r="D1755" s="7" t="s">
        <v>183</v>
      </c>
      <c r="E1755" s="8">
        <v>2021</v>
      </c>
      <c r="F1755" s="9" t="s">
        <v>120</v>
      </c>
      <c r="G1755" s="9" t="s">
        <v>14</v>
      </c>
      <c r="H1755" s="10" t="s">
        <v>57</v>
      </c>
      <c r="I1755" s="7">
        <v>60</v>
      </c>
      <c r="J1755" s="11">
        <v>85</v>
      </c>
      <c r="K1755" s="11">
        <f t="shared" si="54"/>
        <v>5100</v>
      </c>
      <c r="L1755" s="11">
        <v>0.20000000298023199</v>
      </c>
      <c r="M1755" s="11">
        <v>612</v>
      </c>
      <c r="N1755" s="11">
        <f t="shared" si="55"/>
        <v>5711.7999999970198</v>
      </c>
    </row>
    <row r="1756" spans="3:14" x14ac:dyDescent="0.3">
      <c r="C1756" s="6">
        <v>44308</v>
      </c>
      <c r="D1756" s="7" t="s">
        <v>183</v>
      </c>
      <c r="E1756" s="8">
        <v>2021</v>
      </c>
      <c r="F1756" s="9" t="s">
        <v>120</v>
      </c>
      <c r="G1756" s="9" t="s">
        <v>26</v>
      </c>
      <c r="H1756" s="10" t="s">
        <v>173</v>
      </c>
      <c r="I1756" s="7">
        <v>51</v>
      </c>
      <c r="J1756" s="11">
        <v>76</v>
      </c>
      <c r="K1756" s="11">
        <f t="shared" si="54"/>
        <v>3876</v>
      </c>
      <c r="L1756" s="11">
        <v>0.20000000298023199</v>
      </c>
      <c r="M1756" s="11">
        <v>465.12</v>
      </c>
      <c r="N1756" s="11">
        <f t="shared" si="55"/>
        <v>4340.9199999970197</v>
      </c>
    </row>
    <row r="1757" spans="3:14" x14ac:dyDescent="0.3">
      <c r="C1757" s="6">
        <v>44308</v>
      </c>
      <c r="D1757" s="7" t="s">
        <v>183</v>
      </c>
      <c r="E1757" s="8">
        <v>2021</v>
      </c>
      <c r="F1757" s="9" t="s">
        <v>55</v>
      </c>
      <c r="G1757" s="9" t="s">
        <v>32</v>
      </c>
      <c r="H1757" s="10" t="s">
        <v>33</v>
      </c>
      <c r="I1757" s="7">
        <v>60</v>
      </c>
      <c r="J1757" s="11">
        <v>84</v>
      </c>
      <c r="K1757" s="11">
        <f t="shared" si="54"/>
        <v>5040</v>
      </c>
      <c r="L1757" s="11">
        <v>0</v>
      </c>
      <c r="M1757" s="11">
        <v>604.79999999999995</v>
      </c>
      <c r="N1757" s="11">
        <f t="shared" si="55"/>
        <v>5644.8</v>
      </c>
    </row>
    <row r="1758" spans="3:14" x14ac:dyDescent="0.3">
      <c r="C1758" s="6">
        <v>44308</v>
      </c>
      <c r="D1758" s="7" t="s">
        <v>183</v>
      </c>
      <c r="E1758" s="8">
        <v>2021</v>
      </c>
      <c r="F1758" s="9" t="s">
        <v>55</v>
      </c>
      <c r="G1758" s="9" t="s">
        <v>20</v>
      </c>
      <c r="H1758" s="10" t="s">
        <v>92</v>
      </c>
      <c r="I1758" s="7">
        <v>61</v>
      </c>
      <c r="J1758" s="11">
        <v>39</v>
      </c>
      <c r="K1758" s="11">
        <f t="shared" si="54"/>
        <v>2379</v>
      </c>
      <c r="L1758" s="11">
        <v>0</v>
      </c>
      <c r="M1758" s="11">
        <v>285.47999999999996</v>
      </c>
      <c r="N1758" s="11">
        <f t="shared" si="55"/>
        <v>2664.48</v>
      </c>
    </row>
    <row r="1759" spans="3:14" x14ac:dyDescent="0.3">
      <c r="C1759" s="6">
        <v>44308</v>
      </c>
      <c r="D1759" s="7" t="s">
        <v>183</v>
      </c>
      <c r="E1759" s="8">
        <v>2021</v>
      </c>
      <c r="F1759" s="9" t="s">
        <v>55</v>
      </c>
      <c r="G1759" s="9" t="s">
        <v>16</v>
      </c>
      <c r="H1759" s="10" t="s">
        <v>68</v>
      </c>
      <c r="I1759" s="7">
        <v>98</v>
      </c>
      <c r="J1759" s="11">
        <v>62</v>
      </c>
      <c r="K1759" s="11">
        <f t="shared" si="54"/>
        <v>6076</v>
      </c>
      <c r="L1759" s="11">
        <v>0</v>
      </c>
      <c r="M1759" s="11">
        <v>729.12</v>
      </c>
      <c r="N1759" s="11">
        <f t="shared" si="55"/>
        <v>6805.12</v>
      </c>
    </row>
    <row r="1760" spans="3:14" x14ac:dyDescent="0.3">
      <c r="C1760" s="6">
        <v>44308</v>
      </c>
      <c r="D1760" s="7" t="s">
        <v>183</v>
      </c>
      <c r="E1760" s="8">
        <v>2021</v>
      </c>
      <c r="F1760" s="9" t="s">
        <v>55</v>
      </c>
      <c r="G1760" s="9" t="s">
        <v>26</v>
      </c>
      <c r="H1760" s="10" t="s">
        <v>27</v>
      </c>
      <c r="I1760" s="7">
        <v>35</v>
      </c>
      <c r="J1760" s="11">
        <v>26</v>
      </c>
      <c r="K1760" s="11">
        <f t="shared" si="54"/>
        <v>910</v>
      </c>
      <c r="L1760" s="11">
        <v>0</v>
      </c>
      <c r="M1760" s="11">
        <v>109.2</v>
      </c>
      <c r="N1760" s="11">
        <f t="shared" si="55"/>
        <v>1019.2</v>
      </c>
    </row>
    <row r="1761" spans="3:14" x14ac:dyDescent="0.3">
      <c r="C1761" s="6">
        <v>44308</v>
      </c>
      <c r="D1761" s="7" t="s">
        <v>183</v>
      </c>
      <c r="E1761" s="8">
        <v>2021</v>
      </c>
      <c r="F1761" s="9" t="s">
        <v>55</v>
      </c>
      <c r="G1761" s="9" t="s">
        <v>37</v>
      </c>
      <c r="H1761" s="10" t="s">
        <v>98</v>
      </c>
      <c r="I1761" s="7">
        <v>50</v>
      </c>
      <c r="J1761" s="11">
        <v>22</v>
      </c>
      <c r="K1761" s="11">
        <f t="shared" si="54"/>
        <v>1100</v>
      </c>
      <c r="L1761" s="11">
        <v>0</v>
      </c>
      <c r="M1761" s="11">
        <v>132</v>
      </c>
      <c r="N1761" s="11">
        <f t="shared" si="55"/>
        <v>1232</v>
      </c>
    </row>
    <row r="1762" spans="3:14" x14ac:dyDescent="0.3">
      <c r="C1762" s="6">
        <v>44309</v>
      </c>
      <c r="D1762" s="7" t="s">
        <v>183</v>
      </c>
      <c r="E1762" s="8">
        <v>2021</v>
      </c>
      <c r="F1762" s="9" t="s">
        <v>84</v>
      </c>
      <c r="G1762" s="9" t="s">
        <v>42</v>
      </c>
      <c r="H1762" s="10" t="s">
        <v>174</v>
      </c>
      <c r="I1762" s="7">
        <v>15</v>
      </c>
      <c r="J1762" s="11">
        <v>43</v>
      </c>
      <c r="K1762" s="11">
        <f t="shared" si="54"/>
        <v>645</v>
      </c>
      <c r="L1762" s="11">
        <v>0.15000000596046401</v>
      </c>
      <c r="M1762" s="11">
        <v>77.399999999999991</v>
      </c>
      <c r="N1762" s="11">
        <f t="shared" si="55"/>
        <v>722.24999999403951</v>
      </c>
    </row>
    <row r="1763" spans="3:14" x14ac:dyDescent="0.3">
      <c r="C1763" s="6">
        <v>44309</v>
      </c>
      <c r="D1763" s="7" t="s">
        <v>183</v>
      </c>
      <c r="E1763" s="8">
        <v>2021</v>
      </c>
      <c r="F1763" s="9" t="s">
        <v>84</v>
      </c>
      <c r="G1763" s="9" t="s">
        <v>32</v>
      </c>
      <c r="H1763" s="10" t="s">
        <v>47</v>
      </c>
      <c r="I1763" s="7">
        <v>12</v>
      </c>
      <c r="J1763" s="11">
        <v>38</v>
      </c>
      <c r="K1763" s="11">
        <f t="shared" si="54"/>
        <v>456</v>
      </c>
      <c r="L1763" s="11">
        <v>0</v>
      </c>
      <c r="M1763" s="11">
        <v>54.72</v>
      </c>
      <c r="N1763" s="11">
        <f t="shared" si="55"/>
        <v>510.72</v>
      </c>
    </row>
    <row r="1764" spans="3:14" x14ac:dyDescent="0.3">
      <c r="C1764" s="6">
        <v>44309</v>
      </c>
      <c r="D1764" s="7" t="s">
        <v>183</v>
      </c>
      <c r="E1764" s="8">
        <v>2021</v>
      </c>
      <c r="F1764" s="9" t="s">
        <v>84</v>
      </c>
      <c r="G1764" s="9" t="s">
        <v>32</v>
      </c>
      <c r="H1764" s="10" t="s">
        <v>54</v>
      </c>
      <c r="I1764" s="7">
        <v>53</v>
      </c>
      <c r="J1764" s="11">
        <v>84</v>
      </c>
      <c r="K1764" s="11">
        <f t="shared" si="54"/>
        <v>4452</v>
      </c>
      <c r="L1764" s="11">
        <v>0</v>
      </c>
      <c r="M1764" s="11">
        <v>534.24</v>
      </c>
      <c r="N1764" s="11">
        <f t="shared" si="55"/>
        <v>4986.24</v>
      </c>
    </row>
    <row r="1765" spans="3:14" x14ac:dyDescent="0.3">
      <c r="C1765" s="6">
        <v>44309</v>
      </c>
      <c r="D1765" s="7" t="s">
        <v>183</v>
      </c>
      <c r="E1765" s="8">
        <v>2021</v>
      </c>
      <c r="F1765" s="9" t="s">
        <v>84</v>
      </c>
      <c r="G1765" s="9" t="s">
        <v>14</v>
      </c>
      <c r="H1765" s="10" t="s">
        <v>34</v>
      </c>
      <c r="I1765" s="7">
        <v>40</v>
      </c>
      <c r="J1765" s="11">
        <v>56</v>
      </c>
      <c r="K1765" s="11">
        <f t="shared" si="54"/>
        <v>2240</v>
      </c>
      <c r="L1765" s="11">
        <v>0.15000000596046401</v>
      </c>
      <c r="M1765" s="11">
        <v>268.8</v>
      </c>
      <c r="N1765" s="11">
        <f t="shared" si="55"/>
        <v>2508.6499999940397</v>
      </c>
    </row>
    <row r="1766" spans="3:14" x14ac:dyDescent="0.3">
      <c r="C1766" s="6">
        <v>44309</v>
      </c>
      <c r="D1766" s="7" t="s">
        <v>183</v>
      </c>
      <c r="E1766" s="8">
        <v>2021</v>
      </c>
      <c r="F1766" s="9" t="s">
        <v>84</v>
      </c>
      <c r="G1766" s="9" t="s">
        <v>14</v>
      </c>
      <c r="H1766" s="10" t="s">
        <v>35</v>
      </c>
      <c r="I1766" s="7">
        <v>87</v>
      </c>
      <c r="J1766" s="11">
        <v>23</v>
      </c>
      <c r="K1766" s="11">
        <f t="shared" si="54"/>
        <v>2001</v>
      </c>
      <c r="L1766" s="11">
        <v>0.15000000596046401</v>
      </c>
      <c r="M1766" s="11">
        <v>240.12</v>
      </c>
      <c r="N1766" s="11">
        <f t="shared" si="55"/>
        <v>2240.9699999940394</v>
      </c>
    </row>
    <row r="1767" spans="3:14" x14ac:dyDescent="0.3">
      <c r="C1767" s="6">
        <v>44310</v>
      </c>
      <c r="D1767" s="7" t="s">
        <v>183</v>
      </c>
      <c r="E1767" s="8">
        <v>2021</v>
      </c>
      <c r="F1767" s="9" t="s">
        <v>118</v>
      </c>
      <c r="G1767" s="9" t="s">
        <v>24</v>
      </c>
      <c r="H1767" s="10" t="s">
        <v>115</v>
      </c>
      <c r="I1767" s="7">
        <v>95</v>
      </c>
      <c r="J1767" s="11">
        <v>60</v>
      </c>
      <c r="K1767" s="11">
        <f t="shared" si="54"/>
        <v>5700</v>
      </c>
      <c r="L1767" s="11">
        <v>0.10000000149011599</v>
      </c>
      <c r="M1767" s="11">
        <v>684</v>
      </c>
      <c r="N1767" s="11">
        <f t="shared" si="55"/>
        <v>6383.8999999985099</v>
      </c>
    </row>
    <row r="1768" spans="3:14" x14ac:dyDescent="0.3">
      <c r="C1768" s="6">
        <v>44310</v>
      </c>
      <c r="D1768" s="7" t="s">
        <v>183</v>
      </c>
      <c r="E1768" s="8">
        <v>2021</v>
      </c>
      <c r="F1768" s="9" t="s">
        <v>118</v>
      </c>
      <c r="G1768" s="9" t="s">
        <v>24</v>
      </c>
      <c r="H1768" s="10" t="s">
        <v>25</v>
      </c>
      <c r="I1768" s="7">
        <v>55</v>
      </c>
      <c r="J1768" s="11">
        <v>31</v>
      </c>
      <c r="K1768" s="11">
        <f t="shared" si="54"/>
        <v>1705</v>
      </c>
      <c r="L1768" s="11">
        <v>0.10000000149011599</v>
      </c>
      <c r="M1768" s="11">
        <v>204.6</v>
      </c>
      <c r="N1768" s="11">
        <f t="shared" si="55"/>
        <v>1909.4999999985098</v>
      </c>
    </row>
    <row r="1769" spans="3:14" x14ac:dyDescent="0.3">
      <c r="C1769" s="6">
        <v>44310</v>
      </c>
      <c r="D1769" s="7" t="s">
        <v>183</v>
      </c>
      <c r="E1769" s="8">
        <v>2021</v>
      </c>
      <c r="F1769" s="9" t="s">
        <v>118</v>
      </c>
      <c r="G1769" s="9" t="s">
        <v>16</v>
      </c>
      <c r="H1769" s="10" t="s">
        <v>17</v>
      </c>
      <c r="I1769" s="7">
        <v>46</v>
      </c>
      <c r="J1769" s="11">
        <v>97</v>
      </c>
      <c r="K1769" s="11">
        <f t="shared" si="54"/>
        <v>4462</v>
      </c>
      <c r="L1769" s="11">
        <v>0</v>
      </c>
      <c r="M1769" s="11">
        <v>535.43999999999994</v>
      </c>
      <c r="N1769" s="11">
        <f t="shared" si="55"/>
        <v>4997.4399999999996</v>
      </c>
    </row>
    <row r="1770" spans="3:14" x14ac:dyDescent="0.3">
      <c r="C1770" s="6">
        <v>44310</v>
      </c>
      <c r="D1770" s="7" t="s">
        <v>183</v>
      </c>
      <c r="E1770" s="8">
        <v>2021</v>
      </c>
      <c r="F1770" s="9" t="s">
        <v>186</v>
      </c>
      <c r="G1770" s="9" t="s">
        <v>16</v>
      </c>
      <c r="H1770" s="10" t="s">
        <v>132</v>
      </c>
      <c r="I1770" s="7">
        <v>33</v>
      </c>
      <c r="J1770" s="11">
        <v>66</v>
      </c>
      <c r="K1770" s="11">
        <f t="shared" si="54"/>
        <v>2178</v>
      </c>
      <c r="L1770" s="11">
        <v>0</v>
      </c>
      <c r="M1770" s="11">
        <v>261.36</v>
      </c>
      <c r="N1770" s="11">
        <f t="shared" si="55"/>
        <v>2439.36</v>
      </c>
    </row>
    <row r="1771" spans="3:14" x14ac:dyDescent="0.3">
      <c r="C1771" s="6">
        <v>44310</v>
      </c>
      <c r="D1771" s="7" t="s">
        <v>183</v>
      </c>
      <c r="E1771" s="8">
        <v>2021</v>
      </c>
      <c r="F1771" s="9" t="s">
        <v>186</v>
      </c>
      <c r="G1771" s="9" t="s">
        <v>14</v>
      </c>
      <c r="H1771" s="10" t="s">
        <v>49</v>
      </c>
      <c r="I1771" s="7">
        <v>88</v>
      </c>
      <c r="J1771" s="11">
        <v>58</v>
      </c>
      <c r="K1771" s="11">
        <f t="shared" si="54"/>
        <v>5104</v>
      </c>
      <c r="L1771" s="11">
        <v>0</v>
      </c>
      <c r="M1771" s="11">
        <v>612.48</v>
      </c>
      <c r="N1771" s="11">
        <f t="shared" si="55"/>
        <v>5716.48</v>
      </c>
    </row>
    <row r="1772" spans="3:14" x14ac:dyDescent="0.3">
      <c r="C1772" s="6">
        <v>44310</v>
      </c>
      <c r="D1772" s="7" t="s">
        <v>183</v>
      </c>
      <c r="E1772" s="8">
        <v>2021</v>
      </c>
      <c r="F1772" s="9" t="s">
        <v>186</v>
      </c>
      <c r="G1772" s="9" t="s">
        <v>37</v>
      </c>
      <c r="H1772" s="10" t="s">
        <v>63</v>
      </c>
      <c r="I1772" s="7">
        <v>53</v>
      </c>
      <c r="J1772" s="11">
        <v>64</v>
      </c>
      <c r="K1772" s="11">
        <f t="shared" si="54"/>
        <v>3392</v>
      </c>
      <c r="L1772" s="11">
        <v>0</v>
      </c>
      <c r="M1772" s="11">
        <v>407.03999999999996</v>
      </c>
      <c r="N1772" s="11">
        <f t="shared" si="55"/>
        <v>3799.04</v>
      </c>
    </row>
    <row r="1773" spans="3:14" x14ac:dyDescent="0.3">
      <c r="C1773" s="6">
        <v>44311</v>
      </c>
      <c r="D1773" s="7" t="s">
        <v>183</v>
      </c>
      <c r="E1773" s="8">
        <v>2021</v>
      </c>
      <c r="F1773" s="9" t="s">
        <v>89</v>
      </c>
      <c r="G1773" s="9" t="s">
        <v>37</v>
      </c>
      <c r="H1773" s="10" t="s">
        <v>41</v>
      </c>
      <c r="I1773" s="7">
        <v>78</v>
      </c>
      <c r="J1773" s="11">
        <v>51</v>
      </c>
      <c r="K1773" s="11">
        <f t="shared" si="54"/>
        <v>3978</v>
      </c>
      <c r="L1773" s="11">
        <v>0</v>
      </c>
      <c r="M1773" s="11">
        <v>477.35999999999996</v>
      </c>
      <c r="N1773" s="11">
        <f t="shared" si="55"/>
        <v>4455.3599999999997</v>
      </c>
    </row>
    <row r="1774" spans="3:14" x14ac:dyDescent="0.3">
      <c r="C1774" s="6">
        <v>44311</v>
      </c>
      <c r="D1774" s="7" t="s">
        <v>183</v>
      </c>
      <c r="E1774" s="8">
        <v>2021</v>
      </c>
      <c r="F1774" s="9" t="s">
        <v>89</v>
      </c>
      <c r="G1774" s="9" t="s">
        <v>37</v>
      </c>
      <c r="H1774" s="10" t="s">
        <v>139</v>
      </c>
      <c r="I1774" s="7">
        <v>85</v>
      </c>
      <c r="J1774" s="11">
        <v>29</v>
      </c>
      <c r="K1774" s="11">
        <f t="shared" si="54"/>
        <v>2465</v>
      </c>
      <c r="L1774" s="11">
        <v>0</v>
      </c>
      <c r="M1774" s="11">
        <v>295.8</v>
      </c>
      <c r="N1774" s="11">
        <f t="shared" si="55"/>
        <v>2760.8</v>
      </c>
    </row>
    <row r="1775" spans="3:14" x14ac:dyDescent="0.3">
      <c r="C1775" s="6">
        <v>44311</v>
      </c>
      <c r="D1775" s="7" t="s">
        <v>183</v>
      </c>
      <c r="E1775" s="8">
        <v>2021</v>
      </c>
      <c r="F1775" s="9" t="s">
        <v>89</v>
      </c>
      <c r="G1775" s="9" t="s">
        <v>26</v>
      </c>
      <c r="H1775" s="10" t="s">
        <v>94</v>
      </c>
      <c r="I1775" s="7">
        <v>45</v>
      </c>
      <c r="J1775" s="11">
        <v>71</v>
      </c>
      <c r="K1775" s="11">
        <f t="shared" si="54"/>
        <v>3195</v>
      </c>
      <c r="L1775" s="11">
        <v>0</v>
      </c>
      <c r="M1775" s="11">
        <v>383.4</v>
      </c>
      <c r="N1775" s="11">
        <f t="shared" si="55"/>
        <v>3578.4</v>
      </c>
    </row>
    <row r="1776" spans="3:14" x14ac:dyDescent="0.3">
      <c r="C1776" s="6">
        <v>44314</v>
      </c>
      <c r="D1776" s="7" t="s">
        <v>183</v>
      </c>
      <c r="E1776" s="8">
        <v>2021</v>
      </c>
      <c r="F1776" s="9" t="s">
        <v>40</v>
      </c>
      <c r="G1776" s="9" t="s">
        <v>24</v>
      </c>
      <c r="H1776" s="10" t="s">
        <v>85</v>
      </c>
      <c r="I1776" s="7">
        <v>72</v>
      </c>
      <c r="J1776" s="11">
        <v>19</v>
      </c>
      <c r="K1776" s="11">
        <f t="shared" si="54"/>
        <v>1368</v>
      </c>
      <c r="L1776" s="11">
        <v>5.0000000745058101E-2</v>
      </c>
      <c r="M1776" s="11">
        <v>164.16</v>
      </c>
      <c r="N1776" s="11">
        <f t="shared" si="55"/>
        <v>1532.109999999255</v>
      </c>
    </row>
    <row r="1777" spans="3:14" x14ac:dyDescent="0.3">
      <c r="C1777" s="6">
        <v>44314</v>
      </c>
      <c r="D1777" s="7" t="s">
        <v>183</v>
      </c>
      <c r="E1777" s="8">
        <v>2021</v>
      </c>
      <c r="F1777" s="9" t="s">
        <v>40</v>
      </c>
      <c r="G1777" s="9" t="s">
        <v>16</v>
      </c>
      <c r="H1777" s="10" t="s">
        <v>68</v>
      </c>
      <c r="I1777" s="7">
        <v>69</v>
      </c>
      <c r="J1777" s="11">
        <v>24</v>
      </c>
      <c r="K1777" s="11">
        <f t="shared" si="54"/>
        <v>1656</v>
      </c>
      <c r="L1777" s="11">
        <v>0</v>
      </c>
      <c r="M1777" s="11">
        <v>198.72</v>
      </c>
      <c r="N1777" s="11">
        <f t="shared" si="55"/>
        <v>1854.72</v>
      </c>
    </row>
    <row r="1778" spans="3:14" x14ac:dyDescent="0.3">
      <c r="C1778" s="6">
        <v>44314</v>
      </c>
      <c r="D1778" s="7" t="s">
        <v>183</v>
      </c>
      <c r="E1778" s="8">
        <v>2021</v>
      </c>
      <c r="F1778" s="9" t="s">
        <v>40</v>
      </c>
      <c r="G1778" s="9" t="s">
        <v>14</v>
      </c>
      <c r="H1778" s="10" t="s">
        <v>35</v>
      </c>
      <c r="I1778" s="7">
        <v>79</v>
      </c>
      <c r="J1778" s="11">
        <v>42</v>
      </c>
      <c r="K1778" s="11">
        <f t="shared" si="54"/>
        <v>3318</v>
      </c>
      <c r="L1778" s="11">
        <v>5.0000000745058101E-2</v>
      </c>
      <c r="M1778" s="11">
        <v>398.15999999999997</v>
      </c>
      <c r="N1778" s="11">
        <f t="shared" si="55"/>
        <v>3716.1099999992548</v>
      </c>
    </row>
    <row r="1779" spans="3:14" x14ac:dyDescent="0.3">
      <c r="C1779" s="6">
        <v>44315</v>
      </c>
      <c r="D1779" s="7" t="s">
        <v>183</v>
      </c>
      <c r="E1779" s="8">
        <v>2021</v>
      </c>
      <c r="F1779" s="9" t="s">
        <v>164</v>
      </c>
      <c r="G1779" s="9" t="s">
        <v>37</v>
      </c>
      <c r="H1779" s="10" t="s">
        <v>41</v>
      </c>
      <c r="I1779" s="7">
        <v>35</v>
      </c>
      <c r="J1779" s="11">
        <v>24</v>
      </c>
      <c r="K1779" s="11">
        <f t="shared" si="54"/>
        <v>840</v>
      </c>
      <c r="L1779" s="11">
        <v>0</v>
      </c>
      <c r="M1779" s="11">
        <v>100.8</v>
      </c>
      <c r="N1779" s="11">
        <f t="shared" si="55"/>
        <v>940.8</v>
      </c>
    </row>
    <row r="1780" spans="3:14" x14ac:dyDescent="0.3">
      <c r="C1780" s="6">
        <v>44315</v>
      </c>
      <c r="D1780" s="7" t="s">
        <v>183</v>
      </c>
      <c r="E1780" s="8">
        <v>2021</v>
      </c>
      <c r="F1780" s="9" t="s">
        <v>164</v>
      </c>
      <c r="G1780" s="9" t="s">
        <v>42</v>
      </c>
      <c r="H1780" s="10" t="s">
        <v>51</v>
      </c>
      <c r="I1780" s="7">
        <v>83</v>
      </c>
      <c r="J1780" s="11">
        <v>87</v>
      </c>
      <c r="K1780" s="11">
        <f t="shared" si="54"/>
        <v>7221</v>
      </c>
      <c r="L1780" s="11">
        <v>0</v>
      </c>
      <c r="M1780" s="11">
        <v>866.52</v>
      </c>
      <c r="N1780" s="11">
        <f t="shared" si="55"/>
        <v>8087.52</v>
      </c>
    </row>
    <row r="1781" spans="3:14" x14ac:dyDescent="0.3">
      <c r="C1781" s="6">
        <v>44315</v>
      </c>
      <c r="D1781" s="7" t="s">
        <v>183</v>
      </c>
      <c r="E1781" s="8">
        <v>2021</v>
      </c>
      <c r="F1781" s="9" t="s">
        <v>187</v>
      </c>
      <c r="G1781" s="9" t="s">
        <v>37</v>
      </c>
      <c r="H1781" s="10" t="s">
        <v>65</v>
      </c>
      <c r="I1781" s="7">
        <v>63</v>
      </c>
      <c r="J1781" s="11">
        <v>65</v>
      </c>
      <c r="K1781" s="11">
        <f t="shared" si="54"/>
        <v>4095</v>
      </c>
      <c r="L1781" s="11">
        <v>0</v>
      </c>
      <c r="M1781" s="11">
        <v>491.4</v>
      </c>
      <c r="N1781" s="11">
        <f t="shared" si="55"/>
        <v>4586.3999999999996</v>
      </c>
    </row>
    <row r="1782" spans="3:14" x14ac:dyDescent="0.3">
      <c r="C1782" s="6">
        <v>44315</v>
      </c>
      <c r="D1782" s="7" t="s">
        <v>183</v>
      </c>
      <c r="E1782" s="8">
        <v>2021</v>
      </c>
      <c r="F1782" s="9" t="s">
        <v>187</v>
      </c>
      <c r="G1782" s="9" t="s">
        <v>24</v>
      </c>
      <c r="H1782" s="10" t="s">
        <v>25</v>
      </c>
      <c r="I1782" s="7">
        <v>91</v>
      </c>
      <c r="J1782" s="11">
        <v>24</v>
      </c>
      <c r="K1782" s="11">
        <f t="shared" si="54"/>
        <v>2184</v>
      </c>
      <c r="L1782" s="11">
        <v>0</v>
      </c>
      <c r="M1782" s="11">
        <v>262.08</v>
      </c>
      <c r="N1782" s="11">
        <f t="shared" si="55"/>
        <v>2446.08</v>
      </c>
    </row>
    <row r="1783" spans="3:14" x14ac:dyDescent="0.3">
      <c r="C1783" s="6">
        <v>44315</v>
      </c>
      <c r="D1783" s="7" t="s">
        <v>183</v>
      </c>
      <c r="E1783" s="8">
        <v>2021</v>
      </c>
      <c r="F1783" s="9" t="s">
        <v>187</v>
      </c>
      <c r="G1783" s="9" t="s">
        <v>32</v>
      </c>
      <c r="H1783" s="10" t="s">
        <v>110</v>
      </c>
      <c r="I1783" s="7">
        <v>5</v>
      </c>
      <c r="J1783" s="11">
        <v>76</v>
      </c>
      <c r="K1783" s="11">
        <f t="shared" si="54"/>
        <v>380</v>
      </c>
      <c r="L1783" s="11">
        <v>0</v>
      </c>
      <c r="M1783" s="11">
        <v>45.6</v>
      </c>
      <c r="N1783" s="11">
        <f t="shared" si="55"/>
        <v>425.6</v>
      </c>
    </row>
    <row r="1784" spans="3:14" x14ac:dyDescent="0.3">
      <c r="C1784" s="6">
        <v>44316</v>
      </c>
      <c r="D1784" s="7" t="s">
        <v>183</v>
      </c>
      <c r="E1784" s="8">
        <v>2021</v>
      </c>
      <c r="F1784" s="9" t="s">
        <v>97</v>
      </c>
      <c r="G1784" s="9" t="s">
        <v>37</v>
      </c>
      <c r="H1784" s="10" t="s">
        <v>104</v>
      </c>
      <c r="I1784" s="7">
        <v>52</v>
      </c>
      <c r="J1784" s="11">
        <v>88</v>
      </c>
      <c r="K1784" s="11">
        <f t="shared" si="54"/>
        <v>4576</v>
      </c>
      <c r="L1784" s="11">
        <v>0.20000000298023199</v>
      </c>
      <c r="M1784" s="11">
        <v>549.12</v>
      </c>
      <c r="N1784" s="11">
        <f t="shared" si="55"/>
        <v>5124.9199999970197</v>
      </c>
    </row>
    <row r="1785" spans="3:14" x14ac:dyDescent="0.3">
      <c r="C1785" s="6">
        <v>44316</v>
      </c>
      <c r="D1785" s="7" t="s">
        <v>183</v>
      </c>
      <c r="E1785" s="8">
        <v>2021</v>
      </c>
      <c r="F1785" s="9" t="s">
        <v>97</v>
      </c>
      <c r="G1785" s="9" t="s">
        <v>26</v>
      </c>
      <c r="H1785" s="10" t="s">
        <v>148</v>
      </c>
      <c r="I1785" s="7">
        <v>100</v>
      </c>
      <c r="J1785" s="11">
        <v>86</v>
      </c>
      <c r="K1785" s="11">
        <f t="shared" si="54"/>
        <v>8600</v>
      </c>
      <c r="L1785" s="11">
        <v>0</v>
      </c>
      <c r="M1785" s="11">
        <v>1032</v>
      </c>
      <c r="N1785" s="11">
        <f t="shared" si="55"/>
        <v>9632</v>
      </c>
    </row>
    <row r="1786" spans="3:14" x14ac:dyDescent="0.3">
      <c r="C1786" s="6">
        <v>44316</v>
      </c>
      <c r="D1786" s="7" t="s">
        <v>183</v>
      </c>
      <c r="E1786" s="8">
        <v>2021</v>
      </c>
      <c r="F1786" s="9" t="s">
        <v>97</v>
      </c>
      <c r="G1786" s="9" t="s">
        <v>24</v>
      </c>
      <c r="H1786" s="10" t="s">
        <v>69</v>
      </c>
      <c r="I1786" s="7">
        <v>3</v>
      </c>
      <c r="J1786" s="11">
        <v>46</v>
      </c>
      <c r="K1786" s="11">
        <f t="shared" si="54"/>
        <v>138</v>
      </c>
      <c r="L1786" s="11">
        <v>0.20000000298023199</v>
      </c>
      <c r="M1786" s="11">
        <v>16.559999999999999</v>
      </c>
      <c r="N1786" s="11">
        <f t="shared" si="55"/>
        <v>154.35999999701977</v>
      </c>
    </row>
    <row r="1787" spans="3:14" x14ac:dyDescent="0.3">
      <c r="C1787" s="6">
        <v>44316</v>
      </c>
      <c r="D1787" s="7" t="s">
        <v>183</v>
      </c>
      <c r="E1787" s="8">
        <v>2021</v>
      </c>
      <c r="F1787" s="9" t="s">
        <v>97</v>
      </c>
      <c r="G1787" s="9" t="s">
        <v>24</v>
      </c>
      <c r="H1787" s="10" t="s">
        <v>76</v>
      </c>
      <c r="I1787" s="7">
        <v>40</v>
      </c>
      <c r="J1787" s="11">
        <v>79</v>
      </c>
      <c r="K1787" s="11">
        <f t="shared" si="54"/>
        <v>3160</v>
      </c>
      <c r="L1787" s="11">
        <v>0.20000000298023199</v>
      </c>
      <c r="M1787" s="11">
        <v>379.2</v>
      </c>
      <c r="N1787" s="11">
        <f t="shared" si="55"/>
        <v>3538.9999999970196</v>
      </c>
    </row>
    <row r="1788" spans="3:14" x14ac:dyDescent="0.3">
      <c r="C1788" s="6">
        <v>44317</v>
      </c>
      <c r="D1788" s="7" t="s">
        <v>188</v>
      </c>
      <c r="E1788" s="8">
        <v>2021</v>
      </c>
      <c r="F1788" s="9" t="s">
        <v>154</v>
      </c>
      <c r="G1788" s="9" t="s">
        <v>42</v>
      </c>
      <c r="H1788" s="10" t="s">
        <v>72</v>
      </c>
      <c r="I1788" s="7">
        <v>37</v>
      </c>
      <c r="J1788" s="11">
        <v>74</v>
      </c>
      <c r="K1788" s="11">
        <f t="shared" si="54"/>
        <v>2738</v>
      </c>
      <c r="L1788" s="11">
        <v>0.10000000149011599</v>
      </c>
      <c r="M1788" s="11">
        <v>328.56</v>
      </c>
      <c r="N1788" s="11">
        <f t="shared" si="55"/>
        <v>3066.4599999985098</v>
      </c>
    </row>
    <row r="1789" spans="3:14" x14ac:dyDescent="0.3">
      <c r="C1789" s="6">
        <v>44317</v>
      </c>
      <c r="D1789" s="7" t="s">
        <v>188</v>
      </c>
      <c r="E1789" s="8">
        <v>2021</v>
      </c>
      <c r="F1789" s="9" t="s">
        <v>154</v>
      </c>
      <c r="G1789" s="9" t="s">
        <v>32</v>
      </c>
      <c r="H1789" s="10" t="s">
        <v>33</v>
      </c>
      <c r="I1789" s="7">
        <v>3</v>
      </c>
      <c r="J1789" s="11">
        <v>68</v>
      </c>
      <c r="K1789" s="11">
        <f t="shared" si="54"/>
        <v>204</v>
      </c>
      <c r="L1789" s="11">
        <v>0.10000000149011599</v>
      </c>
      <c r="M1789" s="11">
        <v>24.48</v>
      </c>
      <c r="N1789" s="11">
        <f t="shared" si="55"/>
        <v>228.37999999850987</v>
      </c>
    </row>
    <row r="1790" spans="3:14" x14ac:dyDescent="0.3">
      <c r="C1790" s="6">
        <v>44317</v>
      </c>
      <c r="D1790" s="7" t="s">
        <v>188</v>
      </c>
      <c r="E1790" s="8">
        <v>2021</v>
      </c>
      <c r="F1790" s="9" t="s">
        <v>154</v>
      </c>
      <c r="G1790" s="9" t="s">
        <v>24</v>
      </c>
      <c r="H1790" s="10" t="s">
        <v>60</v>
      </c>
      <c r="I1790" s="7">
        <v>21</v>
      </c>
      <c r="J1790" s="11">
        <v>18</v>
      </c>
      <c r="K1790" s="11">
        <f t="shared" si="54"/>
        <v>378</v>
      </c>
      <c r="L1790" s="11">
        <v>0.10000000149011599</v>
      </c>
      <c r="M1790" s="11">
        <v>45.36</v>
      </c>
      <c r="N1790" s="11">
        <f t="shared" si="55"/>
        <v>423.2599999985099</v>
      </c>
    </row>
    <row r="1791" spans="3:14" x14ac:dyDescent="0.3">
      <c r="C1791" s="6">
        <v>44317</v>
      </c>
      <c r="D1791" s="7" t="s">
        <v>188</v>
      </c>
      <c r="E1791" s="8">
        <v>2021</v>
      </c>
      <c r="F1791" s="9" t="s">
        <v>154</v>
      </c>
      <c r="G1791" s="9" t="s">
        <v>24</v>
      </c>
      <c r="H1791" s="10" t="s">
        <v>25</v>
      </c>
      <c r="I1791" s="7">
        <v>3</v>
      </c>
      <c r="J1791" s="11">
        <v>69</v>
      </c>
      <c r="K1791" s="11">
        <f t="shared" si="54"/>
        <v>207</v>
      </c>
      <c r="L1791" s="11">
        <v>0.10000000149011599</v>
      </c>
      <c r="M1791" s="11">
        <v>24.84</v>
      </c>
      <c r="N1791" s="11">
        <f t="shared" si="55"/>
        <v>231.73999999850989</v>
      </c>
    </row>
    <row r="1792" spans="3:14" x14ac:dyDescent="0.3">
      <c r="C1792" s="6">
        <v>44317</v>
      </c>
      <c r="D1792" s="7" t="s">
        <v>188</v>
      </c>
      <c r="E1792" s="8">
        <v>2021</v>
      </c>
      <c r="F1792" s="9" t="s">
        <v>93</v>
      </c>
      <c r="G1792" s="9" t="s">
        <v>24</v>
      </c>
      <c r="H1792" s="10" t="s">
        <v>85</v>
      </c>
      <c r="I1792" s="7">
        <v>75</v>
      </c>
      <c r="J1792" s="11">
        <v>73</v>
      </c>
      <c r="K1792" s="11">
        <f t="shared" si="54"/>
        <v>5475</v>
      </c>
      <c r="L1792" s="11">
        <v>0</v>
      </c>
      <c r="M1792" s="11">
        <v>657</v>
      </c>
      <c r="N1792" s="11">
        <f t="shared" si="55"/>
        <v>6132</v>
      </c>
    </row>
    <row r="1793" spans="3:14" x14ac:dyDescent="0.3">
      <c r="C1793" s="6">
        <v>44317</v>
      </c>
      <c r="D1793" s="7" t="s">
        <v>188</v>
      </c>
      <c r="E1793" s="8">
        <v>2021</v>
      </c>
      <c r="F1793" s="9" t="s">
        <v>93</v>
      </c>
      <c r="G1793" s="9" t="s">
        <v>24</v>
      </c>
      <c r="H1793" s="10" t="s">
        <v>69</v>
      </c>
      <c r="I1793" s="7">
        <v>1</v>
      </c>
      <c r="J1793" s="11">
        <v>60</v>
      </c>
      <c r="K1793" s="11">
        <f t="shared" si="54"/>
        <v>60</v>
      </c>
      <c r="L1793" s="11">
        <v>0</v>
      </c>
      <c r="M1793" s="11">
        <v>7.1999999999999993</v>
      </c>
      <c r="N1793" s="11">
        <f t="shared" si="55"/>
        <v>67.2</v>
      </c>
    </row>
    <row r="1794" spans="3:14" x14ac:dyDescent="0.3">
      <c r="C1794" s="6">
        <v>44317</v>
      </c>
      <c r="D1794" s="7" t="s">
        <v>188</v>
      </c>
      <c r="E1794" s="8">
        <v>2021</v>
      </c>
      <c r="F1794" s="9" t="s">
        <v>93</v>
      </c>
      <c r="G1794" s="9" t="s">
        <v>37</v>
      </c>
      <c r="H1794" s="10" t="s">
        <v>82</v>
      </c>
      <c r="I1794" s="7">
        <v>95</v>
      </c>
      <c r="J1794" s="11">
        <v>91</v>
      </c>
      <c r="K1794" s="11">
        <f t="shared" si="54"/>
        <v>8645</v>
      </c>
      <c r="L1794" s="11">
        <v>0</v>
      </c>
      <c r="M1794" s="11">
        <v>1037.3999999999999</v>
      </c>
      <c r="N1794" s="11">
        <f t="shared" si="55"/>
        <v>9682.4</v>
      </c>
    </row>
    <row r="1795" spans="3:14" x14ac:dyDescent="0.3">
      <c r="C1795" s="6">
        <v>44317</v>
      </c>
      <c r="D1795" s="7" t="s">
        <v>188</v>
      </c>
      <c r="E1795" s="8">
        <v>2021</v>
      </c>
      <c r="F1795" s="9" t="s">
        <v>93</v>
      </c>
      <c r="G1795" s="9" t="s">
        <v>42</v>
      </c>
      <c r="H1795" s="10" t="s">
        <v>109</v>
      </c>
      <c r="I1795" s="7">
        <v>55</v>
      </c>
      <c r="J1795" s="11">
        <v>43</v>
      </c>
      <c r="K1795" s="11">
        <f t="shared" ref="K1795:K1858" si="56">J1795*I1795</f>
        <v>2365</v>
      </c>
      <c r="L1795" s="11">
        <v>0</v>
      </c>
      <c r="M1795" s="11">
        <v>283.8</v>
      </c>
      <c r="N1795" s="11">
        <f t="shared" ref="N1795:N1858" si="57">K1795-L1795+M1795</f>
        <v>2648.8</v>
      </c>
    </row>
    <row r="1796" spans="3:14" x14ac:dyDescent="0.3">
      <c r="C1796" s="6">
        <v>44318</v>
      </c>
      <c r="D1796" s="7" t="s">
        <v>188</v>
      </c>
      <c r="E1796" s="8">
        <v>2021</v>
      </c>
      <c r="F1796" s="9" t="s">
        <v>141</v>
      </c>
      <c r="G1796" s="9" t="s">
        <v>24</v>
      </c>
      <c r="H1796" s="10" t="s">
        <v>48</v>
      </c>
      <c r="I1796" s="7">
        <v>84</v>
      </c>
      <c r="J1796" s="11">
        <v>77</v>
      </c>
      <c r="K1796" s="11">
        <f t="shared" si="56"/>
        <v>6468</v>
      </c>
      <c r="L1796" s="11">
        <v>0</v>
      </c>
      <c r="M1796" s="11">
        <v>776.16</v>
      </c>
      <c r="N1796" s="11">
        <f t="shared" si="57"/>
        <v>7244.16</v>
      </c>
    </row>
    <row r="1797" spans="3:14" x14ac:dyDescent="0.3">
      <c r="C1797" s="6">
        <v>44318</v>
      </c>
      <c r="D1797" s="7" t="s">
        <v>188</v>
      </c>
      <c r="E1797" s="8">
        <v>2021</v>
      </c>
      <c r="F1797" s="9" t="s">
        <v>141</v>
      </c>
      <c r="G1797" s="9" t="s">
        <v>24</v>
      </c>
      <c r="H1797" s="10" t="s">
        <v>76</v>
      </c>
      <c r="I1797" s="7">
        <v>53</v>
      </c>
      <c r="J1797" s="11">
        <v>91</v>
      </c>
      <c r="K1797" s="11">
        <f t="shared" si="56"/>
        <v>4823</v>
      </c>
      <c r="L1797" s="11">
        <v>0.10000000149011599</v>
      </c>
      <c r="M1797" s="11">
        <v>578.76</v>
      </c>
      <c r="N1797" s="11">
        <f t="shared" si="57"/>
        <v>5401.6599999985101</v>
      </c>
    </row>
    <row r="1798" spans="3:14" x14ac:dyDescent="0.3">
      <c r="C1798" s="6">
        <v>44321</v>
      </c>
      <c r="D1798" s="7" t="s">
        <v>188</v>
      </c>
      <c r="E1798" s="8">
        <v>2021</v>
      </c>
      <c r="F1798" s="9" t="s">
        <v>73</v>
      </c>
      <c r="G1798" s="9" t="s">
        <v>37</v>
      </c>
      <c r="H1798" s="10" t="s">
        <v>104</v>
      </c>
      <c r="I1798" s="7">
        <v>49</v>
      </c>
      <c r="J1798" s="11">
        <v>79</v>
      </c>
      <c r="K1798" s="11">
        <f t="shared" si="56"/>
        <v>3871</v>
      </c>
      <c r="L1798" s="11">
        <v>0.15000000596046401</v>
      </c>
      <c r="M1798" s="11">
        <v>464.52</v>
      </c>
      <c r="N1798" s="11">
        <f t="shared" si="57"/>
        <v>4335.36999999404</v>
      </c>
    </row>
    <row r="1799" spans="3:14" x14ac:dyDescent="0.3">
      <c r="C1799" s="6">
        <v>44321</v>
      </c>
      <c r="D1799" s="7" t="s">
        <v>188</v>
      </c>
      <c r="E1799" s="8">
        <v>2021</v>
      </c>
      <c r="F1799" s="9" t="s">
        <v>73</v>
      </c>
      <c r="G1799" s="9" t="s">
        <v>24</v>
      </c>
      <c r="H1799" s="10" t="s">
        <v>90</v>
      </c>
      <c r="I1799" s="7">
        <v>42</v>
      </c>
      <c r="J1799" s="11">
        <v>12</v>
      </c>
      <c r="K1799" s="11">
        <f t="shared" si="56"/>
        <v>504</v>
      </c>
      <c r="L1799" s="11">
        <v>0</v>
      </c>
      <c r="M1799" s="11">
        <v>60.48</v>
      </c>
      <c r="N1799" s="11">
        <f t="shared" si="57"/>
        <v>564.48</v>
      </c>
    </row>
    <row r="1800" spans="3:14" x14ac:dyDescent="0.3">
      <c r="C1800" s="6">
        <v>44321</v>
      </c>
      <c r="D1800" s="7" t="s">
        <v>188</v>
      </c>
      <c r="E1800" s="8">
        <v>2021</v>
      </c>
      <c r="F1800" s="9" t="s">
        <v>73</v>
      </c>
      <c r="G1800" s="9" t="s">
        <v>16</v>
      </c>
      <c r="H1800" s="10" t="s">
        <v>68</v>
      </c>
      <c r="I1800" s="7">
        <v>6</v>
      </c>
      <c r="J1800" s="11">
        <v>59</v>
      </c>
      <c r="K1800" s="11">
        <f t="shared" si="56"/>
        <v>354</v>
      </c>
      <c r="L1800" s="11">
        <v>0.15000000596046401</v>
      </c>
      <c r="M1800" s="11">
        <v>42.48</v>
      </c>
      <c r="N1800" s="11">
        <f t="shared" si="57"/>
        <v>396.32999999403955</v>
      </c>
    </row>
    <row r="1801" spans="3:14" x14ac:dyDescent="0.3">
      <c r="C1801" s="6">
        <v>44321</v>
      </c>
      <c r="D1801" s="7" t="s">
        <v>188</v>
      </c>
      <c r="E1801" s="8">
        <v>2021</v>
      </c>
      <c r="F1801" s="9" t="s">
        <v>84</v>
      </c>
      <c r="G1801" s="9" t="s">
        <v>26</v>
      </c>
      <c r="H1801" s="10" t="s">
        <v>124</v>
      </c>
      <c r="I1801" s="7">
        <v>79</v>
      </c>
      <c r="J1801" s="11">
        <v>58</v>
      </c>
      <c r="K1801" s="11">
        <f t="shared" si="56"/>
        <v>4582</v>
      </c>
      <c r="L1801" s="11">
        <v>0.10000000149011599</v>
      </c>
      <c r="M1801" s="11">
        <v>549.84</v>
      </c>
      <c r="N1801" s="11">
        <f t="shared" si="57"/>
        <v>5131.73999999851</v>
      </c>
    </row>
    <row r="1802" spans="3:14" x14ac:dyDescent="0.3">
      <c r="C1802" s="6">
        <v>44321</v>
      </c>
      <c r="D1802" s="7" t="s">
        <v>188</v>
      </c>
      <c r="E1802" s="8">
        <v>2021</v>
      </c>
      <c r="F1802" s="9" t="s">
        <v>84</v>
      </c>
      <c r="G1802" s="9" t="s">
        <v>24</v>
      </c>
      <c r="H1802" s="10" t="s">
        <v>48</v>
      </c>
      <c r="I1802" s="7">
        <v>66</v>
      </c>
      <c r="J1802" s="11">
        <v>89</v>
      </c>
      <c r="K1802" s="11">
        <f t="shared" si="56"/>
        <v>5874</v>
      </c>
      <c r="L1802" s="11">
        <v>0.10000000149011599</v>
      </c>
      <c r="M1802" s="11">
        <v>704.88</v>
      </c>
      <c r="N1802" s="11">
        <f t="shared" si="57"/>
        <v>6578.77999999851</v>
      </c>
    </row>
    <row r="1803" spans="3:14" x14ac:dyDescent="0.3">
      <c r="C1803" s="6">
        <v>44322</v>
      </c>
      <c r="D1803" s="7" t="s">
        <v>188</v>
      </c>
      <c r="E1803" s="8">
        <v>2021</v>
      </c>
      <c r="F1803" s="9" t="s">
        <v>189</v>
      </c>
      <c r="G1803" s="9" t="s">
        <v>14</v>
      </c>
      <c r="H1803" s="10" t="s">
        <v>15</v>
      </c>
      <c r="I1803" s="7">
        <v>91</v>
      </c>
      <c r="J1803" s="11">
        <v>79</v>
      </c>
      <c r="K1803" s="11">
        <f t="shared" si="56"/>
        <v>7189</v>
      </c>
      <c r="L1803" s="11">
        <v>0</v>
      </c>
      <c r="M1803" s="11">
        <v>862.68</v>
      </c>
      <c r="N1803" s="11">
        <f t="shared" si="57"/>
        <v>8051.68</v>
      </c>
    </row>
    <row r="1804" spans="3:14" x14ac:dyDescent="0.3">
      <c r="C1804" s="6">
        <v>44322</v>
      </c>
      <c r="D1804" s="7" t="s">
        <v>188</v>
      </c>
      <c r="E1804" s="8">
        <v>2021</v>
      </c>
      <c r="F1804" s="9" t="s">
        <v>189</v>
      </c>
      <c r="G1804" s="9" t="s">
        <v>14</v>
      </c>
      <c r="H1804" s="10" t="s">
        <v>34</v>
      </c>
      <c r="I1804" s="7">
        <v>57</v>
      </c>
      <c r="J1804" s="11">
        <v>38</v>
      </c>
      <c r="K1804" s="11">
        <f t="shared" si="56"/>
        <v>2166</v>
      </c>
      <c r="L1804" s="11">
        <v>0.20000000298023199</v>
      </c>
      <c r="M1804" s="11">
        <v>259.92</v>
      </c>
      <c r="N1804" s="11">
        <f t="shared" si="57"/>
        <v>2425.7199999970198</v>
      </c>
    </row>
    <row r="1805" spans="3:14" x14ac:dyDescent="0.3">
      <c r="C1805" s="6">
        <v>44322</v>
      </c>
      <c r="D1805" s="7" t="s">
        <v>188</v>
      </c>
      <c r="E1805" s="8">
        <v>2021</v>
      </c>
      <c r="F1805" s="9" t="s">
        <v>189</v>
      </c>
      <c r="G1805" s="9" t="s">
        <v>14</v>
      </c>
      <c r="H1805" s="10" t="s">
        <v>18</v>
      </c>
      <c r="I1805" s="7">
        <v>23</v>
      </c>
      <c r="J1805" s="11">
        <v>60</v>
      </c>
      <c r="K1805" s="11">
        <f t="shared" si="56"/>
        <v>1380</v>
      </c>
      <c r="L1805" s="11">
        <v>0</v>
      </c>
      <c r="M1805" s="11">
        <v>165.6</v>
      </c>
      <c r="N1805" s="11">
        <f t="shared" si="57"/>
        <v>1545.6</v>
      </c>
    </row>
    <row r="1806" spans="3:14" x14ac:dyDescent="0.3">
      <c r="C1806" s="6">
        <v>44323</v>
      </c>
      <c r="D1806" s="7" t="s">
        <v>188</v>
      </c>
      <c r="E1806" s="8">
        <v>2021</v>
      </c>
      <c r="F1806" s="9" t="s">
        <v>190</v>
      </c>
      <c r="G1806" s="9" t="s">
        <v>42</v>
      </c>
      <c r="H1806" s="10" t="s">
        <v>43</v>
      </c>
      <c r="I1806" s="7">
        <v>43</v>
      </c>
      <c r="J1806" s="11">
        <v>82</v>
      </c>
      <c r="K1806" s="11">
        <f t="shared" si="56"/>
        <v>3526</v>
      </c>
      <c r="L1806" s="11">
        <v>0</v>
      </c>
      <c r="M1806" s="11">
        <v>423.12</v>
      </c>
      <c r="N1806" s="11">
        <f t="shared" si="57"/>
        <v>3949.12</v>
      </c>
    </row>
    <row r="1807" spans="3:14" x14ac:dyDescent="0.3">
      <c r="C1807" s="6">
        <v>44323</v>
      </c>
      <c r="D1807" s="7" t="s">
        <v>188</v>
      </c>
      <c r="E1807" s="8">
        <v>2021</v>
      </c>
      <c r="F1807" s="9" t="s">
        <v>190</v>
      </c>
      <c r="G1807" s="9" t="s">
        <v>32</v>
      </c>
      <c r="H1807" s="10" t="s">
        <v>110</v>
      </c>
      <c r="I1807" s="7">
        <v>24</v>
      </c>
      <c r="J1807" s="11">
        <v>80</v>
      </c>
      <c r="K1807" s="11">
        <f t="shared" si="56"/>
        <v>1920</v>
      </c>
      <c r="L1807" s="11">
        <v>0</v>
      </c>
      <c r="M1807" s="11">
        <v>230.39999999999998</v>
      </c>
      <c r="N1807" s="11">
        <f t="shared" si="57"/>
        <v>2150.4</v>
      </c>
    </row>
    <row r="1808" spans="3:14" x14ac:dyDescent="0.3">
      <c r="C1808" s="6">
        <v>44323</v>
      </c>
      <c r="D1808" s="7" t="s">
        <v>188</v>
      </c>
      <c r="E1808" s="8">
        <v>2021</v>
      </c>
      <c r="F1808" s="9" t="s">
        <v>190</v>
      </c>
      <c r="G1808" s="9" t="s">
        <v>14</v>
      </c>
      <c r="H1808" s="10" t="s">
        <v>117</v>
      </c>
      <c r="I1808" s="7">
        <v>54</v>
      </c>
      <c r="J1808" s="11">
        <v>58</v>
      </c>
      <c r="K1808" s="11">
        <f t="shared" si="56"/>
        <v>3132</v>
      </c>
      <c r="L1808" s="11">
        <v>0</v>
      </c>
      <c r="M1808" s="11">
        <v>375.84</v>
      </c>
      <c r="N1808" s="11">
        <f t="shared" si="57"/>
        <v>3507.84</v>
      </c>
    </row>
    <row r="1809" spans="3:14" x14ac:dyDescent="0.3">
      <c r="C1809" s="6">
        <v>44324</v>
      </c>
      <c r="D1809" s="7" t="s">
        <v>188</v>
      </c>
      <c r="E1809" s="8">
        <v>2021</v>
      </c>
      <c r="F1809" s="9" t="s">
        <v>152</v>
      </c>
      <c r="G1809" s="9" t="s">
        <v>42</v>
      </c>
      <c r="H1809" s="10" t="s">
        <v>72</v>
      </c>
      <c r="I1809" s="7">
        <v>77</v>
      </c>
      <c r="J1809" s="11">
        <v>89</v>
      </c>
      <c r="K1809" s="11">
        <f t="shared" si="56"/>
        <v>6853</v>
      </c>
      <c r="L1809" s="11">
        <v>0</v>
      </c>
      <c r="M1809" s="11">
        <v>822.36</v>
      </c>
      <c r="N1809" s="11">
        <f t="shared" si="57"/>
        <v>7675.36</v>
      </c>
    </row>
    <row r="1810" spans="3:14" x14ac:dyDescent="0.3">
      <c r="C1810" s="6">
        <v>44324</v>
      </c>
      <c r="D1810" s="7" t="s">
        <v>188</v>
      </c>
      <c r="E1810" s="8">
        <v>2021</v>
      </c>
      <c r="F1810" s="9" t="s">
        <v>152</v>
      </c>
      <c r="G1810" s="9" t="s">
        <v>37</v>
      </c>
      <c r="H1810" s="10" t="s">
        <v>82</v>
      </c>
      <c r="I1810" s="7">
        <v>57</v>
      </c>
      <c r="J1810" s="11">
        <v>24</v>
      </c>
      <c r="K1810" s="11">
        <f t="shared" si="56"/>
        <v>1368</v>
      </c>
      <c r="L1810" s="11">
        <v>0</v>
      </c>
      <c r="M1810" s="11">
        <v>164.16</v>
      </c>
      <c r="N1810" s="11">
        <f t="shared" si="57"/>
        <v>1532.16</v>
      </c>
    </row>
    <row r="1811" spans="3:14" x14ac:dyDescent="0.3">
      <c r="C1811" s="6">
        <v>44324</v>
      </c>
      <c r="D1811" s="7" t="s">
        <v>188</v>
      </c>
      <c r="E1811" s="8">
        <v>2021</v>
      </c>
      <c r="F1811" s="9" t="s">
        <v>152</v>
      </c>
      <c r="G1811" s="9" t="s">
        <v>26</v>
      </c>
      <c r="H1811" s="10" t="s">
        <v>173</v>
      </c>
      <c r="I1811" s="7">
        <v>34</v>
      </c>
      <c r="J1811" s="11">
        <v>27</v>
      </c>
      <c r="K1811" s="11">
        <f t="shared" si="56"/>
        <v>918</v>
      </c>
      <c r="L1811" s="11">
        <v>0</v>
      </c>
      <c r="M1811" s="11">
        <v>110.16</v>
      </c>
      <c r="N1811" s="11">
        <f t="shared" si="57"/>
        <v>1028.1600000000001</v>
      </c>
    </row>
    <row r="1812" spans="3:14" x14ac:dyDescent="0.3">
      <c r="C1812" s="6">
        <v>44324</v>
      </c>
      <c r="D1812" s="7" t="s">
        <v>188</v>
      </c>
      <c r="E1812" s="8">
        <v>2021</v>
      </c>
      <c r="F1812" s="9" t="s">
        <v>152</v>
      </c>
      <c r="G1812" s="9" t="s">
        <v>37</v>
      </c>
      <c r="H1812" s="10" t="s">
        <v>77</v>
      </c>
      <c r="I1812" s="7">
        <v>78</v>
      </c>
      <c r="J1812" s="11">
        <v>37</v>
      </c>
      <c r="K1812" s="11">
        <f t="shared" si="56"/>
        <v>2886</v>
      </c>
      <c r="L1812" s="11">
        <v>0</v>
      </c>
      <c r="M1812" s="11">
        <v>346.32</v>
      </c>
      <c r="N1812" s="11">
        <f t="shared" si="57"/>
        <v>3232.32</v>
      </c>
    </row>
    <row r="1813" spans="3:14" x14ac:dyDescent="0.3">
      <c r="C1813" s="6">
        <v>44324</v>
      </c>
      <c r="D1813" s="7" t="s">
        <v>188</v>
      </c>
      <c r="E1813" s="8">
        <v>2021</v>
      </c>
      <c r="F1813" s="9" t="s">
        <v>172</v>
      </c>
      <c r="G1813" s="9" t="s">
        <v>14</v>
      </c>
      <c r="H1813" s="10" t="s">
        <v>49</v>
      </c>
      <c r="I1813" s="7">
        <v>88</v>
      </c>
      <c r="J1813" s="11">
        <v>41</v>
      </c>
      <c r="K1813" s="11">
        <f t="shared" si="56"/>
        <v>3608</v>
      </c>
      <c r="L1813" s="11">
        <v>0</v>
      </c>
      <c r="M1813" s="11">
        <v>432.96</v>
      </c>
      <c r="N1813" s="11">
        <f t="shared" si="57"/>
        <v>4040.96</v>
      </c>
    </row>
    <row r="1814" spans="3:14" x14ac:dyDescent="0.3">
      <c r="C1814" s="6">
        <v>44325</v>
      </c>
      <c r="D1814" s="7" t="s">
        <v>188</v>
      </c>
      <c r="E1814" s="8">
        <v>2021</v>
      </c>
      <c r="F1814" s="9" t="s">
        <v>156</v>
      </c>
      <c r="G1814" s="9" t="s">
        <v>24</v>
      </c>
      <c r="H1814" s="10" t="s">
        <v>69</v>
      </c>
      <c r="I1814" s="7">
        <v>24</v>
      </c>
      <c r="J1814" s="11">
        <v>36</v>
      </c>
      <c r="K1814" s="11">
        <f t="shared" si="56"/>
        <v>864</v>
      </c>
      <c r="L1814" s="11">
        <v>0</v>
      </c>
      <c r="M1814" s="11">
        <v>103.67999999999999</v>
      </c>
      <c r="N1814" s="11">
        <f t="shared" si="57"/>
        <v>967.68</v>
      </c>
    </row>
    <row r="1815" spans="3:14" x14ac:dyDescent="0.3">
      <c r="C1815" s="6">
        <v>44325</v>
      </c>
      <c r="D1815" s="7" t="s">
        <v>188</v>
      </c>
      <c r="E1815" s="8">
        <v>2021</v>
      </c>
      <c r="F1815" s="9" t="s">
        <v>156</v>
      </c>
      <c r="G1815" s="9" t="s">
        <v>26</v>
      </c>
      <c r="H1815" s="10" t="s">
        <v>119</v>
      </c>
      <c r="I1815" s="7">
        <v>82</v>
      </c>
      <c r="J1815" s="11">
        <v>48</v>
      </c>
      <c r="K1815" s="11">
        <f t="shared" si="56"/>
        <v>3936</v>
      </c>
      <c r="L1815" s="11">
        <v>0</v>
      </c>
      <c r="M1815" s="11">
        <v>472.32</v>
      </c>
      <c r="N1815" s="11">
        <f t="shared" si="57"/>
        <v>4408.32</v>
      </c>
    </row>
    <row r="1816" spans="3:14" x14ac:dyDescent="0.3">
      <c r="C1816" s="6">
        <v>44328</v>
      </c>
      <c r="D1816" s="7" t="s">
        <v>188</v>
      </c>
      <c r="E1816" s="8">
        <v>2021</v>
      </c>
      <c r="F1816" s="9" t="s">
        <v>70</v>
      </c>
      <c r="G1816" s="9" t="s">
        <v>26</v>
      </c>
      <c r="H1816" s="10" t="s">
        <v>124</v>
      </c>
      <c r="I1816" s="7">
        <v>58</v>
      </c>
      <c r="J1816" s="11">
        <v>21</v>
      </c>
      <c r="K1816" s="11">
        <f t="shared" si="56"/>
        <v>1218</v>
      </c>
      <c r="L1816" s="11">
        <v>5.0000000745058101E-2</v>
      </c>
      <c r="M1816" s="11">
        <v>146.16</v>
      </c>
      <c r="N1816" s="11">
        <f t="shared" si="57"/>
        <v>1364.109999999255</v>
      </c>
    </row>
    <row r="1817" spans="3:14" x14ac:dyDescent="0.3">
      <c r="C1817" s="6">
        <v>44328</v>
      </c>
      <c r="D1817" s="7" t="s">
        <v>188</v>
      </c>
      <c r="E1817" s="8">
        <v>2021</v>
      </c>
      <c r="F1817" s="9" t="s">
        <v>70</v>
      </c>
      <c r="G1817" s="9" t="s">
        <v>14</v>
      </c>
      <c r="H1817" s="10" t="s">
        <v>18</v>
      </c>
      <c r="I1817" s="7">
        <v>66</v>
      </c>
      <c r="J1817" s="11">
        <v>48</v>
      </c>
      <c r="K1817" s="11">
        <f t="shared" si="56"/>
        <v>3168</v>
      </c>
      <c r="L1817" s="11">
        <v>0</v>
      </c>
      <c r="M1817" s="11">
        <v>380.15999999999997</v>
      </c>
      <c r="N1817" s="11">
        <f t="shared" si="57"/>
        <v>3548.16</v>
      </c>
    </row>
    <row r="1818" spans="3:14" x14ac:dyDescent="0.3">
      <c r="C1818" s="6">
        <v>44328</v>
      </c>
      <c r="D1818" s="7" t="s">
        <v>188</v>
      </c>
      <c r="E1818" s="8">
        <v>2021</v>
      </c>
      <c r="F1818" s="9" t="s">
        <v>70</v>
      </c>
      <c r="G1818" s="9" t="s">
        <v>24</v>
      </c>
      <c r="H1818" s="10" t="s">
        <v>96</v>
      </c>
      <c r="I1818" s="7">
        <v>4</v>
      </c>
      <c r="J1818" s="11">
        <v>45</v>
      </c>
      <c r="K1818" s="11">
        <f t="shared" si="56"/>
        <v>180</v>
      </c>
      <c r="L1818" s="11">
        <v>5.0000000745058101E-2</v>
      </c>
      <c r="M1818" s="11">
        <v>21.599999999999998</v>
      </c>
      <c r="N1818" s="11">
        <f t="shared" si="57"/>
        <v>201.54999999925494</v>
      </c>
    </row>
    <row r="1819" spans="3:14" x14ac:dyDescent="0.3">
      <c r="C1819" s="6">
        <v>44328</v>
      </c>
      <c r="D1819" s="7" t="s">
        <v>188</v>
      </c>
      <c r="E1819" s="8">
        <v>2021</v>
      </c>
      <c r="F1819" s="9" t="s">
        <v>97</v>
      </c>
      <c r="G1819" s="9" t="s">
        <v>24</v>
      </c>
      <c r="H1819" s="10" t="s">
        <v>69</v>
      </c>
      <c r="I1819" s="7">
        <v>20</v>
      </c>
      <c r="J1819" s="11">
        <v>45</v>
      </c>
      <c r="K1819" s="11">
        <f t="shared" si="56"/>
        <v>900</v>
      </c>
      <c r="L1819" s="11">
        <v>0</v>
      </c>
      <c r="M1819" s="11">
        <v>108</v>
      </c>
      <c r="N1819" s="11">
        <f t="shared" si="57"/>
        <v>1008</v>
      </c>
    </row>
    <row r="1820" spans="3:14" x14ac:dyDescent="0.3">
      <c r="C1820" s="6">
        <v>44328</v>
      </c>
      <c r="D1820" s="7" t="s">
        <v>188</v>
      </c>
      <c r="E1820" s="8">
        <v>2021</v>
      </c>
      <c r="F1820" s="9" t="s">
        <v>97</v>
      </c>
      <c r="G1820" s="9" t="s">
        <v>24</v>
      </c>
      <c r="H1820" s="10" t="s">
        <v>76</v>
      </c>
      <c r="I1820" s="7">
        <v>92</v>
      </c>
      <c r="J1820" s="11">
        <v>89</v>
      </c>
      <c r="K1820" s="11">
        <f t="shared" si="56"/>
        <v>8188</v>
      </c>
      <c r="L1820" s="11">
        <v>0.20000000298023199</v>
      </c>
      <c r="M1820" s="11">
        <v>982.56</v>
      </c>
      <c r="N1820" s="11">
        <f t="shared" si="57"/>
        <v>9170.3599999970193</v>
      </c>
    </row>
    <row r="1821" spans="3:14" x14ac:dyDescent="0.3">
      <c r="C1821" s="6">
        <v>44328</v>
      </c>
      <c r="D1821" s="7" t="s">
        <v>188</v>
      </c>
      <c r="E1821" s="8">
        <v>2021</v>
      </c>
      <c r="F1821" s="9" t="s">
        <v>97</v>
      </c>
      <c r="G1821" s="9" t="s">
        <v>42</v>
      </c>
      <c r="H1821" s="10" t="s">
        <v>109</v>
      </c>
      <c r="I1821" s="7">
        <v>74</v>
      </c>
      <c r="J1821" s="11">
        <v>18</v>
      </c>
      <c r="K1821" s="11">
        <f t="shared" si="56"/>
        <v>1332</v>
      </c>
      <c r="L1821" s="11">
        <v>0.20000000298023199</v>
      </c>
      <c r="M1821" s="11">
        <v>159.84</v>
      </c>
      <c r="N1821" s="11">
        <f t="shared" si="57"/>
        <v>1491.6399999970197</v>
      </c>
    </row>
    <row r="1822" spans="3:14" x14ac:dyDescent="0.3">
      <c r="C1822" s="6">
        <v>44329</v>
      </c>
      <c r="D1822" s="7" t="s">
        <v>188</v>
      </c>
      <c r="E1822" s="8">
        <v>2021</v>
      </c>
      <c r="F1822" s="9" t="s">
        <v>157</v>
      </c>
      <c r="G1822" s="9" t="s">
        <v>14</v>
      </c>
      <c r="H1822" s="10" t="s">
        <v>15</v>
      </c>
      <c r="I1822" s="7">
        <v>7</v>
      </c>
      <c r="J1822" s="11">
        <v>49</v>
      </c>
      <c r="K1822" s="11">
        <f t="shared" si="56"/>
        <v>343</v>
      </c>
      <c r="L1822" s="11">
        <v>0.10000000149011599</v>
      </c>
      <c r="M1822" s="11">
        <v>41.16</v>
      </c>
      <c r="N1822" s="11">
        <f t="shared" si="57"/>
        <v>384.05999999850985</v>
      </c>
    </row>
    <row r="1823" spans="3:14" x14ac:dyDescent="0.3">
      <c r="C1823" s="6">
        <v>44329</v>
      </c>
      <c r="D1823" s="7" t="s">
        <v>188</v>
      </c>
      <c r="E1823" s="8">
        <v>2021</v>
      </c>
      <c r="F1823" s="9" t="s">
        <v>157</v>
      </c>
      <c r="G1823" s="9" t="s">
        <v>24</v>
      </c>
      <c r="H1823" s="10" t="s">
        <v>76</v>
      </c>
      <c r="I1823" s="7">
        <v>17</v>
      </c>
      <c r="J1823" s="11">
        <v>41</v>
      </c>
      <c r="K1823" s="11">
        <f t="shared" si="56"/>
        <v>697</v>
      </c>
      <c r="L1823" s="11">
        <v>0.10000000149011599</v>
      </c>
      <c r="M1823" s="11">
        <v>83.64</v>
      </c>
      <c r="N1823" s="11">
        <f t="shared" si="57"/>
        <v>780.53999999850987</v>
      </c>
    </row>
    <row r="1824" spans="3:14" x14ac:dyDescent="0.3">
      <c r="C1824" s="6">
        <v>44329</v>
      </c>
      <c r="D1824" s="7" t="s">
        <v>188</v>
      </c>
      <c r="E1824" s="8">
        <v>2021</v>
      </c>
      <c r="F1824" s="9" t="s">
        <v>157</v>
      </c>
      <c r="G1824" s="9" t="s">
        <v>16</v>
      </c>
      <c r="H1824" s="10" t="s">
        <v>30</v>
      </c>
      <c r="I1824" s="7">
        <v>84</v>
      </c>
      <c r="J1824" s="11">
        <v>99</v>
      </c>
      <c r="K1824" s="11">
        <f t="shared" si="56"/>
        <v>8316</v>
      </c>
      <c r="L1824" s="11">
        <v>0.10000000149011599</v>
      </c>
      <c r="M1824" s="11">
        <v>997.92</v>
      </c>
      <c r="N1824" s="11">
        <f t="shared" si="57"/>
        <v>9313.81999999851</v>
      </c>
    </row>
    <row r="1825" spans="3:14" x14ac:dyDescent="0.3">
      <c r="C1825" s="6">
        <v>44329</v>
      </c>
      <c r="D1825" s="7" t="s">
        <v>188</v>
      </c>
      <c r="E1825" s="8">
        <v>2021</v>
      </c>
      <c r="F1825" s="9" t="s">
        <v>157</v>
      </c>
      <c r="G1825" s="9" t="s">
        <v>14</v>
      </c>
      <c r="H1825" s="10" t="s">
        <v>49</v>
      </c>
      <c r="I1825" s="7">
        <v>78</v>
      </c>
      <c r="J1825" s="11">
        <v>14</v>
      </c>
      <c r="K1825" s="11">
        <f t="shared" si="56"/>
        <v>1092</v>
      </c>
      <c r="L1825" s="11">
        <v>0.10000000149011599</v>
      </c>
      <c r="M1825" s="11">
        <v>131.04</v>
      </c>
      <c r="N1825" s="11">
        <f t="shared" si="57"/>
        <v>1222.9399999985098</v>
      </c>
    </row>
    <row r="1826" spans="3:14" x14ac:dyDescent="0.3">
      <c r="C1826" s="6">
        <v>44330</v>
      </c>
      <c r="D1826" s="7" t="s">
        <v>188</v>
      </c>
      <c r="E1826" s="8">
        <v>2021</v>
      </c>
      <c r="F1826" s="9" t="s">
        <v>97</v>
      </c>
      <c r="G1826" s="9" t="s">
        <v>14</v>
      </c>
      <c r="H1826" s="10" t="s">
        <v>74</v>
      </c>
      <c r="I1826" s="7">
        <v>82</v>
      </c>
      <c r="J1826" s="11">
        <v>95</v>
      </c>
      <c r="K1826" s="11">
        <f t="shared" si="56"/>
        <v>7790</v>
      </c>
      <c r="L1826" s="11">
        <v>0.25</v>
      </c>
      <c r="M1826" s="11">
        <v>934.8</v>
      </c>
      <c r="N1826" s="11">
        <f t="shared" si="57"/>
        <v>8724.5499999999993</v>
      </c>
    </row>
    <row r="1827" spans="3:14" x14ac:dyDescent="0.3">
      <c r="C1827" s="6">
        <v>44330</v>
      </c>
      <c r="D1827" s="7" t="s">
        <v>188</v>
      </c>
      <c r="E1827" s="8">
        <v>2021</v>
      </c>
      <c r="F1827" s="9" t="s">
        <v>97</v>
      </c>
      <c r="G1827" s="9" t="s">
        <v>14</v>
      </c>
      <c r="H1827" s="10" t="s">
        <v>36</v>
      </c>
      <c r="I1827" s="7">
        <v>56</v>
      </c>
      <c r="J1827" s="11">
        <v>11</v>
      </c>
      <c r="K1827" s="11">
        <f t="shared" si="56"/>
        <v>616</v>
      </c>
      <c r="L1827" s="11">
        <v>0</v>
      </c>
      <c r="M1827" s="11">
        <v>73.92</v>
      </c>
      <c r="N1827" s="11">
        <f t="shared" si="57"/>
        <v>689.92</v>
      </c>
    </row>
    <row r="1828" spans="3:14" x14ac:dyDescent="0.3">
      <c r="C1828" s="6">
        <v>44330</v>
      </c>
      <c r="D1828" s="7" t="s">
        <v>188</v>
      </c>
      <c r="E1828" s="8">
        <v>2021</v>
      </c>
      <c r="F1828" s="9" t="s">
        <v>97</v>
      </c>
      <c r="G1828" s="9" t="s">
        <v>14</v>
      </c>
      <c r="H1828" s="10" t="s">
        <v>34</v>
      </c>
      <c r="I1828" s="7">
        <v>6</v>
      </c>
      <c r="J1828" s="11">
        <v>19</v>
      </c>
      <c r="K1828" s="11">
        <f t="shared" si="56"/>
        <v>114</v>
      </c>
      <c r="L1828" s="11">
        <v>0</v>
      </c>
      <c r="M1828" s="11">
        <v>13.68</v>
      </c>
      <c r="N1828" s="11">
        <f t="shared" si="57"/>
        <v>127.68</v>
      </c>
    </row>
    <row r="1829" spans="3:14" x14ac:dyDescent="0.3">
      <c r="C1829" s="6">
        <v>44330</v>
      </c>
      <c r="D1829" s="7" t="s">
        <v>188</v>
      </c>
      <c r="E1829" s="8">
        <v>2021</v>
      </c>
      <c r="F1829" s="9" t="s">
        <v>97</v>
      </c>
      <c r="G1829" s="9" t="s">
        <v>14</v>
      </c>
      <c r="H1829" s="10" t="s">
        <v>35</v>
      </c>
      <c r="I1829" s="7">
        <v>14</v>
      </c>
      <c r="J1829" s="11">
        <v>27</v>
      </c>
      <c r="K1829" s="11">
        <f t="shared" si="56"/>
        <v>378</v>
      </c>
      <c r="L1829" s="11">
        <v>0.25</v>
      </c>
      <c r="M1829" s="11">
        <v>45.36</v>
      </c>
      <c r="N1829" s="11">
        <f t="shared" si="57"/>
        <v>423.11</v>
      </c>
    </row>
    <row r="1830" spans="3:14" x14ac:dyDescent="0.3">
      <c r="C1830" s="6">
        <v>44330</v>
      </c>
      <c r="D1830" s="7" t="s">
        <v>188</v>
      </c>
      <c r="E1830" s="8">
        <v>2021</v>
      </c>
      <c r="F1830" s="9" t="s">
        <v>45</v>
      </c>
      <c r="G1830" s="9" t="s">
        <v>14</v>
      </c>
      <c r="H1830" s="10" t="s">
        <v>36</v>
      </c>
      <c r="I1830" s="7">
        <v>61</v>
      </c>
      <c r="J1830" s="11">
        <v>54</v>
      </c>
      <c r="K1830" s="11">
        <f t="shared" si="56"/>
        <v>3294</v>
      </c>
      <c r="L1830" s="11">
        <v>0</v>
      </c>
      <c r="M1830" s="11">
        <v>395.28</v>
      </c>
      <c r="N1830" s="11">
        <f t="shared" si="57"/>
        <v>3689.2799999999997</v>
      </c>
    </row>
    <row r="1831" spans="3:14" x14ac:dyDescent="0.3">
      <c r="C1831" s="6">
        <v>44330</v>
      </c>
      <c r="D1831" s="7" t="s">
        <v>188</v>
      </c>
      <c r="E1831" s="8">
        <v>2021</v>
      </c>
      <c r="F1831" s="9" t="s">
        <v>45</v>
      </c>
      <c r="G1831" s="9" t="s">
        <v>20</v>
      </c>
      <c r="H1831" s="10" t="s">
        <v>22</v>
      </c>
      <c r="I1831" s="7">
        <v>88</v>
      </c>
      <c r="J1831" s="11">
        <v>19</v>
      </c>
      <c r="K1831" s="11">
        <f t="shared" si="56"/>
        <v>1672</v>
      </c>
      <c r="L1831" s="11">
        <v>0</v>
      </c>
      <c r="M1831" s="11">
        <v>200.64</v>
      </c>
      <c r="N1831" s="11">
        <f t="shared" si="57"/>
        <v>1872.6399999999999</v>
      </c>
    </row>
    <row r="1832" spans="3:14" x14ac:dyDescent="0.3">
      <c r="C1832" s="6">
        <v>44330</v>
      </c>
      <c r="D1832" s="7" t="s">
        <v>188</v>
      </c>
      <c r="E1832" s="8">
        <v>2021</v>
      </c>
      <c r="F1832" s="9" t="s">
        <v>45</v>
      </c>
      <c r="G1832" s="9" t="s">
        <v>24</v>
      </c>
      <c r="H1832" s="10" t="s">
        <v>128</v>
      </c>
      <c r="I1832" s="7">
        <v>58</v>
      </c>
      <c r="J1832" s="11">
        <v>76</v>
      </c>
      <c r="K1832" s="11">
        <f t="shared" si="56"/>
        <v>4408</v>
      </c>
      <c r="L1832" s="11">
        <v>0</v>
      </c>
      <c r="M1832" s="11">
        <v>528.96</v>
      </c>
      <c r="N1832" s="11">
        <f t="shared" si="57"/>
        <v>4936.96</v>
      </c>
    </row>
    <row r="1833" spans="3:14" x14ac:dyDescent="0.3">
      <c r="C1833" s="6">
        <v>44330</v>
      </c>
      <c r="D1833" s="7" t="s">
        <v>188</v>
      </c>
      <c r="E1833" s="8">
        <v>2021</v>
      </c>
      <c r="F1833" s="9" t="s">
        <v>45</v>
      </c>
      <c r="G1833" s="9" t="s">
        <v>14</v>
      </c>
      <c r="H1833" s="10" t="s">
        <v>18</v>
      </c>
      <c r="I1833" s="7">
        <v>11</v>
      </c>
      <c r="J1833" s="11">
        <v>34</v>
      </c>
      <c r="K1833" s="11">
        <f t="shared" si="56"/>
        <v>374</v>
      </c>
      <c r="L1833" s="11">
        <v>0</v>
      </c>
      <c r="M1833" s="11">
        <v>44.879999999999995</v>
      </c>
      <c r="N1833" s="11">
        <f t="shared" si="57"/>
        <v>418.88</v>
      </c>
    </row>
    <row r="1834" spans="3:14" x14ac:dyDescent="0.3">
      <c r="C1834" s="6">
        <v>44330</v>
      </c>
      <c r="D1834" s="7" t="s">
        <v>188</v>
      </c>
      <c r="E1834" s="8">
        <v>2021</v>
      </c>
      <c r="F1834" s="9" t="s">
        <v>45</v>
      </c>
      <c r="G1834" s="9" t="s">
        <v>24</v>
      </c>
      <c r="H1834" s="10" t="s">
        <v>96</v>
      </c>
      <c r="I1834" s="7">
        <v>100</v>
      </c>
      <c r="J1834" s="11">
        <v>58</v>
      </c>
      <c r="K1834" s="11">
        <f t="shared" si="56"/>
        <v>5800</v>
      </c>
      <c r="L1834" s="11">
        <v>0</v>
      </c>
      <c r="M1834" s="11">
        <v>696</v>
      </c>
      <c r="N1834" s="11">
        <f t="shared" si="57"/>
        <v>6496</v>
      </c>
    </row>
    <row r="1835" spans="3:14" x14ac:dyDescent="0.3">
      <c r="C1835" s="6">
        <v>44331</v>
      </c>
      <c r="D1835" s="7" t="s">
        <v>188</v>
      </c>
      <c r="E1835" s="8">
        <v>2021</v>
      </c>
      <c r="F1835" s="9" t="s">
        <v>111</v>
      </c>
      <c r="G1835" s="9" t="s">
        <v>37</v>
      </c>
      <c r="H1835" s="10" t="s">
        <v>63</v>
      </c>
      <c r="I1835" s="7">
        <v>71</v>
      </c>
      <c r="J1835" s="11">
        <v>69</v>
      </c>
      <c r="K1835" s="11">
        <f t="shared" si="56"/>
        <v>4899</v>
      </c>
      <c r="L1835" s="11">
        <v>0</v>
      </c>
      <c r="M1835" s="11">
        <v>587.88</v>
      </c>
      <c r="N1835" s="11">
        <f t="shared" si="57"/>
        <v>5486.88</v>
      </c>
    </row>
    <row r="1836" spans="3:14" x14ac:dyDescent="0.3">
      <c r="C1836" s="6">
        <v>44331</v>
      </c>
      <c r="D1836" s="7" t="s">
        <v>188</v>
      </c>
      <c r="E1836" s="8">
        <v>2021</v>
      </c>
      <c r="F1836" s="9" t="s">
        <v>111</v>
      </c>
      <c r="G1836" s="9" t="s">
        <v>14</v>
      </c>
      <c r="H1836" s="10" t="s">
        <v>18</v>
      </c>
      <c r="I1836" s="7">
        <v>54</v>
      </c>
      <c r="J1836" s="11">
        <v>90</v>
      </c>
      <c r="K1836" s="11">
        <f t="shared" si="56"/>
        <v>4860</v>
      </c>
      <c r="L1836" s="11">
        <v>0</v>
      </c>
      <c r="M1836" s="11">
        <v>583.19999999999993</v>
      </c>
      <c r="N1836" s="11">
        <f t="shared" si="57"/>
        <v>5443.2</v>
      </c>
    </row>
    <row r="1837" spans="3:14" x14ac:dyDescent="0.3">
      <c r="C1837" s="6">
        <v>44332</v>
      </c>
      <c r="D1837" s="7" t="s">
        <v>188</v>
      </c>
      <c r="E1837" s="8">
        <v>2021</v>
      </c>
      <c r="F1837" s="9" t="s">
        <v>111</v>
      </c>
      <c r="G1837" s="9" t="s">
        <v>24</v>
      </c>
      <c r="H1837" s="10" t="s">
        <v>90</v>
      </c>
      <c r="I1837" s="7">
        <v>28</v>
      </c>
      <c r="J1837" s="11">
        <v>55</v>
      </c>
      <c r="K1837" s="11">
        <f t="shared" si="56"/>
        <v>1540</v>
      </c>
      <c r="L1837" s="11">
        <v>0</v>
      </c>
      <c r="M1837" s="11">
        <v>184.79999999999998</v>
      </c>
      <c r="N1837" s="11">
        <f t="shared" si="57"/>
        <v>1724.8</v>
      </c>
    </row>
    <row r="1838" spans="3:14" x14ac:dyDescent="0.3">
      <c r="C1838" s="6">
        <v>44332</v>
      </c>
      <c r="D1838" s="7" t="s">
        <v>188</v>
      </c>
      <c r="E1838" s="8">
        <v>2021</v>
      </c>
      <c r="F1838" s="9" t="s">
        <v>111</v>
      </c>
      <c r="G1838" s="9" t="s">
        <v>32</v>
      </c>
      <c r="H1838" s="10" t="s">
        <v>59</v>
      </c>
      <c r="I1838" s="7">
        <v>27</v>
      </c>
      <c r="J1838" s="11">
        <v>33</v>
      </c>
      <c r="K1838" s="11">
        <f t="shared" si="56"/>
        <v>891</v>
      </c>
      <c r="L1838" s="11">
        <v>0</v>
      </c>
      <c r="M1838" s="11">
        <v>106.92</v>
      </c>
      <c r="N1838" s="11">
        <f t="shared" si="57"/>
        <v>997.92</v>
      </c>
    </row>
    <row r="1839" spans="3:14" x14ac:dyDescent="0.3">
      <c r="C1839" s="6">
        <v>44332</v>
      </c>
      <c r="D1839" s="7" t="s">
        <v>188</v>
      </c>
      <c r="E1839" s="8">
        <v>2021</v>
      </c>
      <c r="F1839" s="9" t="s">
        <v>111</v>
      </c>
      <c r="G1839" s="9" t="s">
        <v>14</v>
      </c>
      <c r="H1839" s="10" t="s">
        <v>34</v>
      </c>
      <c r="I1839" s="7">
        <v>14</v>
      </c>
      <c r="J1839" s="11">
        <v>32</v>
      </c>
      <c r="K1839" s="11">
        <f t="shared" si="56"/>
        <v>448</v>
      </c>
      <c r="L1839" s="11">
        <v>0</v>
      </c>
      <c r="M1839" s="11">
        <v>53.76</v>
      </c>
      <c r="N1839" s="11">
        <f t="shared" si="57"/>
        <v>501.76</v>
      </c>
    </row>
    <row r="1840" spans="3:14" x14ac:dyDescent="0.3">
      <c r="C1840" s="6">
        <v>44332</v>
      </c>
      <c r="D1840" s="7" t="s">
        <v>188</v>
      </c>
      <c r="E1840" s="8">
        <v>2021</v>
      </c>
      <c r="F1840" s="9" t="s">
        <v>111</v>
      </c>
      <c r="G1840" s="9" t="s">
        <v>32</v>
      </c>
      <c r="H1840" s="10" t="s">
        <v>39</v>
      </c>
      <c r="I1840" s="7">
        <v>63</v>
      </c>
      <c r="J1840" s="11">
        <v>40</v>
      </c>
      <c r="K1840" s="11">
        <f t="shared" si="56"/>
        <v>2520</v>
      </c>
      <c r="L1840" s="11">
        <v>0</v>
      </c>
      <c r="M1840" s="11">
        <v>302.39999999999998</v>
      </c>
      <c r="N1840" s="11">
        <f t="shared" si="57"/>
        <v>2822.4</v>
      </c>
    </row>
    <row r="1841" spans="3:14" x14ac:dyDescent="0.3">
      <c r="C1841" s="6">
        <v>44335</v>
      </c>
      <c r="D1841" s="7" t="s">
        <v>188</v>
      </c>
      <c r="E1841" s="8">
        <v>2021</v>
      </c>
      <c r="F1841" s="9" t="s">
        <v>84</v>
      </c>
      <c r="G1841" s="9" t="s">
        <v>26</v>
      </c>
      <c r="H1841" s="10" t="s">
        <v>112</v>
      </c>
      <c r="I1841" s="7">
        <v>19</v>
      </c>
      <c r="J1841" s="11">
        <v>44</v>
      </c>
      <c r="K1841" s="11">
        <f t="shared" si="56"/>
        <v>836</v>
      </c>
      <c r="L1841" s="11">
        <v>0</v>
      </c>
      <c r="M1841" s="11">
        <v>100.32</v>
      </c>
      <c r="N1841" s="11">
        <f t="shared" si="57"/>
        <v>936.31999999999994</v>
      </c>
    </row>
    <row r="1842" spans="3:14" x14ac:dyDescent="0.3">
      <c r="C1842" s="6">
        <v>44335</v>
      </c>
      <c r="D1842" s="7" t="s">
        <v>188</v>
      </c>
      <c r="E1842" s="8">
        <v>2021</v>
      </c>
      <c r="F1842" s="9" t="s">
        <v>84</v>
      </c>
      <c r="G1842" s="9" t="s">
        <v>32</v>
      </c>
      <c r="H1842" s="10" t="s">
        <v>140</v>
      </c>
      <c r="I1842" s="7">
        <v>35</v>
      </c>
      <c r="J1842" s="11">
        <v>71</v>
      </c>
      <c r="K1842" s="11">
        <f t="shared" si="56"/>
        <v>2485</v>
      </c>
      <c r="L1842" s="11">
        <v>0</v>
      </c>
      <c r="M1842" s="11">
        <v>298.2</v>
      </c>
      <c r="N1842" s="11">
        <f t="shared" si="57"/>
        <v>2783.2</v>
      </c>
    </row>
    <row r="1843" spans="3:14" x14ac:dyDescent="0.3">
      <c r="C1843" s="6">
        <v>44335</v>
      </c>
      <c r="D1843" s="7" t="s">
        <v>188</v>
      </c>
      <c r="E1843" s="8">
        <v>2021</v>
      </c>
      <c r="F1843" s="9" t="s">
        <v>84</v>
      </c>
      <c r="G1843" s="9" t="s">
        <v>37</v>
      </c>
      <c r="H1843" s="10" t="s">
        <v>139</v>
      </c>
      <c r="I1843" s="7">
        <v>18</v>
      </c>
      <c r="J1843" s="11">
        <v>60</v>
      </c>
      <c r="K1843" s="11">
        <f t="shared" si="56"/>
        <v>1080</v>
      </c>
      <c r="L1843" s="11">
        <v>0</v>
      </c>
      <c r="M1843" s="11">
        <v>129.6</v>
      </c>
      <c r="N1843" s="11">
        <f t="shared" si="57"/>
        <v>1209.5999999999999</v>
      </c>
    </row>
    <row r="1844" spans="3:14" x14ac:dyDescent="0.3">
      <c r="C1844" s="6">
        <v>44335</v>
      </c>
      <c r="D1844" s="7" t="s">
        <v>188</v>
      </c>
      <c r="E1844" s="8">
        <v>2021</v>
      </c>
      <c r="F1844" s="9" t="s">
        <v>84</v>
      </c>
      <c r="G1844" s="9" t="s">
        <v>32</v>
      </c>
      <c r="H1844" s="10" t="s">
        <v>110</v>
      </c>
      <c r="I1844" s="7">
        <v>88</v>
      </c>
      <c r="J1844" s="11">
        <v>25</v>
      </c>
      <c r="K1844" s="11">
        <f t="shared" si="56"/>
        <v>2200</v>
      </c>
      <c r="L1844" s="11">
        <v>0</v>
      </c>
      <c r="M1844" s="11">
        <v>264</v>
      </c>
      <c r="N1844" s="11">
        <f t="shared" si="57"/>
        <v>2464</v>
      </c>
    </row>
    <row r="1845" spans="3:14" x14ac:dyDescent="0.3">
      <c r="C1845" s="6">
        <v>44335</v>
      </c>
      <c r="D1845" s="7" t="s">
        <v>188</v>
      </c>
      <c r="E1845" s="8">
        <v>2021</v>
      </c>
      <c r="F1845" s="9" t="s">
        <v>23</v>
      </c>
      <c r="G1845" s="9" t="s">
        <v>37</v>
      </c>
      <c r="H1845" s="10" t="s">
        <v>41</v>
      </c>
      <c r="I1845" s="7">
        <v>68</v>
      </c>
      <c r="J1845" s="11">
        <v>85</v>
      </c>
      <c r="K1845" s="11">
        <f t="shared" si="56"/>
        <v>5780</v>
      </c>
      <c r="L1845" s="11">
        <v>0.10000000149011599</v>
      </c>
      <c r="M1845" s="11">
        <v>693.6</v>
      </c>
      <c r="N1845" s="11">
        <f t="shared" si="57"/>
        <v>6473.4999999985102</v>
      </c>
    </row>
    <row r="1846" spans="3:14" x14ac:dyDescent="0.3">
      <c r="C1846" s="6">
        <v>44335</v>
      </c>
      <c r="D1846" s="7" t="s">
        <v>188</v>
      </c>
      <c r="E1846" s="8">
        <v>2021</v>
      </c>
      <c r="F1846" s="9" t="s">
        <v>23</v>
      </c>
      <c r="G1846" s="9" t="s">
        <v>37</v>
      </c>
      <c r="H1846" s="10" t="s">
        <v>139</v>
      </c>
      <c r="I1846" s="7">
        <v>32</v>
      </c>
      <c r="J1846" s="11">
        <v>60</v>
      </c>
      <c r="K1846" s="11">
        <f t="shared" si="56"/>
        <v>1920</v>
      </c>
      <c r="L1846" s="11">
        <v>0.10000000149011599</v>
      </c>
      <c r="M1846" s="11">
        <v>230.39999999999998</v>
      </c>
      <c r="N1846" s="11">
        <f t="shared" si="57"/>
        <v>2150.29999999851</v>
      </c>
    </row>
    <row r="1847" spans="3:14" x14ac:dyDescent="0.3">
      <c r="C1847" s="6">
        <v>44335</v>
      </c>
      <c r="D1847" s="7" t="s">
        <v>188</v>
      </c>
      <c r="E1847" s="8">
        <v>2021</v>
      </c>
      <c r="F1847" s="9" t="s">
        <v>23</v>
      </c>
      <c r="G1847" s="9" t="s">
        <v>26</v>
      </c>
      <c r="H1847" s="10" t="s">
        <v>27</v>
      </c>
      <c r="I1847" s="7">
        <v>73</v>
      </c>
      <c r="J1847" s="11">
        <v>98</v>
      </c>
      <c r="K1847" s="11">
        <f t="shared" si="56"/>
        <v>7154</v>
      </c>
      <c r="L1847" s="11">
        <v>0.10000000149011599</v>
      </c>
      <c r="M1847" s="11">
        <v>858.48</v>
      </c>
      <c r="N1847" s="11">
        <f t="shared" si="57"/>
        <v>8012.3799999985094</v>
      </c>
    </row>
    <row r="1848" spans="3:14" x14ac:dyDescent="0.3">
      <c r="C1848" s="6">
        <v>44335</v>
      </c>
      <c r="D1848" s="7" t="s">
        <v>188</v>
      </c>
      <c r="E1848" s="8">
        <v>2021</v>
      </c>
      <c r="F1848" s="9" t="s">
        <v>23</v>
      </c>
      <c r="G1848" s="9" t="s">
        <v>14</v>
      </c>
      <c r="H1848" s="10" t="s">
        <v>87</v>
      </c>
      <c r="I1848" s="7">
        <v>15</v>
      </c>
      <c r="J1848" s="11">
        <v>75</v>
      </c>
      <c r="K1848" s="11">
        <f t="shared" si="56"/>
        <v>1125</v>
      </c>
      <c r="L1848" s="11">
        <v>0.10000000149011599</v>
      </c>
      <c r="M1848" s="11">
        <v>135</v>
      </c>
      <c r="N1848" s="11">
        <f t="shared" si="57"/>
        <v>1259.8999999985099</v>
      </c>
    </row>
    <row r="1849" spans="3:14" x14ac:dyDescent="0.3">
      <c r="C1849" s="6">
        <v>44336</v>
      </c>
      <c r="D1849" s="7" t="s">
        <v>188</v>
      </c>
      <c r="E1849" s="8">
        <v>2021</v>
      </c>
      <c r="F1849" s="9" t="s">
        <v>133</v>
      </c>
      <c r="G1849" s="9" t="s">
        <v>14</v>
      </c>
      <c r="H1849" s="10" t="s">
        <v>15</v>
      </c>
      <c r="I1849" s="7">
        <v>39</v>
      </c>
      <c r="J1849" s="11">
        <v>26</v>
      </c>
      <c r="K1849" s="11">
        <f t="shared" si="56"/>
        <v>1014</v>
      </c>
      <c r="L1849" s="11">
        <v>5.0000000745058101E-2</v>
      </c>
      <c r="M1849" s="11">
        <v>121.67999999999999</v>
      </c>
      <c r="N1849" s="11">
        <f t="shared" si="57"/>
        <v>1135.629999999255</v>
      </c>
    </row>
    <row r="1850" spans="3:14" x14ac:dyDescent="0.3">
      <c r="C1850" s="6">
        <v>44336</v>
      </c>
      <c r="D1850" s="7" t="s">
        <v>188</v>
      </c>
      <c r="E1850" s="8">
        <v>2021</v>
      </c>
      <c r="F1850" s="9" t="s">
        <v>133</v>
      </c>
      <c r="G1850" s="9" t="s">
        <v>42</v>
      </c>
      <c r="H1850" s="10" t="s">
        <v>109</v>
      </c>
      <c r="I1850" s="7">
        <v>57</v>
      </c>
      <c r="J1850" s="11">
        <v>22</v>
      </c>
      <c r="K1850" s="11">
        <f t="shared" si="56"/>
        <v>1254</v>
      </c>
      <c r="L1850" s="11">
        <v>5.0000000745058101E-2</v>
      </c>
      <c r="M1850" s="11">
        <v>150.47999999999999</v>
      </c>
      <c r="N1850" s="11">
        <f t="shared" si="57"/>
        <v>1404.429999999255</v>
      </c>
    </row>
    <row r="1851" spans="3:14" x14ac:dyDescent="0.3">
      <c r="C1851" s="6">
        <v>44337</v>
      </c>
      <c r="D1851" s="7" t="s">
        <v>188</v>
      </c>
      <c r="E1851" s="8">
        <v>2021</v>
      </c>
      <c r="F1851" s="9" t="s">
        <v>101</v>
      </c>
      <c r="G1851" s="9" t="s">
        <v>14</v>
      </c>
      <c r="H1851" s="10" t="s">
        <v>74</v>
      </c>
      <c r="I1851" s="7">
        <v>8</v>
      </c>
      <c r="J1851" s="11">
        <v>11</v>
      </c>
      <c r="K1851" s="11">
        <f t="shared" si="56"/>
        <v>88</v>
      </c>
      <c r="L1851" s="11">
        <v>0.15000000596046401</v>
      </c>
      <c r="M1851" s="11">
        <v>10.559999999999999</v>
      </c>
      <c r="N1851" s="11">
        <f t="shared" si="57"/>
        <v>98.409999994039538</v>
      </c>
    </row>
    <row r="1852" spans="3:14" x14ac:dyDescent="0.3">
      <c r="C1852" s="6">
        <v>44337</v>
      </c>
      <c r="D1852" s="7" t="s">
        <v>188</v>
      </c>
      <c r="E1852" s="8">
        <v>2021</v>
      </c>
      <c r="F1852" s="9" t="s">
        <v>101</v>
      </c>
      <c r="G1852" s="9" t="s">
        <v>16</v>
      </c>
      <c r="H1852" s="10" t="s">
        <v>145</v>
      </c>
      <c r="I1852" s="7">
        <v>58</v>
      </c>
      <c r="J1852" s="11">
        <v>63</v>
      </c>
      <c r="K1852" s="11">
        <f t="shared" si="56"/>
        <v>3654</v>
      </c>
      <c r="L1852" s="11">
        <v>0.15000000596046401</v>
      </c>
      <c r="M1852" s="11">
        <v>438.47999999999996</v>
      </c>
      <c r="N1852" s="11">
        <f t="shared" si="57"/>
        <v>4092.3299999940396</v>
      </c>
    </row>
    <row r="1853" spans="3:14" x14ac:dyDescent="0.3">
      <c r="C1853" s="6">
        <v>44337</v>
      </c>
      <c r="D1853" s="7" t="s">
        <v>188</v>
      </c>
      <c r="E1853" s="8">
        <v>2021</v>
      </c>
      <c r="F1853" s="9" t="s">
        <v>122</v>
      </c>
      <c r="G1853" s="9" t="s">
        <v>20</v>
      </c>
      <c r="H1853" s="10" t="s">
        <v>92</v>
      </c>
      <c r="I1853" s="7">
        <v>53</v>
      </c>
      <c r="J1853" s="11">
        <v>87</v>
      </c>
      <c r="K1853" s="11">
        <f t="shared" si="56"/>
        <v>4611</v>
      </c>
      <c r="L1853" s="11">
        <v>0</v>
      </c>
      <c r="M1853" s="11">
        <v>553.31999999999994</v>
      </c>
      <c r="N1853" s="11">
        <f t="shared" si="57"/>
        <v>5164.32</v>
      </c>
    </row>
    <row r="1854" spans="3:14" x14ac:dyDescent="0.3">
      <c r="C1854" s="6">
        <v>44337</v>
      </c>
      <c r="D1854" s="7" t="s">
        <v>188</v>
      </c>
      <c r="E1854" s="8">
        <v>2021</v>
      </c>
      <c r="F1854" s="9" t="s">
        <v>122</v>
      </c>
      <c r="G1854" s="9" t="s">
        <v>37</v>
      </c>
      <c r="H1854" s="10" t="s">
        <v>103</v>
      </c>
      <c r="I1854" s="7">
        <v>95</v>
      </c>
      <c r="J1854" s="11">
        <v>21</v>
      </c>
      <c r="K1854" s="11">
        <f t="shared" si="56"/>
        <v>1995</v>
      </c>
      <c r="L1854" s="11">
        <v>0</v>
      </c>
      <c r="M1854" s="11">
        <v>239.39999999999998</v>
      </c>
      <c r="N1854" s="11">
        <f t="shared" si="57"/>
        <v>2234.4</v>
      </c>
    </row>
    <row r="1855" spans="3:14" x14ac:dyDescent="0.3">
      <c r="C1855" s="6">
        <v>44338</v>
      </c>
      <c r="D1855" s="7" t="s">
        <v>188</v>
      </c>
      <c r="E1855" s="8">
        <v>2021</v>
      </c>
      <c r="F1855" s="9" t="s">
        <v>182</v>
      </c>
      <c r="G1855" s="9" t="s">
        <v>14</v>
      </c>
      <c r="H1855" s="10" t="s">
        <v>15</v>
      </c>
      <c r="I1855" s="7">
        <v>69</v>
      </c>
      <c r="J1855" s="11">
        <v>75</v>
      </c>
      <c r="K1855" s="11">
        <f t="shared" si="56"/>
        <v>5175</v>
      </c>
      <c r="L1855" s="11">
        <v>0</v>
      </c>
      <c r="M1855" s="11">
        <v>621</v>
      </c>
      <c r="N1855" s="11">
        <f t="shared" si="57"/>
        <v>5796</v>
      </c>
    </row>
    <row r="1856" spans="3:14" x14ac:dyDescent="0.3">
      <c r="C1856" s="6">
        <v>44339</v>
      </c>
      <c r="D1856" s="7" t="s">
        <v>188</v>
      </c>
      <c r="E1856" s="8">
        <v>2021</v>
      </c>
      <c r="F1856" s="9" t="s">
        <v>28</v>
      </c>
      <c r="G1856" s="9" t="s">
        <v>20</v>
      </c>
      <c r="H1856" s="10" t="s">
        <v>67</v>
      </c>
      <c r="I1856" s="7">
        <v>3</v>
      </c>
      <c r="J1856" s="11">
        <v>52</v>
      </c>
      <c r="K1856" s="11">
        <f t="shared" si="56"/>
        <v>156</v>
      </c>
      <c r="L1856" s="11">
        <v>0</v>
      </c>
      <c r="M1856" s="11">
        <v>18.72</v>
      </c>
      <c r="N1856" s="11">
        <f t="shared" si="57"/>
        <v>174.72</v>
      </c>
    </row>
    <row r="1857" spans="3:14" x14ac:dyDescent="0.3">
      <c r="C1857" s="6">
        <v>44339</v>
      </c>
      <c r="D1857" s="7" t="s">
        <v>188</v>
      </c>
      <c r="E1857" s="8">
        <v>2021</v>
      </c>
      <c r="F1857" s="9" t="s">
        <v>28</v>
      </c>
      <c r="G1857" s="9" t="s">
        <v>37</v>
      </c>
      <c r="H1857" s="10" t="s">
        <v>65</v>
      </c>
      <c r="I1857" s="7">
        <v>96</v>
      </c>
      <c r="J1857" s="11">
        <v>70</v>
      </c>
      <c r="K1857" s="11">
        <f t="shared" si="56"/>
        <v>6720</v>
      </c>
      <c r="L1857" s="11">
        <v>0</v>
      </c>
      <c r="M1857" s="11">
        <v>806.4</v>
      </c>
      <c r="N1857" s="11">
        <f t="shared" si="57"/>
        <v>7526.4</v>
      </c>
    </row>
    <row r="1858" spans="3:14" x14ac:dyDescent="0.3">
      <c r="C1858" s="6">
        <v>44339</v>
      </c>
      <c r="D1858" s="7" t="s">
        <v>188</v>
      </c>
      <c r="E1858" s="8">
        <v>2021</v>
      </c>
      <c r="F1858" s="9" t="s">
        <v>28</v>
      </c>
      <c r="G1858" s="9" t="s">
        <v>32</v>
      </c>
      <c r="H1858" s="10" t="s">
        <v>62</v>
      </c>
      <c r="I1858" s="7">
        <v>54</v>
      </c>
      <c r="J1858" s="11">
        <v>25</v>
      </c>
      <c r="K1858" s="11">
        <f t="shared" si="56"/>
        <v>1350</v>
      </c>
      <c r="L1858" s="11">
        <v>0</v>
      </c>
      <c r="M1858" s="11">
        <v>162</v>
      </c>
      <c r="N1858" s="11">
        <f t="shared" si="57"/>
        <v>1512</v>
      </c>
    </row>
    <row r="1859" spans="3:14" x14ac:dyDescent="0.3">
      <c r="C1859" s="6">
        <v>44339</v>
      </c>
      <c r="D1859" s="7" t="s">
        <v>188</v>
      </c>
      <c r="E1859" s="8">
        <v>2021</v>
      </c>
      <c r="F1859" s="9" t="s">
        <v>154</v>
      </c>
      <c r="G1859" s="9" t="s">
        <v>14</v>
      </c>
      <c r="H1859" s="10" t="s">
        <v>57</v>
      </c>
      <c r="I1859" s="7">
        <v>94</v>
      </c>
      <c r="J1859" s="11">
        <v>15</v>
      </c>
      <c r="K1859" s="11">
        <f t="shared" ref="K1859:K1922" si="58">J1859*I1859</f>
        <v>1410</v>
      </c>
      <c r="L1859" s="11">
        <v>0.15000000596046401</v>
      </c>
      <c r="M1859" s="11">
        <v>169.2</v>
      </c>
      <c r="N1859" s="11">
        <f t="shared" ref="N1859:N1922" si="59">K1859-L1859+M1859</f>
        <v>1579.0499999940396</v>
      </c>
    </row>
    <row r="1860" spans="3:14" x14ac:dyDescent="0.3">
      <c r="C1860" s="6">
        <v>44339</v>
      </c>
      <c r="D1860" s="7" t="s">
        <v>188</v>
      </c>
      <c r="E1860" s="8">
        <v>2021</v>
      </c>
      <c r="F1860" s="9" t="s">
        <v>154</v>
      </c>
      <c r="G1860" s="9" t="s">
        <v>24</v>
      </c>
      <c r="H1860" s="10" t="s">
        <v>48</v>
      </c>
      <c r="I1860" s="7">
        <v>36</v>
      </c>
      <c r="J1860" s="11">
        <v>39</v>
      </c>
      <c r="K1860" s="11">
        <f t="shared" si="58"/>
        <v>1404</v>
      </c>
      <c r="L1860" s="11">
        <v>0</v>
      </c>
      <c r="M1860" s="11">
        <v>168.48</v>
      </c>
      <c r="N1860" s="11">
        <f t="shared" si="59"/>
        <v>1572.48</v>
      </c>
    </row>
    <row r="1861" spans="3:14" x14ac:dyDescent="0.3">
      <c r="C1861" s="6">
        <v>44342</v>
      </c>
      <c r="D1861" s="7" t="s">
        <v>188</v>
      </c>
      <c r="E1861" s="8">
        <v>2021</v>
      </c>
      <c r="F1861" s="9" t="s">
        <v>179</v>
      </c>
      <c r="G1861" s="9" t="s">
        <v>37</v>
      </c>
      <c r="H1861" s="10" t="s">
        <v>106</v>
      </c>
      <c r="I1861" s="7">
        <v>65</v>
      </c>
      <c r="J1861" s="11">
        <v>11</v>
      </c>
      <c r="K1861" s="11">
        <f t="shared" si="58"/>
        <v>715</v>
      </c>
      <c r="L1861" s="11">
        <v>0.25</v>
      </c>
      <c r="M1861" s="11">
        <v>85.8</v>
      </c>
      <c r="N1861" s="11">
        <f t="shared" si="59"/>
        <v>800.55</v>
      </c>
    </row>
    <row r="1862" spans="3:14" x14ac:dyDescent="0.3">
      <c r="C1862" s="6">
        <v>44342</v>
      </c>
      <c r="D1862" s="7" t="s">
        <v>188</v>
      </c>
      <c r="E1862" s="8">
        <v>2021</v>
      </c>
      <c r="F1862" s="9" t="s">
        <v>179</v>
      </c>
      <c r="G1862" s="9" t="s">
        <v>24</v>
      </c>
      <c r="H1862" s="10" t="s">
        <v>25</v>
      </c>
      <c r="I1862" s="7">
        <v>37</v>
      </c>
      <c r="J1862" s="11">
        <v>76</v>
      </c>
      <c r="K1862" s="11">
        <f t="shared" si="58"/>
        <v>2812</v>
      </c>
      <c r="L1862" s="11">
        <v>0</v>
      </c>
      <c r="M1862" s="11">
        <v>337.44</v>
      </c>
      <c r="N1862" s="11">
        <f t="shared" si="59"/>
        <v>3149.44</v>
      </c>
    </row>
    <row r="1863" spans="3:14" x14ac:dyDescent="0.3">
      <c r="C1863" s="6">
        <v>44343</v>
      </c>
      <c r="D1863" s="7" t="s">
        <v>188</v>
      </c>
      <c r="E1863" s="8">
        <v>2021</v>
      </c>
      <c r="F1863" s="9" t="s">
        <v>84</v>
      </c>
      <c r="G1863" s="9" t="s">
        <v>14</v>
      </c>
      <c r="H1863" s="10" t="s">
        <v>36</v>
      </c>
      <c r="I1863" s="7">
        <v>41</v>
      </c>
      <c r="J1863" s="11">
        <v>80</v>
      </c>
      <c r="K1863" s="11">
        <f t="shared" si="58"/>
        <v>3280</v>
      </c>
      <c r="L1863" s="11">
        <v>0.15000000596046401</v>
      </c>
      <c r="M1863" s="11">
        <v>393.59999999999997</v>
      </c>
      <c r="N1863" s="11">
        <f t="shared" si="59"/>
        <v>3673.4499999940394</v>
      </c>
    </row>
    <row r="1864" spans="3:14" x14ac:dyDescent="0.3">
      <c r="C1864" s="6">
        <v>44343</v>
      </c>
      <c r="D1864" s="7" t="s">
        <v>188</v>
      </c>
      <c r="E1864" s="8">
        <v>2021</v>
      </c>
      <c r="F1864" s="9" t="s">
        <v>84</v>
      </c>
      <c r="G1864" s="9" t="s">
        <v>24</v>
      </c>
      <c r="H1864" s="10" t="s">
        <v>165</v>
      </c>
      <c r="I1864" s="7">
        <v>50</v>
      </c>
      <c r="J1864" s="11">
        <v>62</v>
      </c>
      <c r="K1864" s="11">
        <f t="shared" si="58"/>
        <v>3100</v>
      </c>
      <c r="L1864" s="11">
        <v>0.15000000596046401</v>
      </c>
      <c r="M1864" s="11">
        <v>372</v>
      </c>
      <c r="N1864" s="11">
        <f t="shared" si="59"/>
        <v>3471.8499999940395</v>
      </c>
    </row>
    <row r="1865" spans="3:14" x14ac:dyDescent="0.3">
      <c r="C1865" s="6">
        <v>44343</v>
      </c>
      <c r="D1865" s="7" t="s">
        <v>188</v>
      </c>
      <c r="E1865" s="8">
        <v>2021</v>
      </c>
      <c r="F1865" s="9" t="s">
        <v>84</v>
      </c>
      <c r="G1865" s="9" t="s">
        <v>20</v>
      </c>
      <c r="H1865" s="10" t="s">
        <v>22</v>
      </c>
      <c r="I1865" s="7">
        <v>57</v>
      </c>
      <c r="J1865" s="11">
        <v>21</v>
      </c>
      <c r="K1865" s="11">
        <f t="shared" si="58"/>
        <v>1197</v>
      </c>
      <c r="L1865" s="11">
        <v>0.15000000596046401</v>
      </c>
      <c r="M1865" s="11">
        <v>143.63999999999999</v>
      </c>
      <c r="N1865" s="11">
        <f t="shared" si="59"/>
        <v>1340.4899999940394</v>
      </c>
    </row>
    <row r="1866" spans="3:14" x14ac:dyDescent="0.3">
      <c r="C1866" s="6">
        <v>44344</v>
      </c>
      <c r="D1866" s="7" t="s">
        <v>188</v>
      </c>
      <c r="E1866" s="8">
        <v>2021</v>
      </c>
      <c r="F1866" s="9" t="s">
        <v>121</v>
      </c>
      <c r="G1866" s="9" t="s">
        <v>42</v>
      </c>
      <c r="H1866" s="10" t="s">
        <v>72</v>
      </c>
      <c r="I1866" s="7">
        <v>3</v>
      </c>
      <c r="J1866" s="11">
        <v>62</v>
      </c>
      <c r="K1866" s="11">
        <f t="shared" si="58"/>
        <v>186</v>
      </c>
      <c r="L1866" s="11">
        <v>0.10000000149011599</v>
      </c>
      <c r="M1866" s="11">
        <v>22.32</v>
      </c>
      <c r="N1866" s="11">
        <f t="shared" si="59"/>
        <v>208.21999999850988</v>
      </c>
    </row>
    <row r="1867" spans="3:14" x14ac:dyDescent="0.3">
      <c r="C1867" s="6">
        <v>44344</v>
      </c>
      <c r="D1867" s="7" t="s">
        <v>188</v>
      </c>
      <c r="E1867" s="8">
        <v>2021</v>
      </c>
      <c r="F1867" s="9" t="s">
        <v>121</v>
      </c>
      <c r="G1867" s="9" t="s">
        <v>32</v>
      </c>
      <c r="H1867" s="10" t="s">
        <v>100</v>
      </c>
      <c r="I1867" s="7">
        <v>53</v>
      </c>
      <c r="J1867" s="11">
        <v>43</v>
      </c>
      <c r="K1867" s="11">
        <f t="shared" si="58"/>
        <v>2279</v>
      </c>
      <c r="L1867" s="11">
        <v>0</v>
      </c>
      <c r="M1867" s="11">
        <v>273.48</v>
      </c>
      <c r="N1867" s="11">
        <f t="shared" si="59"/>
        <v>2552.48</v>
      </c>
    </row>
    <row r="1868" spans="3:14" x14ac:dyDescent="0.3">
      <c r="C1868" s="6">
        <v>44344</v>
      </c>
      <c r="D1868" s="7" t="s">
        <v>188</v>
      </c>
      <c r="E1868" s="8">
        <v>2021</v>
      </c>
      <c r="F1868" s="9" t="s">
        <v>121</v>
      </c>
      <c r="G1868" s="9" t="s">
        <v>32</v>
      </c>
      <c r="H1868" s="10" t="s">
        <v>59</v>
      </c>
      <c r="I1868" s="7">
        <v>18</v>
      </c>
      <c r="J1868" s="11">
        <v>44</v>
      </c>
      <c r="K1868" s="11">
        <f t="shared" si="58"/>
        <v>792</v>
      </c>
      <c r="L1868" s="11">
        <v>0.10000000149011599</v>
      </c>
      <c r="M1868" s="11">
        <v>95.039999999999992</v>
      </c>
      <c r="N1868" s="11">
        <f t="shared" si="59"/>
        <v>886.93999999850985</v>
      </c>
    </row>
    <row r="1869" spans="3:14" x14ac:dyDescent="0.3">
      <c r="C1869" s="6">
        <v>44344</v>
      </c>
      <c r="D1869" s="7" t="s">
        <v>188</v>
      </c>
      <c r="E1869" s="8">
        <v>2021</v>
      </c>
      <c r="F1869" s="9" t="s">
        <v>121</v>
      </c>
      <c r="G1869" s="9" t="s">
        <v>26</v>
      </c>
      <c r="H1869" s="10" t="s">
        <v>173</v>
      </c>
      <c r="I1869" s="7">
        <v>5</v>
      </c>
      <c r="J1869" s="11">
        <v>12</v>
      </c>
      <c r="K1869" s="11">
        <f t="shared" si="58"/>
        <v>60</v>
      </c>
      <c r="L1869" s="11">
        <v>0.10000000149011599</v>
      </c>
      <c r="M1869" s="11">
        <v>7.1999999999999993</v>
      </c>
      <c r="N1869" s="11">
        <f t="shared" si="59"/>
        <v>67.099999998509887</v>
      </c>
    </row>
    <row r="1870" spans="3:14" x14ac:dyDescent="0.3">
      <c r="C1870" s="6">
        <v>44344</v>
      </c>
      <c r="D1870" s="7" t="s">
        <v>188</v>
      </c>
      <c r="E1870" s="8">
        <v>2021</v>
      </c>
      <c r="F1870" s="9" t="s">
        <v>138</v>
      </c>
      <c r="G1870" s="9" t="s">
        <v>32</v>
      </c>
      <c r="H1870" s="10" t="s">
        <v>47</v>
      </c>
      <c r="I1870" s="7">
        <v>34</v>
      </c>
      <c r="J1870" s="11">
        <v>22</v>
      </c>
      <c r="K1870" s="11">
        <f t="shared" si="58"/>
        <v>748</v>
      </c>
      <c r="L1870" s="11">
        <v>0.15000000596046401</v>
      </c>
      <c r="M1870" s="11">
        <v>89.759999999999991</v>
      </c>
      <c r="N1870" s="11">
        <f t="shared" si="59"/>
        <v>837.60999999403953</v>
      </c>
    </row>
    <row r="1871" spans="3:14" x14ac:dyDescent="0.3">
      <c r="C1871" s="6">
        <v>44344</v>
      </c>
      <c r="D1871" s="7" t="s">
        <v>188</v>
      </c>
      <c r="E1871" s="8">
        <v>2021</v>
      </c>
      <c r="F1871" s="9" t="s">
        <v>138</v>
      </c>
      <c r="G1871" s="9" t="s">
        <v>37</v>
      </c>
      <c r="H1871" s="10" t="s">
        <v>65</v>
      </c>
      <c r="I1871" s="7">
        <v>40</v>
      </c>
      <c r="J1871" s="11">
        <v>89</v>
      </c>
      <c r="K1871" s="11">
        <f t="shared" si="58"/>
        <v>3560</v>
      </c>
      <c r="L1871" s="11">
        <v>0.15000000596046401</v>
      </c>
      <c r="M1871" s="11">
        <v>427.2</v>
      </c>
      <c r="N1871" s="11">
        <f t="shared" si="59"/>
        <v>3987.0499999940394</v>
      </c>
    </row>
    <row r="1872" spans="3:14" x14ac:dyDescent="0.3">
      <c r="C1872" s="6">
        <v>44344</v>
      </c>
      <c r="D1872" s="7" t="s">
        <v>188</v>
      </c>
      <c r="E1872" s="8">
        <v>2021</v>
      </c>
      <c r="F1872" s="9" t="s">
        <v>138</v>
      </c>
      <c r="G1872" s="9" t="s">
        <v>26</v>
      </c>
      <c r="H1872" s="10" t="s">
        <v>94</v>
      </c>
      <c r="I1872" s="7">
        <v>58</v>
      </c>
      <c r="J1872" s="11">
        <v>39</v>
      </c>
      <c r="K1872" s="11">
        <f t="shared" si="58"/>
        <v>2262</v>
      </c>
      <c r="L1872" s="11">
        <v>0</v>
      </c>
      <c r="M1872" s="11">
        <v>271.44</v>
      </c>
      <c r="N1872" s="11">
        <f t="shared" si="59"/>
        <v>2533.44</v>
      </c>
    </row>
    <row r="1873" spans="3:14" x14ac:dyDescent="0.3">
      <c r="C1873" s="6">
        <v>44345</v>
      </c>
      <c r="D1873" s="7" t="s">
        <v>188</v>
      </c>
      <c r="E1873" s="8">
        <v>2021</v>
      </c>
      <c r="F1873" s="9" t="s">
        <v>53</v>
      </c>
      <c r="G1873" s="9" t="s">
        <v>14</v>
      </c>
      <c r="H1873" s="10" t="s">
        <v>117</v>
      </c>
      <c r="I1873" s="7">
        <v>30</v>
      </c>
      <c r="J1873" s="11">
        <v>32</v>
      </c>
      <c r="K1873" s="11">
        <f t="shared" si="58"/>
        <v>960</v>
      </c>
      <c r="L1873" s="11">
        <v>0</v>
      </c>
      <c r="M1873" s="11">
        <v>115.19999999999999</v>
      </c>
      <c r="N1873" s="11">
        <f t="shared" si="59"/>
        <v>1075.2</v>
      </c>
    </row>
    <row r="1874" spans="3:14" x14ac:dyDescent="0.3">
      <c r="C1874" s="6">
        <v>44345</v>
      </c>
      <c r="D1874" s="7" t="s">
        <v>188</v>
      </c>
      <c r="E1874" s="8">
        <v>2021</v>
      </c>
      <c r="F1874" s="9" t="s">
        <v>53</v>
      </c>
      <c r="G1874" s="9" t="s">
        <v>37</v>
      </c>
      <c r="H1874" s="10" t="s">
        <v>98</v>
      </c>
      <c r="I1874" s="7">
        <v>66</v>
      </c>
      <c r="J1874" s="11">
        <v>82</v>
      </c>
      <c r="K1874" s="11">
        <f t="shared" si="58"/>
        <v>5412</v>
      </c>
      <c r="L1874" s="11">
        <v>0</v>
      </c>
      <c r="M1874" s="11">
        <v>649.43999999999994</v>
      </c>
      <c r="N1874" s="11">
        <f t="shared" si="59"/>
        <v>6061.44</v>
      </c>
    </row>
    <row r="1875" spans="3:14" x14ac:dyDescent="0.3">
      <c r="C1875" s="6">
        <v>44346</v>
      </c>
      <c r="D1875" s="7" t="s">
        <v>188</v>
      </c>
      <c r="E1875" s="8">
        <v>2021</v>
      </c>
      <c r="F1875" s="9" t="s">
        <v>73</v>
      </c>
      <c r="G1875" s="9" t="s">
        <v>14</v>
      </c>
      <c r="H1875" s="10" t="s">
        <v>15</v>
      </c>
      <c r="I1875" s="7">
        <v>13</v>
      </c>
      <c r="J1875" s="11">
        <v>22</v>
      </c>
      <c r="K1875" s="11">
        <f t="shared" si="58"/>
        <v>286</v>
      </c>
      <c r="L1875" s="11">
        <v>0</v>
      </c>
      <c r="M1875" s="11">
        <v>34.32</v>
      </c>
      <c r="N1875" s="11">
        <f t="shared" si="59"/>
        <v>320.32</v>
      </c>
    </row>
    <row r="1876" spans="3:14" x14ac:dyDescent="0.3">
      <c r="C1876" s="6">
        <v>44346</v>
      </c>
      <c r="D1876" s="7" t="s">
        <v>188</v>
      </c>
      <c r="E1876" s="8">
        <v>2021</v>
      </c>
      <c r="F1876" s="9" t="s">
        <v>73</v>
      </c>
      <c r="G1876" s="9" t="s">
        <v>32</v>
      </c>
      <c r="H1876" s="10" t="s">
        <v>47</v>
      </c>
      <c r="I1876" s="7">
        <v>95</v>
      </c>
      <c r="J1876" s="11">
        <v>70</v>
      </c>
      <c r="K1876" s="11">
        <f t="shared" si="58"/>
        <v>6650</v>
      </c>
      <c r="L1876" s="11">
        <v>0</v>
      </c>
      <c r="M1876" s="11">
        <v>798</v>
      </c>
      <c r="N1876" s="11">
        <f t="shared" si="59"/>
        <v>7448</v>
      </c>
    </row>
    <row r="1877" spans="3:14" x14ac:dyDescent="0.3">
      <c r="C1877" s="6">
        <v>44346</v>
      </c>
      <c r="D1877" s="7" t="s">
        <v>188</v>
      </c>
      <c r="E1877" s="8">
        <v>2021</v>
      </c>
      <c r="F1877" s="9" t="s">
        <v>73</v>
      </c>
      <c r="G1877" s="9" t="s">
        <v>16</v>
      </c>
      <c r="H1877" s="10" t="s">
        <v>29</v>
      </c>
      <c r="I1877" s="7">
        <v>46</v>
      </c>
      <c r="J1877" s="11">
        <v>80</v>
      </c>
      <c r="K1877" s="11">
        <f t="shared" si="58"/>
        <v>3680</v>
      </c>
      <c r="L1877" s="11">
        <v>0</v>
      </c>
      <c r="M1877" s="11">
        <v>441.59999999999997</v>
      </c>
      <c r="N1877" s="11">
        <f t="shared" si="59"/>
        <v>4121.6000000000004</v>
      </c>
    </row>
    <row r="1878" spans="3:14" x14ac:dyDescent="0.3">
      <c r="C1878" s="6">
        <v>44346</v>
      </c>
      <c r="D1878" s="7" t="s">
        <v>188</v>
      </c>
      <c r="E1878" s="8">
        <v>2021</v>
      </c>
      <c r="F1878" s="9" t="s">
        <v>73</v>
      </c>
      <c r="G1878" s="9" t="s">
        <v>14</v>
      </c>
      <c r="H1878" s="10" t="s">
        <v>36</v>
      </c>
      <c r="I1878" s="7">
        <v>62</v>
      </c>
      <c r="J1878" s="11">
        <v>74</v>
      </c>
      <c r="K1878" s="11">
        <f t="shared" si="58"/>
        <v>4588</v>
      </c>
      <c r="L1878" s="11">
        <v>0</v>
      </c>
      <c r="M1878" s="11">
        <v>550.55999999999995</v>
      </c>
      <c r="N1878" s="11">
        <f t="shared" si="59"/>
        <v>5138.5599999999995</v>
      </c>
    </row>
    <row r="1879" spans="3:14" x14ac:dyDescent="0.3">
      <c r="C1879" s="6">
        <v>44346</v>
      </c>
      <c r="D1879" s="7" t="s">
        <v>188</v>
      </c>
      <c r="E1879" s="8">
        <v>2021</v>
      </c>
      <c r="F1879" s="9" t="s">
        <v>73</v>
      </c>
      <c r="G1879" s="9" t="s">
        <v>37</v>
      </c>
      <c r="H1879" s="10" t="s">
        <v>65</v>
      </c>
      <c r="I1879" s="7">
        <v>97</v>
      </c>
      <c r="J1879" s="11">
        <v>18</v>
      </c>
      <c r="K1879" s="11">
        <f t="shared" si="58"/>
        <v>1746</v>
      </c>
      <c r="L1879" s="11">
        <v>0</v>
      </c>
      <c r="M1879" s="11">
        <v>209.51999999999998</v>
      </c>
      <c r="N1879" s="11">
        <f t="shared" si="59"/>
        <v>1955.52</v>
      </c>
    </row>
    <row r="1880" spans="3:14" x14ac:dyDescent="0.3">
      <c r="C1880" s="6">
        <v>44346</v>
      </c>
      <c r="D1880" s="7" t="s">
        <v>188</v>
      </c>
      <c r="E1880" s="8">
        <v>2021</v>
      </c>
      <c r="F1880" s="9" t="s">
        <v>170</v>
      </c>
      <c r="G1880" s="9" t="s">
        <v>32</v>
      </c>
      <c r="H1880" s="10" t="s">
        <v>47</v>
      </c>
      <c r="I1880" s="7">
        <v>18</v>
      </c>
      <c r="J1880" s="11">
        <v>11</v>
      </c>
      <c r="K1880" s="11">
        <f t="shared" si="58"/>
        <v>198</v>
      </c>
      <c r="L1880" s="11">
        <v>5.0000000745058101E-2</v>
      </c>
      <c r="M1880" s="11">
        <v>23.759999999999998</v>
      </c>
      <c r="N1880" s="11">
        <f t="shared" si="59"/>
        <v>221.70999999925493</v>
      </c>
    </row>
    <row r="1881" spans="3:14" x14ac:dyDescent="0.3">
      <c r="C1881" s="6">
        <v>44346</v>
      </c>
      <c r="D1881" s="7" t="s">
        <v>188</v>
      </c>
      <c r="E1881" s="8">
        <v>2021</v>
      </c>
      <c r="F1881" s="9" t="s">
        <v>170</v>
      </c>
      <c r="G1881" s="9" t="s">
        <v>16</v>
      </c>
      <c r="H1881" s="10" t="s">
        <v>145</v>
      </c>
      <c r="I1881" s="7">
        <v>5</v>
      </c>
      <c r="J1881" s="11">
        <v>39</v>
      </c>
      <c r="K1881" s="11">
        <f t="shared" si="58"/>
        <v>195</v>
      </c>
      <c r="L1881" s="11">
        <v>5.0000000745058101E-2</v>
      </c>
      <c r="M1881" s="11">
        <v>23.4</v>
      </c>
      <c r="N1881" s="11">
        <f t="shared" si="59"/>
        <v>218.34999999925495</v>
      </c>
    </row>
    <row r="1882" spans="3:14" x14ac:dyDescent="0.3">
      <c r="C1882" s="6">
        <v>44346</v>
      </c>
      <c r="D1882" s="7" t="s">
        <v>188</v>
      </c>
      <c r="E1882" s="8">
        <v>2021</v>
      </c>
      <c r="F1882" s="9" t="s">
        <v>170</v>
      </c>
      <c r="G1882" s="9" t="s">
        <v>32</v>
      </c>
      <c r="H1882" s="10" t="s">
        <v>62</v>
      </c>
      <c r="I1882" s="7">
        <v>11</v>
      </c>
      <c r="J1882" s="11">
        <v>11</v>
      </c>
      <c r="K1882" s="11">
        <f t="shared" si="58"/>
        <v>121</v>
      </c>
      <c r="L1882" s="11">
        <v>5.0000000745058101E-2</v>
      </c>
      <c r="M1882" s="11">
        <v>14.52</v>
      </c>
      <c r="N1882" s="11">
        <f t="shared" si="59"/>
        <v>135.46999999925495</v>
      </c>
    </row>
    <row r="1883" spans="3:14" x14ac:dyDescent="0.3">
      <c r="C1883" s="6">
        <v>44346</v>
      </c>
      <c r="D1883" s="7" t="s">
        <v>188</v>
      </c>
      <c r="E1883" s="8">
        <v>2021</v>
      </c>
      <c r="F1883" s="9" t="s">
        <v>170</v>
      </c>
      <c r="G1883" s="9" t="s">
        <v>26</v>
      </c>
      <c r="H1883" s="10" t="s">
        <v>52</v>
      </c>
      <c r="I1883" s="7">
        <v>26</v>
      </c>
      <c r="J1883" s="11">
        <v>58</v>
      </c>
      <c r="K1883" s="11">
        <f t="shared" si="58"/>
        <v>1508</v>
      </c>
      <c r="L1883" s="11">
        <v>5.0000000745058101E-2</v>
      </c>
      <c r="M1883" s="11">
        <v>180.95999999999998</v>
      </c>
      <c r="N1883" s="11">
        <f t="shared" si="59"/>
        <v>1688.909999999255</v>
      </c>
    </row>
    <row r="1884" spans="3:14" x14ac:dyDescent="0.3">
      <c r="C1884" s="6">
        <v>44349</v>
      </c>
      <c r="D1884" s="7" t="s">
        <v>191</v>
      </c>
      <c r="E1884" s="8">
        <v>2021</v>
      </c>
      <c r="F1884" s="9" t="s">
        <v>135</v>
      </c>
      <c r="G1884" s="9" t="s">
        <v>20</v>
      </c>
      <c r="H1884" s="10" t="s">
        <v>136</v>
      </c>
      <c r="I1884" s="7">
        <v>28</v>
      </c>
      <c r="J1884" s="11">
        <v>81</v>
      </c>
      <c r="K1884" s="11">
        <f t="shared" si="58"/>
        <v>2268</v>
      </c>
      <c r="L1884" s="11">
        <v>0.20000000298023199</v>
      </c>
      <c r="M1884" s="11">
        <v>272.15999999999997</v>
      </c>
      <c r="N1884" s="11">
        <f t="shared" si="59"/>
        <v>2539.9599999970196</v>
      </c>
    </row>
    <row r="1885" spans="3:14" x14ac:dyDescent="0.3">
      <c r="C1885" s="6">
        <v>44349</v>
      </c>
      <c r="D1885" s="7" t="s">
        <v>191</v>
      </c>
      <c r="E1885" s="8">
        <v>2021</v>
      </c>
      <c r="F1885" s="9" t="s">
        <v>135</v>
      </c>
      <c r="G1885" s="9" t="s">
        <v>32</v>
      </c>
      <c r="H1885" s="10" t="s">
        <v>100</v>
      </c>
      <c r="I1885" s="7">
        <v>87</v>
      </c>
      <c r="J1885" s="11">
        <v>24</v>
      </c>
      <c r="K1885" s="11">
        <f t="shared" si="58"/>
        <v>2088</v>
      </c>
      <c r="L1885" s="11">
        <v>0.20000000298023199</v>
      </c>
      <c r="M1885" s="11">
        <v>250.56</v>
      </c>
      <c r="N1885" s="11">
        <f t="shared" si="59"/>
        <v>2338.3599999970197</v>
      </c>
    </row>
    <row r="1886" spans="3:14" x14ac:dyDescent="0.3">
      <c r="C1886" s="6">
        <v>44349</v>
      </c>
      <c r="D1886" s="7" t="s">
        <v>191</v>
      </c>
      <c r="E1886" s="8">
        <v>2021</v>
      </c>
      <c r="F1886" s="9" t="s">
        <v>135</v>
      </c>
      <c r="G1886" s="9" t="s">
        <v>37</v>
      </c>
      <c r="H1886" s="10" t="s">
        <v>41</v>
      </c>
      <c r="I1886" s="7">
        <v>36</v>
      </c>
      <c r="J1886" s="11">
        <v>70</v>
      </c>
      <c r="K1886" s="11">
        <f t="shared" si="58"/>
        <v>2520</v>
      </c>
      <c r="L1886" s="11">
        <v>0.20000000298023199</v>
      </c>
      <c r="M1886" s="11">
        <v>302.39999999999998</v>
      </c>
      <c r="N1886" s="11">
        <f t="shared" si="59"/>
        <v>2822.1999999970199</v>
      </c>
    </row>
    <row r="1887" spans="3:14" x14ac:dyDescent="0.3">
      <c r="C1887" s="6">
        <v>44349</v>
      </c>
      <c r="D1887" s="7" t="s">
        <v>191</v>
      </c>
      <c r="E1887" s="8">
        <v>2021</v>
      </c>
      <c r="F1887" s="9" t="s">
        <v>135</v>
      </c>
      <c r="G1887" s="9" t="s">
        <v>20</v>
      </c>
      <c r="H1887" s="10" t="s">
        <v>22</v>
      </c>
      <c r="I1887" s="7">
        <v>75</v>
      </c>
      <c r="J1887" s="11">
        <v>11</v>
      </c>
      <c r="K1887" s="11">
        <f t="shared" si="58"/>
        <v>825</v>
      </c>
      <c r="L1887" s="11">
        <v>0.20000000298023199</v>
      </c>
      <c r="M1887" s="11">
        <v>99</v>
      </c>
      <c r="N1887" s="11">
        <f t="shared" si="59"/>
        <v>923.79999999701977</v>
      </c>
    </row>
    <row r="1888" spans="3:14" x14ac:dyDescent="0.3">
      <c r="C1888" s="6">
        <v>44349</v>
      </c>
      <c r="D1888" s="7" t="s">
        <v>191</v>
      </c>
      <c r="E1888" s="8">
        <v>2021</v>
      </c>
      <c r="F1888" s="9" t="s">
        <v>135</v>
      </c>
      <c r="G1888" s="9" t="s">
        <v>16</v>
      </c>
      <c r="H1888" s="10" t="s">
        <v>68</v>
      </c>
      <c r="I1888" s="7">
        <v>77</v>
      </c>
      <c r="J1888" s="11">
        <v>15</v>
      </c>
      <c r="K1888" s="11">
        <f t="shared" si="58"/>
        <v>1155</v>
      </c>
      <c r="L1888" s="11">
        <v>0.20000000298023199</v>
      </c>
      <c r="M1888" s="11">
        <v>138.6</v>
      </c>
      <c r="N1888" s="11">
        <f t="shared" si="59"/>
        <v>1293.3999999970197</v>
      </c>
    </row>
    <row r="1889" spans="3:14" x14ac:dyDescent="0.3">
      <c r="C1889" s="6">
        <v>44350</v>
      </c>
      <c r="D1889" s="7" t="s">
        <v>191</v>
      </c>
      <c r="E1889" s="8">
        <v>2021</v>
      </c>
      <c r="F1889" s="9" t="s">
        <v>146</v>
      </c>
      <c r="G1889" s="9" t="s">
        <v>14</v>
      </c>
      <c r="H1889" s="10" t="s">
        <v>18</v>
      </c>
      <c r="I1889" s="7">
        <v>81</v>
      </c>
      <c r="J1889" s="11">
        <v>18</v>
      </c>
      <c r="K1889" s="11">
        <f t="shared" si="58"/>
        <v>1458</v>
      </c>
      <c r="L1889" s="11">
        <v>0</v>
      </c>
      <c r="M1889" s="11">
        <v>174.95999999999998</v>
      </c>
      <c r="N1889" s="11">
        <f t="shared" si="59"/>
        <v>1632.96</v>
      </c>
    </row>
    <row r="1890" spans="3:14" x14ac:dyDescent="0.3">
      <c r="C1890" s="6">
        <v>44350</v>
      </c>
      <c r="D1890" s="7" t="s">
        <v>191</v>
      </c>
      <c r="E1890" s="8">
        <v>2021</v>
      </c>
      <c r="F1890" s="9" t="s">
        <v>97</v>
      </c>
      <c r="G1890" s="9" t="s">
        <v>16</v>
      </c>
      <c r="H1890" s="10" t="s">
        <v>113</v>
      </c>
      <c r="I1890" s="7">
        <v>1</v>
      </c>
      <c r="J1890" s="11">
        <v>19</v>
      </c>
      <c r="K1890" s="11">
        <f t="shared" si="58"/>
        <v>19</v>
      </c>
      <c r="L1890" s="11">
        <v>0</v>
      </c>
      <c r="M1890" s="11">
        <v>2.2799999999999998</v>
      </c>
      <c r="N1890" s="11">
        <f t="shared" si="59"/>
        <v>21.28</v>
      </c>
    </row>
    <row r="1891" spans="3:14" x14ac:dyDescent="0.3">
      <c r="C1891" s="6">
        <v>44350</v>
      </c>
      <c r="D1891" s="7" t="s">
        <v>191</v>
      </c>
      <c r="E1891" s="8">
        <v>2021</v>
      </c>
      <c r="F1891" s="9" t="s">
        <v>97</v>
      </c>
      <c r="G1891" s="9" t="s">
        <v>37</v>
      </c>
      <c r="H1891" s="10" t="s">
        <v>98</v>
      </c>
      <c r="I1891" s="7">
        <v>29</v>
      </c>
      <c r="J1891" s="11">
        <v>43</v>
      </c>
      <c r="K1891" s="11">
        <f t="shared" si="58"/>
        <v>1247</v>
      </c>
      <c r="L1891" s="11">
        <v>0</v>
      </c>
      <c r="M1891" s="11">
        <v>149.63999999999999</v>
      </c>
      <c r="N1891" s="11">
        <f t="shared" si="59"/>
        <v>1396.6399999999999</v>
      </c>
    </row>
    <row r="1892" spans="3:14" x14ac:dyDescent="0.3">
      <c r="C1892" s="6">
        <v>44351</v>
      </c>
      <c r="D1892" s="7" t="s">
        <v>191</v>
      </c>
      <c r="E1892" s="8">
        <v>2021</v>
      </c>
      <c r="F1892" s="9" t="s">
        <v>153</v>
      </c>
      <c r="G1892" s="9" t="s">
        <v>32</v>
      </c>
      <c r="H1892" s="10" t="s">
        <v>143</v>
      </c>
      <c r="I1892" s="7">
        <v>60</v>
      </c>
      <c r="J1892" s="11">
        <v>88</v>
      </c>
      <c r="K1892" s="11">
        <f t="shared" si="58"/>
        <v>5280</v>
      </c>
      <c r="L1892" s="11">
        <v>0</v>
      </c>
      <c r="M1892" s="11">
        <v>633.6</v>
      </c>
      <c r="N1892" s="11">
        <f t="shared" si="59"/>
        <v>5913.6</v>
      </c>
    </row>
    <row r="1893" spans="3:14" x14ac:dyDescent="0.3">
      <c r="C1893" s="6">
        <v>44351</v>
      </c>
      <c r="D1893" s="7" t="s">
        <v>191</v>
      </c>
      <c r="E1893" s="8">
        <v>2021</v>
      </c>
      <c r="F1893" s="9" t="s">
        <v>153</v>
      </c>
      <c r="G1893" s="9" t="s">
        <v>20</v>
      </c>
      <c r="H1893" s="10" t="s">
        <v>22</v>
      </c>
      <c r="I1893" s="7">
        <v>27</v>
      </c>
      <c r="J1893" s="11">
        <v>73</v>
      </c>
      <c r="K1893" s="11">
        <f t="shared" si="58"/>
        <v>1971</v>
      </c>
      <c r="L1893" s="11">
        <v>0</v>
      </c>
      <c r="M1893" s="11">
        <v>236.51999999999998</v>
      </c>
      <c r="N1893" s="11">
        <f t="shared" si="59"/>
        <v>2207.52</v>
      </c>
    </row>
    <row r="1894" spans="3:14" x14ac:dyDescent="0.3">
      <c r="C1894" s="6">
        <v>44351</v>
      </c>
      <c r="D1894" s="7" t="s">
        <v>191</v>
      </c>
      <c r="E1894" s="8">
        <v>2021</v>
      </c>
      <c r="F1894" s="9" t="s">
        <v>153</v>
      </c>
      <c r="G1894" s="9" t="s">
        <v>16</v>
      </c>
      <c r="H1894" s="10" t="s">
        <v>132</v>
      </c>
      <c r="I1894" s="7">
        <v>44</v>
      </c>
      <c r="J1894" s="11">
        <v>66</v>
      </c>
      <c r="K1894" s="11">
        <f t="shared" si="58"/>
        <v>2904</v>
      </c>
      <c r="L1894" s="11">
        <v>0</v>
      </c>
      <c r="M1894" s="11">
        <v>348.47999999999996</v>
      </c>
      <c r="N1894" s="11">
        <f t="shared" si="59"/>
        <v>3252.48</v>
      </c>
    </row>
    <row r="1895" spans="3:14" x14ac:dyDescent="0.3">
      <c r="C1895" s="6">
        <v>44351</v>
      </c>
      <c r="D1895" s="7" t="s">
        <v>191</v>
      </c>
      <c r="E1895" s="8">
        <v>2021</v>
      </c>
      <c r="F1895" s="9" t="s">
        <v>153</v>
      </c>
      <c r="G1895" s="9" t="s">
        <v>42</v>
      </c>
      <c r="H1895" s="10" t="s">
        <v>51</v>
      </c>
      <c r="I1895" s="7">
        <v>35</v>
      </c>
      <c r="J1895" s="11">
        <v>97</v>
      </c>
      <c r="K1895" s="11">
        <f t="shared" si="58"/>
        <v>3395</v>
      </c>
      <c r="L1895" s="11">
        <v>0</v>
      </c>
      <c r="M1895" s="11">
        <v>407.4</v>
      </c>
      <c r="N1895" s="11">
        <f t="shared" si="59"/>
        <v>3802.4</v>
      </c>
    </row>
    <row r="1896" spans="3:14" x14ac:dyDescent="0.3">
      <c r="C1896" s="6">
        <v>44351</v>
      </c>
      <c r="D1896" s="7" t="s">
        <v>191</v>
      </c>
      <c r="E1896" s="8">
        <v>2021</v>
      </c>
      <c r="F1896" s="9" t="s">
        <v>153</v>
      </c>
      <c r="G1896" s="9" t="s">
        <v>24</v>
      </c>
      <c r="H1896" s="10" t="s">
        <v>96</v>
      </c>
      <c r="I1896" s="7">
        <v>44</v>
      </c>
      <c r="J1896" s="11">
        <v>48</v>
      </c>
      <c r="K1896" s="11">
        <f t="shared" si="58"/>
        <v>2112</v>
      </c>
      <c r="L1896" s="11">
        <v>0</v>
      </c>
      <c r="M1896" s="11">
        <v>253.44</v>
      </c>
      <c r="N1896" s="11">
        <f t="shared" si="59"/>
        <v>2365.44</v>
      </c>
    </row>
    <row r="1897" spans="3:14" x14ac:dyDescent="0.3">
      <c r="C1897" s="6">
        <v>44352</v>
      </c>
      <c r="D1897" s="7" t="s">
        <v>191</v>
      </c>
      <c r="E1897" s="8">
        <v>2021</v>
      </c>
      <c r="F1897" s="9" t="s">
        <v>71</v>
      </c>
      <c r="G1897" s="9" t="s">
        <v>24</v>
      </c>
      <c r="H1897" s="10" t="s">
        <v>25</v>
      </c>
      <c r="I1897" s="7">
        <v>50</v>
      </c>
      <c r="J1897" s="11">
        <v>35</v>
      </c>
      <c r="K1897" s="11">
        <f t="shared" si="58"/>
        <v>1750</v>
      </c>
      <c r="L1897" s="11">
        <v>5.0000000745058101E-2</v>
      </c>
      <c r="M1897" s="11">
        <v>210</v>
      </c>
      <c r="N1897" s="11">
        <f t="shared" si="59"/>
        <v>1959.9499999992549</v>
      </c>
    </row>
    <row r="1898" spans="3:14" x14ac:dyDescent="0.3">
      <c r="C1898" s="6">
        <v>44352</v>
      </c>
      <c r="D1898" s="7" t="s">
        <v>191</v>
      </c>
      <c r="E1898" s="8">
        <v>2021</v>
      </c>
      <c r="F1898" s="9" t="s">
        <v>71</v>
      </c>
      <c r="G1898" s="9" t="s">
        <v>42</v>
      </c>
      <c r="H1898" s="10" t="s">
        <v>43</v>
      </c>
      <c r="I1898" s="7">
        <v>18</v>
      </c>
      <c r="J1898" s="11">
        <v>91</v>
      </c>
      <c r="K1898" s="11">
        <f t="shared" si="58"/>
        <v>1638</v>
      </c>
      <c r="L1898" s="11">
        <v>5.0000000745058101E-2</v>
      </c>
      <c r="M1898" s="11">
        <v>196.56</v>
      </c>
      <c r="N1898" s="11">
        <f t="shared" si="59"/>
        <v>1834.5099999992549</v>
      </c>
    </row>
    <row r="1899" spans="3:14" x14ac:dyDescent="0.3">
      <c r="C1899" s="6">
        <v>44353</v>
      </c>
      <c r="D1899" s="7" t="s">
        <v>191</v>
      </c>
      <c r="E1899" s="8">
        <v>2021</v>
      </c>
      <c r="F1899" s="9" t="s">
        <v>75</v>
      </c>
      <c r="G1899" s="9" t="s">
        <v>24</v>
      </c>
      <c r="H1899" s="10" t="s">
        <v>69</v>
      </c>
      <c r="I1899" s="7">
        <v>80</v>
      </c>
      <c r="J1899" s="11">
        <v>30</v>
      </c>
      <c r="K1899" s="11">
        <f t="shared" si="58"/>
        <v>2400</v>
      </c>
      <c r="L1899" s="11">
        <v>0</v>
      </c>
      <c r="M1899" s="11">
        <v>288</v>
      </c>
      <c r="N1899" s="11">
        <f t="shared" si="59"/>
        <v>2688</v>
      </c>
    </row>
    <row r="1900" spans="3:14" x14ac:dyDescent="0.3">
      <c r="C1900" s="6">
        <v>44353</v>
      </c>
      <c r="D1900" s="7" t="s">
        <v>191</v>
      </c>
      <c r="E1900" s="8">
        <v>2021</v>
      </c>
      <c r="F1900" s="9" t="s">
        <v>75</v>
      </c>
      <c r="G1900" s="9" t="s">
        <v>32</v>
      </c>
      <c r="H1900" s="10" t="s">
        <v>62</v>
      </c>
      <c r="I1900" s="7">
        <v>21</v>
      </c>
      <c r="J1900" s="11">
        <v>39</v>
      </c>
      <c r="K1900" s="11">
        <f t="shared" si="58"/>
        <v>819</v>
      </c>
      <c r="L1900" s="11">
        <v>0.25</v>
      </c>
      <c r="M1900" s="11">
        <v>98.28</v>
      </c>
      <c r="N1900" s="11">
        <f t="shared" si="59"/>
        <v>917.03</v>
      </c>
    </row>
    <row r="1901" spans="3:14" x14ac:dyDescent="0.3">
      <c r="C1901" s="6">
        <v>44353</v>
      </c>
      <c r="D1901" s="7" t="s">
        <v>191</v>
      </c>
      <c r="E1901" s="8">
        <v>2021</v>
      </c>
      <c r="F1901" s="9" t="s">
        <v>70</v>
      </c>
      <c r="G1901" s="9" t="s">
        <v>26</v>
      </c>
      <c r="H1901" s="10" t="s">
        <v>94</v>
      </c>
      <c r="I1901" s="7">
        <v>83</v>
      </c>
      <c r="J1901" s="11">
        <v>66</v>
      </c>
      <c r="K1901" s="11">
        <f t="shared" si="58"/>
        <v>5478</v>
      </c>
      <c r="L1901" s="11">
        <v>0</v>
      </c>
      <c r="M1901" s="11">
        <v>657.36</v>
      </c>
      <c r="N1901" s="11">
        <f t="shared" si="59"/>
        <v>6135.36</v>
      </c>
    </row>
    <row r="1902" spans="3:14" x14ac:dyDescent="0.3">
      <c r="C1902" s="6">
        <v>44353</v>
      </c>
      <c r="D1902" s="7" t="s">
        <v>191</v>
      </c>
      <c r="E1902" s="8">
        <v>2021</v>
      </c>
      <c r="F1902" s="9" t="s">
        <v>70</v>
      </c>
      <c r="G1902" s="9" t="s">
        <v>20</v>
      </c>
      <c r="H1902" s="10" t="s">
        <v>22</v>
      </c>
      <c r="I1902" s="7">
        <v>11</v>
      </c>
      <c r="J1902" s="11">
        <v>30</v>
      </c>
      <c r="K1902" s="11">
        <f t="shared" si="58"/>
        <v>330</v>
      </c>
      <c r="L1902" s="11">
        <v>0</v>
      </c>
      <c r="M1902" s="11">
        <v>39.6</v>
      </c>
      <c r="N1902" s="11">
        <f t="shared" si="59"/>
        <v>369.6</v>
      </c>
    </row>
    <row r="1903" spans="3:14" x14ac:dyDescent="0.3">
      <c r="C1903" s="6">
        <v>44356</v>
      </c>
      <c r="D1903" s="7" t="s">
        <v>191</v>
      </c>
      <c r="E1903" s="8">
        <v>2021</v>
      </c>
      <c r="F1903" s="9" t="s">
        <v>108</v>
      </c>
      <c r="G1903" s="9" t="s">
        <v>14</v>
      </c>
      <c r="H1903" s="10" t="s">
        <v>34</v>
      </c>
      <c r="I1903" s="7">
        <v>24</v>
      </c>
      <c r="J1903" s="11">
        <v>11</v>
      </c>
      <c r="K1903" s="11">
        <f t="shared" si="58"/>
        <v>264</v>
      </c>
      <c r="L1903" s="11">
        <v>0.10000000149011599</v>
      </c>
      <c r="M1903" s="11">
        <v>31.68</v>
      </c>
      <c r="N1903" s="11">
        <f t="shared" si="59"/>
        <v>295.57999999850989</v>
      </c>
    </row>
    <row r="1904" spans="3:14" x14ac:dyDescent="0.3">
      <c r="C1904" s="6">
        <v>44356</v>
      </c>
      <c r="D1904" s="7" t="s">
        <v>191</v>
      </c>
      <c r="E1904" s="8">
        <v>2021</v>
      </c>
      <c r="F1904" s="9" t="s">
        <v>108</v>
      </c>
      <c r="G1904" s="9" t="s">
        <v>32</v>
      </c>
      <c r="H1904" s="10" t="s">
        <v>62</v>
      </c>
      <c r="I1904" s="7">
        <v>46</v>
      </c>
      <c r="J1904" s="11">
        <v>24</v>
      </c>
      <c r="K1904" s="11">
        <f t="shared" si="58"/>
        <v>1104</v>
      </c>
      <c r="L1904" s="11">
        <v>0.10000000149011599</v>
      </c>
      <c r="M1904" s="11">
        <v>132.47999999999999</v>
      </c>
      <c r="N1904" s="11">
        <f t="shared" si="59"/>
        <v>1236.3799999985099</v>
      </c>
    </row>
    <row r="1905" spans="3:14" x14ac:dyDescent="0.3">
      <c r="C1905" s="6">
        <v>44357</v>
      </c>
      <c r="D1905" s="7" t="s">
        <v>191</v>
      </c>
      <c r="E1905" s="8">
        <v>2021</v>
      </c>
      <c r="F1905" s="9" t="s">
        <v>105</v>
      </c>
      <c r="G1905" s="9" t="s">
        <v>24</v>
      </c>
      <c r="H1905" s="10" t="s">
        <v>48</v>
      </c>
      <c r="I1905" s="7">
        <v>3</v>
      </c>
      <c r="J1905" s="11">
        <v>89</v>
      </c>
      <c r="K1905" s="11">
        <f t="shared" si="58"/>
        <v>267</v>
      </c>
      <c r="L1905" s="11">
        <v>0</v>
      </c>
      <c r="M1905" s="11">
        <v>32.04</v>
      </c>
      <c r="N1905" s="11">
        <f t="shared" si="59"/>
        <v>299.04000000000002</v>
      </c>
    </row>
    <row r="1906" spans="3:14" x14ac:dyDescent="0.3">
      <c r="C1906" s="6">
        <v>44357</v>
      </c>
      <c r="D1906" s="7" t="s">
        <v>191</v>
      </c>
      <c r="E1906" s="8">
        <v>2021</v>
      </c>
      <c r="F1906" s="9" t="s">
        <v>105</v>
      </c>
      <c r="G1906" s="9" t="s">
        <v>16</v>
      </c>
      <c r="H1906" s="10" t="s">
        <v>132</v>
      </c>
      <c r="I1906" s="7">
        <v>93</v>
      </c>
      <c r="J1906" s="11">
        <v>53</v>
      </c>
      <c r="K1906" s="11">
        <f t="shared" si="58"/>
        <v>4929</v>
      </c>
      <c r="L1906" s="11">
        <v>0</v>
      </c>
      <c r="M1906" s="11">
        <v>591.48</v>
      </c>
      <c r="N1906" s="11">
        <f t="shared" si="59"/>
        <v>5520.48</v>
      </c>
    </row>
    <row r="1907" spans="3:14" x14ac:dyDescent="0.3">
      <c r="C1907" s="6">
        <v>44357</v>
      </c>
      <c r="D1907" s="7" t="s">
        <v>191</v>
      </c>
      <c r="E1907" s="8">
        <v>2021</v>
      </c>
      <c r="F1907" s="9" t="s">
        <v>66</v>
      </c>
      <c r="G1907" s="9" t="s">
        <v>42</v>
      </c>
      <c r="H1907" s="10" t="s">
        <v>72</v>
      </c>
      <c r="I1907" s="7">
        <v>100</v>
      </c>
      <c r="J1907" s="11">
        <v>23</v>
      </c>
      <c r="K1907" s="11">
        <f t="shared" si="58"/>
        <v>2300</v>
      </c>
      <c r="L1907" s="11">
        <v>5.0000000745058101E-2</v>
      </c>
      <c r="M1907" s="11">
        <v>276</v>
      </c>
      <c r="N1907" s="11">
        <f t="shared" si="59"/>
        <v>2575.9499999992549</v>
      </c>
    </row>
    <row r="1908" spans="3:14" x14ac:dyDescent="0.3">
      <c r="C1908" s="6">
        <v>44357</v>
      </c>
      <c r="D1908" s="7" t="s">
        <v>191</v>
      </c>
      <c r="E1908" s="8">
        <v>2021</v>
      </c>
      <c r="F1908" s="9" t="s">
        <v>66</v>
      </c>
      <c r="G1908" s="9" t="s">
        <v>14</v>
      </c>
      <c r="H1908" s="10" t="s">
        <v>36</v>
      </c>
      <c r="I1908" s="7">
        <v>17</v>
      </c>
      <c r="J1908" s="11">
        <v>32</v>
      </c>
      <c r="K1908" s="11">
        <f t="shared" si="58"/>
        <v>544</v>
      </c>
      <c r="L1908" s="11">
        <v>5.0000000745058101E-2</v>
      </c>
      <c r="M1908" s="11">
        <v>65.28</v>
      </c>
      <c r="N1908" s="11">
        <f t="shared" si="59"/>
        <v>609.22999999925491</v>
      </c>
    </row>
    <row r="1909" spans="3:14" x14ac:dyDescent="0.3">
      <c r="C1909" s="6">
        <v>44357</v>
      </c>
      <c r="D1909" s="7" t="s">
        <v>191</v>
      </c>
      <c r="E1909" s="8">
        <v>2021</v>
      </c>
      <c r="F1909" s="9" t="s">
        <v>66</v>
      </c>
      <c r="G1909" s="9" t="s">
        <v>42</v>
      </c>
      <c r="H1909" s="10" t="s">
        <v>43</v>
      </c>
      <c r="I1909" s="7">
        <v>19</v>
      </c>
      <c r="J1909" s="11">
        <v>68</v>
      </c>
      <c r="K1909" s="11">
        <f t="shared" si="58"/>
        <v>1292</v>
      </c>
      <c r="L1909" s="11">
        <v>5.0000000745058101E-2</v>
      </c>
      <c r="M1909" s="11">
        <v>155.04</v>
      </c>
      <c r="N1909" s="11">
        <f t="shared" si="59"/>
        <v>1446.9899999992549</v>
      </c>
    </row>
    <row r="1910" spans="3:14" x14ac:dyDescent="0.3">
      <c r="C1910" s="6">
        <v>44358</v>
      </c>
      <c r="D1910" s="7" t="s">
        <v>191</v>
      </c>
      <c r="E1910" s="8">
        <v>2021</v>
      </c>
      <c r="F1910" s="9" t="s">
        <v>142</v>
      </c>
      <c r="G1910" s="9" t="s">
        <v>37</v>
      </c>
      <c r="H1910" s="10" t="s">
        <v>41</v>
      </c>
      <c r="I1910" s="7">
        <v>88</v>
      </c>
      <c r="J1910" s="11">
        <v>25</v>
      </c>
      <c r="K1910" s="11">
        <f t="shared" si="58"/>
        <v>2200</v>
      </c>
      <c r="L1910" s="11">
        <v>0.10000000149011599</v>
      </c>
      <c r="M1910" s="11">
        <v>264</v>
      </c>
      <c r="N1910" s="11">
        <f t="shared" si="59"/>
        <v>2463.8999999985099</v>
      </c>
    </row>
    <row r="1911" spans="3:14" x14ac:dyDescent="0.3">
      <c r="C1911" s="6">
        <v>44358</v>
      </c>
      <c r="D1911" s="7" t="s">
        <v>191</v>
      </c>
      <c r="E1911" s="8">
        <v>2021</v>
      </c>
      <c r="F1911" s="9" t="s">
        <v>142</v>
      </c>
      <c r="G1911" s="9" t="s">
        <v>16</v>
      </c>
      <c r="H1911" s="10" t="s">
        <v>113</v>
      </c>
      <c r="I1911" s="7">
        <v>2</v>
      </c>
      <c r="J1911" s="11">
        <v>73</v>
      </c>
      <c r="K1911" s="11">
        <f t="shared" si="58"/>
        <v>146</v>
      </c>
      <c r="L1911" s="11">
        <v>0.10000000149011599</v>
      </c>
      <c r="M1911" s="11">
        <v>17.52</v>
      </c>
      <c r="N1911" s="11">
        <f t="shared" si="59"/>
        <v>163.41999999850989</v>
      </c>
    </row>
    <row r="1912" spans="3:14" x14ac:dyDescent="0.3">
      <c r="C1912" s="6">
        <v>44359</v>
      </c>
      <c r="D1912" s="7" t="s">
        <v>191</v>
      </c>
      <c r="E1912" s="8">
        <v>2021</v>
      </c>
      <c r="F1912" s="9" t="s">
        <v>71</v>
      </c>
      <c r="G1912" s="9" t="s">
        <v>14</v>
      </c>
      <c r="H1912" s="10" t="s">
        <v>15</v>
      </c>
      <c r="I1912" s="7">
        <v>48</v>
      </c>
      <c r="J1912" s="11">
        <v>50</v>
      </c>
      <c r="K1912" s="11">
        <f t="shared" si="58"/>
        <v>2400</v>
      </c>
      <c r="L1912" s="11">
        <v>0.15000000596046401</v>
      </c>
      <c r="M1912" s="11">
        <v>288</v>
      </c>
      <c r="N1912" s="11">
        <f t="shared" si="59"/>
        <v>2687.8499999940395</v>
      </c>
    </row>
    <row r="1913" spans="3:14" x14ac:dyDescent="0.3">
      <c r="C1913" s="6">
        <v>44359</v>
      </c>
      <c r="D1913" s="7" t="s">
        <v>191</v>
      </c>
      <c r="E1913" s="8">
        <v>2021</v>
      </c>
      <c r="F1913" s="9" t="s">
        <v>71</v>
      </c>
      <c r="G1913" s="9" t="s">
        <v>24</v>
      </c>
      <c r="H1913" s="10" t="s">
        <v>115</v>
      </c>
      <c r="I1913" s="7">
        <v>19</v>
      </c>
      <c r="J1913" s="11">
        <v>27</v>
      </c>
      <c r="K1913" s="11">
        <f t="shared" si="58"/>
        <v>513</v>
      </c>
      <c r="L1913" s="11">
        <v>0.15000000596046401</v>
      </c>
      <c r="M1913" s="11">
        <v>61.559999999999995</v>
      </c>
      <c r="N1913" s="11">
        <f t="shared" si="59"/>
        <v>574.40999999403948</v>
      </c>
    </row>
    <row r="1914" spans="3:14" x14ac:dyDescent="0.3">
      <c r="C1914" s="6">
        <v>44359</v>
      </c>
      <c r="D1914" s="7" t="s">
        <v>191</v>
      </c>
      <c r="E1914" s="8">
        <v>2021</v>
      </c>
      <c r="F1914" s="9" t="s">
        <v>71</v>
      </c>
      <c r="G1914" s="9" t="s">
        <v>37</v>
      </c>
      <c r="H1914" s="10" t="s">
        <v>77</v>
      </c>
      <c r="I1914" s="7">
        <v>89</v>
      </c>
      <c r="J1914" s="11">
        <v>88</v>
      </c>
      <c r="K1914" s="11">
        <f t="shared" si="58"/>
        <v>7832</v>
      </c>
      <c r="L1914" s="11">
        <v>0</v>
      </c>
      <c r="M1914" s="11">
        <v>939.83999999999992</v>
      </c>
      <c r="N1914" s="11">
        <f t="shared" si="59"/>
        <v>8771.84</v>
      </c>
    </row>
    <row r="1915" spans="3:14" x14ac:dyDescent="0.3">
      <c r="C1915" s="6">
        <v>44359</v>
      </c>
      <c r="D1915" s="7" t="s">
        <v>191</v>
      </c>
      <c r="E1915" s="8">
        <v>2021</v>
      </c>
      <c r="F1915" s="9" t="s">
        <v>118</v>
      </c>
      <c r="G1915" s="9" t="s">
        <v>14</v>
      </c>
      <c r="H1915" s="10" t="s">
        <v>36</v>
      </c>
      <c r="I1915" s="7">
        <v>85</v>
      </c>
      <c r="J1915" s="11">
        <v>89</v>
      </c>
      <c r="K1915" s="11">
        <f t="shared" si="58"/>
        <v>7565</v>
      </c>
      <c r="L1915" s="11">
        <v>0.20000000298023199</v>
      </c>
      <c r="M1915" s="11">
        <v>907.8</v>
      </c>
      <c r="N1915" s="11">
        <f t="shared" si="59"/>
        <v>8472.599999997019</v>
      </c>
    </row>
    <row r="1916" spans="3:14" x14ac:dyDescent="0.3">
      <c r="C1916" s="6">
        <v>44359</v>
      </c>
      <c r="D1916" s="7" t="s">
        <v>191</v>
      </c>
      <c r="E1916" s="8">
        <v>2021</v>
      </c>
      <c r="F1916" s="9" t="s">
        <v>118</v>
      </c>
      <c r="G1916" s="9" t="s">
        <v>20</v>
      </c>
      <c r="H1916" s="10" t="s">
        <v>22</v>
      </c>
      <c r="I1916" s="7">
        <v>1</v>
      </c>
      <c r="J1916" s="11">
        <v>24</v>
      </c>
      <c r="K1916" s="11">
        <f t="shared" si="58"/>
        <v>24</v>
      </c>
      <c r="L1916" s="11">
        <v>0</v>
      </c>
      <c r="M1916" s="11">
        <v>2.88</v>
      </c>
      <c r="N1916" s="11">
        <f t="shared" si="59"/>
        <v>26.88</v>
      </c>
    </row>
    <row r="1917" spans="3:14" x14ac:dyDescent="0.3">
      <c r="C1917" s="6">
        <v>44359</v>
      </c>
      <c r="D1917" s="7" t="s">
        <v>191</v>
      </c>
      <c r="E1917" s="8">
        <v>2021</v>
      </c>
      <c r="F1917" s="9" t="s">
        <v>118</v>
      </c>
      <c r="G1917" s="9" t="s">
        <v>14</v>
      </c>
      <c r="H1917" s="10" t="s">
        <v>49</v>
      </c>
      <c r="I1917" s="7">
        <v>96</v>
      </c>
      <c r="J1917" s="11">
        <v>72</v>
      </c>
      <c r="K1917" s="11">
        <f t="shared" si="58"/>
        <v>6912</v>
      </c>
      <c r="L1917" s="11">
        <v>0.20000000298023199</v>
      </c>
      <c r="M1917" s="11">
        <v>829.43999999999994</v>
      </c>
      <c r="N1917" s="11">
        <f t="shared" si="59"/>
        <v>7741.2399999970194</v>
      </c>
    </row>
    <row r="1918" spans="3:14" x14ac:dyDescent="0.3">
      <c r="C1918" s="6">
        <v>44360</v>
      </c>
      <c r="D1918" s="7" t="s">
        <v>191</v>
      </c>
      <c r="E1918" s="8">
        <v>2021</v>
      </c>
      <c r="F1918" s="9" t="s">
        <v>158</v>
      </c>
      <c r="G1918" s="9" t="s">
        <v>24</v>
      </c>
      <c r="H1918" s="10" t="s">
        <v>85</v>
      </c>
      <c r="I1918" s="7">
        <v>25</v>
      </c>
      <c r="J1918" s="11">
        <v>87</v>
      </c>
      <c r="K1918" s="11">
        <f t="shared" si="58"/>
        <v>2175</v>
      </c>
      <c r="L1918" s="11">
        <v>0</v>
      </c>
      <c r="M1918" s="11">
        <v>261</v>
      </c>
      <c r="N1918" s="11">
        <f t="shared" si="59"/>
        <v>2436</v>
      </c>
    </row>
    <row r="1919" spans="3:14" x14ac:dyDescent="0.3">
      <c r="C1919" s="6">
        <v>44363</v>
      </c>
      <c r="D1919" s="7" t="s">
        <v>191</v>
      </c>
      <c r="E1919" s="8">
        <v>2021</v>
      </c>
      <c r="F1919" s="9" t="s">
        <v>66</v>
      </c>
      <c r="G1919" s="9" t="s">
        <v>14</v>
      </c>
      <c r="H1919" s="10" t="s">
        <v>36</v>
      </c>
      <c r="I1919" s="7">
        <v>33</v>
      </c>
      <c r="J1919" s="11">
        <v>77</v>
      </c>
      <c r="K1919" s="11">
        <f t="shared" si="58"/>
        <v>2541</v>
      </c>
      <c r="L1919" s="11">
        <v>0.20000000298023199</v>
      </c>
      <c r="M1919" s="11">
        <v>304.92</v>
      </c>
      <c r="N1919" s="11">
        <f t="shared" si="59"/>
        <v>2845.7199999970198</v>
      </c>
    </row>
    <row r="1920" spans="3:14" x14ac:dyDescent="0.3">
      <c r="C1920" s="6">
        <v>44363</v>
      </c>
      <c r="D1920" s="7" t="s">
        <v>191</v>
      </c>
      <c r="E1920" s="8">
        <v>2021</v>
      </c>
      <c r="F1920" s="9" t="s">
        <v>66</v>
      </c>
      <c r="G1920" s="9" t="s">
        <v>37</v>
      </c>
      <c r="H1920" s="10" t="s">
        <v>77</v>
      </c>
      <c r="I1920" s="7">
        <v>4</v>
      </c>
      <c r="J1920" s="11">
        <v>27</v>
      </c>
      <c r="K1920" s="11">
        <f t="shared" si="58"/>
        <v>108</v>
      </c>
      <c r="L1920" s="11">
        <v>0</v>
      </c>
      <c r="M1920" s="11">
        <v>12.959999999999999</v>
      </c>
      <c r="N1920" s="11">
        <f t="shared" si="59"/>
        <v>120.96</v>
      </c>
    </row>
    <row r="1921" spans="3:14" x14ac:dyDescent="0.3">
      <c r="C1921" s="6">
        <v>44364</v>
      </c>
      <c r="D1921" s="7" t="s">
        <v>191</v>
      </c>
      <c r="E1921" s="8">
        <v>2021</v>
      </c>
      <c r="F1921" s="9" t="s">
        <v>142</v>
      </c>
      <c r="G1921" s="9" t="s">
        <v>14</v>
      </c>
      <c r="H1921" s="10" t="s">
        <v>15</v>
      </c>
      <c r="I1921" s="7">
        <v>12</v>
      </c>
      <c r="J1921" s="11">
        <v>57</v>
      </c>
      <c r="K1921" s="11">
        <f t="shared" si="58"/>
        <v>684</v>
      </c>
      <c r="L1921" s="11">
        <v>5.0000000745058101E-2</v>
      </c>
      <c r="M1921" s="11">
        <v>82.08</v>
      </c>
      <c r="N1921" s="11">
        <f t="shared" si="59"/>
        <v>766.02999999925498</v>
      </c>
    </row>
    <row r="1922" spans="3:14" x14ac:dyDescent="0.3">
      <c r="C1922" s="6">
        <v>44364</v>
      </c>
      <c r="D1922" s="7" t="s">
        <v>191</v>
      </c>
      <c r="E1922" s="8">
        <v>2021</v>
      </c>
      <c r="F1922" s="9" t="s">
        <v>142</v>
      </c>
      <c r="G1922" s="9" t="s">
        <v>16</v>
      </c>
      <c r="H1922" s="10" t="s">
        <v>68</v>
      </c>
      <c r="I1922" s="7">
        <v>17</v>
      </c>
      <c r="J1922" s="11">
        <v>100</v>
      </c>
      <c r="K1922" s="11">
        <f t="shared" si="58"/>
        <v>1700</v>
      </c>
      <c r="L1922" s="11">
        <v>5.0000000745058101E-2</v>
      </c>
      <c r="M1922" s="11">
        <v>204</v>
      </c>
      <c r="N1922" s="11">
        <f t="shared" si="59"/>
        <v>1903.9499999992549</v>
      </c>
    </row>
    <row r="1923" spans="3:14" x14ac:dyDescent="0.3">
      <c r="C1923" s="6">
        <v>44364</v>
      </c>
      <c r="D1923" s="7" t="s">
        <v>191</v>
      </c>
      <c r="E1923" s="8">
        <v>2021</v>
      </c>
      <c r="F1923" s="9" t="s">
        <v>55</v>
      </c>
      <c r="G1923" s="9" t="s">
        <v>20</v>
      </c>
      <c r="H1923" s="10" t="s">
        <v>136</v>
      </c>
      <c r="I1923" s="7">
        <v>38</v>
      </c>
      <c r="J1923" s="11">
        <v>69</v>
      </c>
      <c r="K1923" s="11">
        <f t="shared" ref="K1923:K1986" si="60">J1923*I1923</f>
        <v>2622</v>
      </c>
      <c r="L1923" s="11">
        <v>0.15000000596046401</v>
      </c>
      <c r="M1923" s="11">
        <v>314.64</v>
      </c>
      <c r="N1923" s="11">
        <f t="shared" ref="N1923:N1986" si="61">K1923-L1923+M1923</f>
        <v>2936.4899999940394</v>
      </c>
    </row>
    <row r="1924" spans="3:14" x14ac:dyDescent="0.3">
      <c r="C1924" s="6">
        <v>44364</v>
      </c>
      <c r="D1924" s="7" t="s">
        <v>191</v>
      </c>
      <c r="E1924" s="8">
        <v>2021</v>
      </c>
      <c r="F1924" s="9" t="s">
        <v>55</v>
      </c>
      <c r="G1924" s="9" t="s">
        <v>16</v>
      </c>
      <c r="H1924" s="10" t="s">
        <v>17</v>
      </c>
      <c r="I1924" s="7">
        <v>25</v>
      </c>
      <c r="J1924" s="11">
        <v>47</v>
      </c>
      <c r="K1924" s="11">
        <f t="shared" si="60"/>
        <v>1175</v>
      </c>
      <c r="L1924" s="11">
        <v>0.15000000596046401</v>
      </c>
      <c r="M1924" s="11">
        <v>141</v>
      </c>
      <c r="N1924" s="11">
        <f t="shared" si="61"/>
        <v>1315.8499999940395</v>
      </c>
    </row>
    <row r="1925" spans="3:14" x14ac:dyDescent="0.3">
      <c r="C1925" s="6">
        <v>44365</v>
      </c>
      <c r="D1925" s="7" t="s">
        <v>191</v>
      </c>
      <c r="E1925" s="8">
        <v>2021</v>
      </c>
      <c r="F1925" s="9" t="s">
        <v>93</v>
      </c>
      <c r="G1925" s="9" t="s">
        <v>32</v>
      </c>
      <c r="H1925" s="10" t="s">
        <v>47</v>
      </c>
      <c r="I1925" s="7">
        <v>16</v>
      </c>
      <c r="J1925" s="11">
        <v>74</v>
      </c>
      <c r="K1925" s="11">
        <f t="shared" si="60"/>
        <v>1184</v>
      </c>
      <c r="L1925" s="11">
        <v>0.10000000149011599</v>
      </c>
      <c r="M1925" s="11">
        <v>142.07999999999998</v>
      </c>
      <c r="N1925" s="11">
        <f t="shared" si="61"/>
        <v>1325.9799999985098</v>
      </c>
    </row>
    <row r="1926" spans="3:14" x14ac:dyDescent="0.3">
      <c r="C1926" s="6">
        <v>44365</v>
      </c>
      <c r="D1926" s="7" t="s">
        <v>191</v>
      </c>
      <c r="E1926" s="8">
        <v>2021</v>
      </c>
      <c r="F1926" s="9" t="s">
        <v>93</v>
      </c>
      <c r="G1926" s="9" t="s">
        <v>14</v>
      </c>
      <c r="H1926" s="10" t="s">
        <v>57</v>
      </c>
      <c r="I1926" s="7">
        <v>13</v>
      </c>
      <c r="J1926" s="11">
        <v>66</v>
      </c>
      <c r="K1926" s="11">
        <f t="shared" si="60"/>
        <v>858</v>
      </c>
      <c r="L1926" s="11">
        <v>0.10000000149011599</v>
      </c>
      <c r="M1926" s="11">
        <v>102.96</v>
      </c>
      <c r="N1926" s="11">
        <f t="shared" si="61"/>
        <v>960.85999999850992</v>
      </c>
    </row>
    <row r="1927" spans="3:14" x14ac:dyDescent="0.3">
      <c r="C1927" s="6">
        <v>44365</v>
      </c>
      <c r="D1927" s="7" t="s">
        <v>191</v>
      </c>
      <c r="E1927" s="8">
        <v>2021</v>
      </c>
      <c r="F1927" s="9" t="s">
        <v>93</v>
      </c>
      <c r="G1927" s="9" t="s">
        <v>24</v>
      </c>
      <c r="H1927" s="10" t="s">
        <v>76</v>
      </c>
      <c r="I1927" s="7">
        <v>46</v>
      </c>
      <c r="J1927" s="11">
        <v>12</v>
      </c>
      <c r="K1927" s="11">
        <f t="shared" si="60"/>
        <v>552</v>
      </c>
      <c r="L1927" s="11">
        <v>0</v>
      </c>
      <c r="M1927" s="11">
        <v>66.239999999999995</v>
      </c>
      <c r="N1927" s="11">
        <f t="shared" si="61"/>
        <v>618.24</v>
      </c>
    </row>
    <row r="1928" spans="3:14" x14ac:dyDescent="0.3">
      <c r="C1928" s="6">
        <v>44365</v>
      </c>
      <c r="D1928" s="7" t="s">
        <v>191</v>
      </c>
      <c r="E1928" s="8">
        <v>2021</v>
      </c>
      <c r="F1928" s="9" t="s">
        <v>93</v>
      </c>
      <c r="G1928" s="9" t="s">
        <v>37</v>
      </c>
      <c r="H1928" s="10" t="s">
        <v>98</v>
      </c>
      <c r="I1928" s="7">
        <v>100</v>
      </c>
      <c r="J1928" s="11">
        <v>28</v>
      </c>
      <c r="K1928" s="11">
        <f t="shared" si="60"/>
        <v>2800</v>
      </c>
      <c r="L1928" s="11">
        <v>0.10000000149011599</v>
      </c>
      <c r="M1928" s="11">
        <v>336</v>
      </c>
      <c r="N1928" s="11">
        <f t="shared" si="61"/>
        <v>3135.8999999985099</v>
      </c>
    </row>
    <row r="1929" spans="3:14" x14ac:dyDescent="0.3">
      <c r="C1929" s="6">
        <v>44366</v>
      </c>
      <c r="D1929" s="7" t="s">
        <v>191</v>
      </c>
      <c r="E1929" s="8">
        <v>2021</v>
      </c>
      <c r="F1929" s="9" t="s">
        <v>157</v>
      </c>
      <c r="G1929" s="9" t="s">
        <v>42</v>
      </c>
      <c r="H1929" s="10" t="s">
        <v>72</v>
      </c>
      <c r="I1929" s="7">
        <v>84</v>
      </c>
      <c r="J1929" s="11">
        <v>98</v>
      </c>
      <c r="K1929" s="11">
        <f t="shared" si="60"/>
        <v>8232</v>
      </c>
      <c r="L1929" s="11">
        <v>0</v>
      </c>
      <c r="M1929" s="11">
        <v>987.83999999999992</v>
      </c>
      <c r="N1929" s="11">
        <f t="shared" si="61"/>
        <v>9219.84</v>
      </c>
    </row>
    <row r="1930" spans="3:14" x14ac:dyDescent="0.3">
      <c r="C1930" s="6">
        <v>44366</v>
      </c>
      <c r="D1930" s="7" t="s">
        <v>191</v>
      </c>
      <c r="E1930" s="8">
        <v>2021</v>
      </c>
      <c r="F1930" s="9" t="s">
        <v>157</v>
      </c>
      <c r="G1930" s="9" t="s">
        <v>37</v>
      </c>
      <c r="H1930" s="10" t="s">
        <v>106</v>
      </c>
      <c r="I1930" s="7">
        <v>72</v>
      </c>
      <c r="J1930" s="11">
        <v>40</v>
      </c>
      <c r="K1930" s="11">
        <f t="shared" si="60"/>
        <v>2880</v>
      </c>
      <c r="L1930" s="11">
        <v>0</v>
      </c>
      <c r="M1930" s="11">
        <v>345.59999999999997</v>
      </c>
      <c r="N1930" s="11">
        <f t="shared" si="61"/>
        <v>3225.6</v>
      </c>
    </row>
    <row r="1931" spans="3:14" x14ac:dyDescent="0.3">
      <c r="C1931" s="6">
        <v>44366</v>
      </c>
      <c r="D1931" s="7" t="s">
        <v>191</v>
      </c>
      <c r="E1931" s="8">
        <v>2021</v>
      </c>
      <c r="F1931" s="9" t="s">
        <v>157</v>
      </c>
      <c r="G1931" s="9" t="s">
        <v>42</v>
      </c>
      <c r="H1931" s="10" t="s">
        <v>51</v>
      </c>
      <c r="I1931" s="7">
        <v>65</v>
      </c>
      <c r="J1931" s="11">
        <v>97</v>
      </c>
      <c r="K1931" s="11">
        <f t="shared" si="60"/>
        <v>6305</v>
      </c>
      <c r="L1931" s="11">
        <v>0</v>
      </c>
      <c r="M1931" s="11">
        <v>756.6</v>
      </c>
      <c r="N1931" s="11">
        <f t="shared" si="61"/>
        <v>7061.6</v>
      </c>
    </row>
    <row r="1932" spans="3:14" x14ac:dyDescent="0.3">
      <c r="C1932" s="6">
        <v>44366</v>
      </c>
      <c r="D1932" s="7" t="s">
        <v>191</v>
      </c>
      <c r="E1932" s="8">
        <v>2021</v>
      </c>
      <c r="F1932" s="9" t="s">
        <v>192</v>
      </c>
      <c r="G1932" s="9" t="s">
        <v>14</v>
      </c>
      <c r="H1932" s="10" t="s">
        <v>34</v>
      </c>
      <c r="I1932" s="7">
        <v>79</v>
      </c>
      <c r="J1932" s="11">
        <v>96</v>
      </c>
      <c r="K1932" s="11">
        <f t="shared" si="60"/>
        <v>7584</v>
      </c>
      <c r="L1932" s="11">
        <v>0</v>
      </c>
      <c r="M1932" s="11">
        <v>910.07999999999993</v>
      </c>
      <c r="N1932" s="11">
        <f t="shared" si="61"/>
        <v>8494.08</v>
      </c>
    </row>
    <row r="1933" spans="3:14" x14ac:dyDescent="0.3">
      <c r="C1933" s="6">
        <v>44366</v>
      </c>
      <c r="D1933" s="7" t="s">
        <v>191</v>
      </c>
      <c r="E1933" s="8">
        <v>2021</v>
      </c>
      <c r="F1933" s="9" t="s">
        <v>192</v>
      </c>
      <c r="G1933" s="9" t="s">
        <v>24</v>
      </c>
      <c r="H1933" s="10" t="s">
        <v>76</v>
      </c>
      <c r="I1933" s="7">
        <v>2</v>
      </c>
      <c r="J1933" s="11">
        <v>15</v>
      </c>
      <c r="K1933" s="11">
        <f t="shared" si="60"/>
        <v>30</v>
      </c>
      <c r="L1933" s="11">
        <v>0</v>
      </c>
      <c r="M1933" s="11">
        <v>3.5999999999999996</v>
      </c>
      <c r="N1933" s="11">
        <f t="shared" si="61"/>
        <v>33.6</v>
      </c>
    </row>
    <row r="1934" spans="3:14" x14ac:dyDescent="0.3">
      <c r="C1934" s="6">
        <v>44366</v>
      </c>
      <c r="D1934" s="7" t="s">
        <v>191</v>
      </c>
      <c r="E1934" s="8">
        <v>2021</v>
      </c>
      <c r="F1934" s="9" t="s">
        <v>192</v>
      </c>
      <c r="G1934" s="9" t="s">
        <v>32</v>
      </c>
      <c r="H1934" s="10" t="s">
        <v>62</v>
      </c>
      <c r="I1934" s="7">
        <v>89</v>
      </c>
      <c r="J1934" s="11">
        <v>41</v>
      </c>
      <c r="K1934" s="11">
        <f t="shared" si="60"/>
        <v>3649</v>
      </c>
      <c r="L1934" s="11">
        <v>0</v>
      </c>
      <c r="M1934" s="11">
        <v>437.88</v>
      </c>
      <c r="N1934" s="11">
        <f t="shared" si="61"/>
        <v>4086.88</v>
      </c>
    </row>
    <row r="1935" spans="3:14" x14ac:dyDescent="0.3">
      <c r="C1935" s="6">
        <v>44366</v>
      </c>
      <c r="D1935" s="7" t="s">
        <v>191</v>
      </c>
      <c r="E1935" s="8">
        <v>2021</v>
      </c>
      <c r="F1935" s="9" t="s">
        <v>192</v>
      </c>
      <c r="G1935" s="9" t="s">
        <v>16</v>
      </c>
      <c r="H1935" s="10" t="s">
        <v>113</v>
      </c>
      <c r="I1935" s="7">
        <v>6</v>
      </c>
      <c r="J1935" s="11">
        <v>99</v>
      </c>
      <c r="K1935" s="11">
        <f t="shared" si="60"/>
        <v>594</v>
      </c>
      <c r="L1935" s="11">
        <v>0</v>
      </c>
      <c r="M1935" s="11">
        <v>71.28</v>
      </c>
      <c r="N1935" s="11">
        <f t="shared" si="61"/>
        <v>665.28</v>
      </c>
    </row>
    <row r="1936" spans="3:14" x14ac:dyDescent="0.3">
      <c r="C1936" s="6">
        <v>44367</v>
      </c>
      <c r="D1936" s="7" t="s">
        <v>191</v>
      </c>
      <c r="E1936" s="8">
        <v>2021</v>
      </c>
      <c r="F1936" s="9" t="s">
        <v>91</v>
      </c>
      <c r="G1936" s="9" t="s">
        <v>14</v>
      </c>
      <c r="H1936" s="10" t="s">
        <v>49</v>
      </c>
      <c r="I1936" s="7">
        <v>31</v>
      </c>
      <c r="J1936" s="11">
        <v>18</v>
      </c>
      <c r="K1936" s="11">
        <f t="shared" si="60"/>
        <v>558</v>
      </c>
      <c r="L1936" s="11">
        <v>0</v>
      </c>
      <c r="M1936" s="11">
        <v>66.959999999999994</v>
      </c>
      <c r="N1936" s="11">
        <f t="shared" si="61"/>
        <v>624.96</v>
      </c>
    </row>
    <row r="1937" spans="3:14" x14ac:dyDescent="0.3">
      <c r="C1937" s="6">
        <v>44367</v>
      </c>
      <c r="D1937" s="7" t="s">
        <v>191</v>
      </c>
      <c r="E1937" s="8">
        <v>2021</v>
      </c>
      <c r="F1937" s="9" t="s">
        <v>91</v>
      </c>
      <c r="G1937" s="9" t="s">
        <v>26</v>
      </c>
      <c r="H1937" s="10" t="s">
        <v>95</v>
      </c>
      <c r="I1937" s="7">
        <v>46</v>
      </c>
      <c r="J1937" s="11">
        <v>24</v>
      </c>
      <c r="K1937" s="11">
        <f t="shared" si="60"/>
        <v>1104</v>
      </c>
      <c r="L1937" s="11">
        <v>0</v>
      </c>
      <c r="M1937" s="11">
        <v>132.47999999999999</v>
      </c>
      <c r="N1937" s="11">
        <f t="shared" si="61"/>
        <v>1236.48</v>
      </c>
    </row>
    <row r="1938" spans="3:14" x14ac:dyDescent="0.3">
      <c r="C1938" s="6">
        <v>44367</v>
      </c>
      <c r="D1938" s="7" t="s">
        <v>191</v>
      </c>
      <c r="E1938" s="8">
        <v>2021</v>
      </c>
      <c r="F1938" s="9" t="s">
        <v>91</v>
      </c>
      <c r="G1938" s="9" t="s">
        <v>14</v>
      </c>
      <c r="H1938" s="10" t="s">
        <v>18</v>
      </c>
      <c r="I1938" s="7">
        <v>42</v>
      </c>
      <c r="J1938" s="11">
        <v>49</v>
      </c>
      <c r="K1938" s="11">
        <f t="shared" si="60"/>
        <v>2058</v>
      </c>
      <c r="L1938" s="11">
        <v>0</v>
      </c>
      <c r="M1938" s="11">
        <v>246.95999999999998</v>
      </c>
      <c r="N1938" s="11">
        <f t="shared" si="61"/>
        <v>2304.96</v>
      </c>
    </row>
    <row r="1939" spans="3:14" x14ac:dyDescent="0.3">
      <c r="C1939" s="6">
        <v>44367</v>
      </c>
      <c r="D1939" s="7" t="s">
        <v>191</v>
      </c>
      <c r="E1939" s="8">
        <v>2021</v>
      </c>
      <c r="F1939" s="9" t="s">
        <v>91</v>
      </c>
      <c r="G1939" s="9" t="s">
        <v>37</v>
      </c>
      <c r="H1939" s="10" t="s">
        <v>77</v>
      </c>
      <c r="I1939" s="7">
        <v>25</v>
      </c>
      <c r="J1939" s="11">
        <v>61</v>
      </c>
      <c r="K1939" s="11">
        <f t="shared" si="60"/>
        <v>1525</v>
      </c>
      <c r="L1939" s="11">
        <v>0</v>
      </c>
      <c r="M1939" s="11">
        <v>183</v>
      </c>
      <c r="N1939" s="11">
        <f t="shared" si="61"/>
        <v>1708</v>
      </c>
    </row>
    <row r="1940" spans="3:14" x14ac:dyDescent="0.3">
      <c r="C1940" s="6">
        <v>44370</v>
      </c>
      <c r="D1940" s="7" t="s">
        <v>191</v>
      </c>
      <c r="E1940" s="8">
        <v>2021</v>
      </c>
      <c r="F1940" s="9" t="s">
        <v>89</v>
      </c>
      <c r="G1940" s="9" t="s">
        <v>37</v>
      </c>
      <c r="H1940" s="10" t="s">
        <v>104</v>
      </c>
      <c r="I1940" s="7">
        <v>55</v>
      </c>
      <c r="J1940" s="11">
        <v>38</v>
      </c>
      <c r="K1940" s="11">
        <f t="shared" si="60"/>
        <v>2090</v>
      </c>
      <c r="L1940" s="11">
        <v>0</v>
      </c>
      <c r="M1940" s="11">
        <v>250.79999999999998</v>
      </c>
      <c r="N1940" s="11">
        <f t="shared" si="61"/>
        <v>2340.8000000000002</v>
      </c>
    </row>
    <row r="1941" spans="3:14" x14ac:dyDescent="0.3">
      <c r="C1941" s="6">
        <v>44370</v>
      </c>
      <c r="D1941" s="7" t="s">
        <v>191</v>
      </c>
      <c r="E1941" s="8">
        <v>2021</v>
      </c>
      <c r="F1941" s="9" t="s">
        <v>89</v>
      </c>
      <c r="G1941" s="9" t="s">
        <v>14</v>
      </c>
      <c r="H1941" s="10" t="s">
        <v>36</v>
      </c>
      <c r="I1941" s="7">
        <v>87</v>
      </c>
      <c r="J1941" s="11">
        <v>77</v>
      </c>
      <c r="K1941" s="11">
        <f t="shared" si="60"/>
        <v>6699</v>
      </c>
      <c r="L1941" s="11">
        <v>0</v>
      </c>
      <c r="M1941" s="11">
        <v>803.88</v>
      </c>
      <c r="N1941" s="11">
        <f t="shared" si="61"/>
        <v>7502.88</v>
      </c>
    </row>
    <row r="1942" spans="3:14" x14ac:dyDescent="0.3">
      <c r="C1942" s="6">
        <v>44370</v>
      </c>
      <c r="D1942" s="7" t="s">
        <v>191</v>
      </c>
      <c r="E1942" s="8">
        <v>2021</v>
      </c>
      <c r="F1942" s="9" t="s">
        <v>89</v>
      </c>
      <c r="G1942" s="9" t="s">
        <v>26</v>
      </c>
      <c r="H1942" s="10" t="s">
        <v>94</v>
      </c>
      <c r="I1942" s="7">
        <v>78</v>
      </c>
      <c r="J1942" s="11">
        <v>32</v>
      </c>
      <c r="K1942" s="11">
        <f t="shared" si="60"/>
        <v>2496</v>
      </c>
      <c r="L1942" s="11">
        <v>0</v>
      </c>
      <c r="M1942" s="11">
        <v>299.52</v>
      </c>
      <c r="N1942" s="11">
        <f t="shared" si="61"/>
        <v>2795.52</v>
      </c>
    </row>
    <row r="1943" spans="3:14" x14ac:dyDescent="0.3">
      <c r="C1943" s="6">
        <v>44370</v>
      </c>
      <c r="D1943" s="7" t="s">
        <v>191</v>
      </c>
      <c r="E1943" s="8">
        <v>2021</v>
      </c>
      <c r="F1943" s="9" t="s">
        <v>192</v>
      </c>
      <c r="G1943" s="9" t="s">
        <v>37</v>
      </c>
      <c r="H1943" s="10" t="s">
        <v>38</v>
      </c>
      <c r="I1943" s="7">
        <v>75</v>
      </c>
      <c r="J1943" s="11">
        <v>95</v>
      </c>
      <c r="K1943" s="11">
        <f t="shared" si="60"/>
        <v>7125</v>
      </c>
      <c r="L1943" s="11">
        <v>0</v>
      </c>
      <c r="M1943" s="11">
        <v>855</v>
      </c>
      <c r="N1943" s="11">
        <f t="shared" si="61"/>
        <v>7980</v>
      </c>
    </row>
    <row r="1944" spans="3:14" x14ac:dyDescent="0.3">
      <c r="C1944" s="6">
        <v>44370</v>
      </c>
      <c r="D1944" s="7" t="s">
        <v>191</v>
      </c>
      <c r="E1944" s="8">
        <v>2021</v>
      </c>
      <c r="F1944" s="9" t="s">
        <v>192</v>
      </c>
      <c r="G1944" s="9" t="s">
        <v>37</v>
      </c>
      <c r="H1944" s="10" t="s">
        <v>98</v>
      </c>
      <c r="I1944" s="7">
        <v>71</v>
      </c>
      <c r="J1944" s="11">
        <v>95</v>
      </c>
      <c r="K1944" s="11">
        <f t="shared" si="60"/>
        <v>6745</v>
      </c>
      <c r="L1944" s="11">
        <v>0</v>
      </c>
      <c r="M1944" s="11">
        <v>809.4</v>
      </c>
      <c r="N1944" s="11">
        <f t="shared" si="61"/>
        <v>7554.4</v>
      </c>
    </row>
    <row r="1945" spans="3:14" x14ac:dyDescent="0.3">
      <c r="C1945" s="6">
        <v>44370</v>
      </c>
      <c r="D1945" s="7" t="s">
        <v>191</v>
      </c>
      <c r="E1945" s="8">
        <v>2021</v>
      </c>
      <c r="F1945" s="9" t="s">
        <v>192</v>
      </c>
      <c r="G1945" s="9" t="s">
        <v>26</v>
      </c>
      <c r="H1945" s="10" t="s">
        <v>52</v>
      </c>
      <c r="I1945" s="7">
        <v>50</v>
      </c>
      <c r="J1945" s="11">
        <v>80</v>
      </c>
      <c r="K1945" s="11">
        <f t="shared" si="60"/>
        <v>4000</v>
      </c>
      <c r="L1945" s="11">
        <v>0</v>
      </c>
      <c r="M1945" s="11">
        <v>480</v>
      </c>
      <c r="N1945" s="11">
        <f t="shared" si="61"/>
        <v>4480</v>
      </c>
    </row>
    <row r="1946" spans="3:14" x14ac:dyDescent="0.3">
      <c r="C1946" s="6">
        <v>44371</v>
      </c>
      <c r="D1946" s="7" t="s">
        <v>191</v>
      </c>
      <c r="E1946" s="8">
        <v>2021</v>
      </c>
      <c r="F1946" s="9" t="s">
        <v>111</v>
      </c>
      <c r="G1946" s="9" t="s">
        <v>37</v>
      </c>
      <c r="H1946" s="10" t="s">
        <v>65</v>
      </c>
      <c r="I1946" s="7">
        <v>75</v>
      </c>
      <c r="J1946" s="11">
        <v>19</v>
      </c>
      <c r="K1946" s="11">
        <f t="shared" si="60"/>
        <v>1425</v>
      </c>
      <c r="L1946" s="11">
        <v>0</v>
      </c>
      <c r="M1946" s="11">
        <v>171</v>
      </c>
      <c r="N1946" s="11">
        <f t="shared" si="61"/>
        <v>1596</v>
      </c>
    </row>
    <row r="1947" spans="3:14" x14ac:dyDescent="0.3">
      <c r="C1947" s="6">
        <v>44371</v>
      </c>
      <c r="D1947" s="7" t="s">
        <v>191</v>
      </c>
      <c r="E1947" s="8">
        <v>2021</v>
      </c>
      <c r="F1947" s="9" t="s">
        <v>111</v>
      </c>
      <c r="G1947" s="9" t="s">
        <v>16</v>
      </c>
      <c r="H1947" s="10" t="s">
        <v>30</v>
      </c>
      <c r="I1947" s="7">
        <v>47</v>
      </c>
      <c r="J1947" s="11">
        <v>55</v>
      </c>
      <c r="K1947" s="11">
        <f t="shared" si="60"/>
        <v>2585</v>
      </c>
      <c r="L1947" s="11">
        <v>0</v>
      </c>
      <c r="M1947" s="11">
        <v>310.2</v>
      </c>
      <c r="N1947" s="11">
        <f t="shared" si="61"/>
        <v>2895.2</v>
      </c>
    </row>
    <row r="1948" spans="3:14" x14ac:dyDescent="0.3">
      <c r="C1948" s="6">
        <v>44372</v>
      </c>
      <c r="D1948" s="7" t="s">
        <v>191</v>
      </c>
      <c r="E1948" s="8">
        <v>2021</v>
      </c>
      <c r="F1948" s="9" t="s">
        <v>193</v>
      </c>
      <c r="G1948" s="9" t="s">
        <v>26</v>
      </c>
      <c r="H1948" s="10" t="s">
        <v>102</v>
      </c>
      <c r="I1948" s="7">
        <v>96</v>
      </c>
      <c r="J1948" s="11">
        <v>62</v>
      </c>
      <c r="K1948" s="11">
        <f t="shared" si="60"/>
        <v>5952</v>
      </c>
      <c r="L1948" s="11">
        <v>0</v>
      </c>
      <c r="M1948" s="11">
        <v>714.24</v>
      </c>
      <c r="N1948" s="11">
        <f t="shared" si="61"/>
        <v>6666.24</v>
      </c>
    </row>
    <row r="1949" spans="3:14" x14ac:dyDescent="0.3">
      <c r="C1949" s="6">
        <v>44372</v>
      </c>
      <c r="D1949" s="7" t="s">
        <v>191</v>
      </c>
      <c r="E1949" s="8">
        <v>2021</v>
      </c>
      <c r="F1949" s="9" t="s">
        <v>193</v>
      </c>
      <c r="G1949" s="9" t="s">
        <v>37</v>
      </c>
      <c r="H1949" s="10" t="s">
        <v>98</v>
      </c>
      <c r="I1949" s="7">
        <v>86</v>
      </c>
      <c r="J1949" s="11">
        <v>20</v>
      </c>
      <c r="K1949" s="11">
        <f t="shared" si="60"/>
        <v>1720</v>
      </c>
      <c r="L1949" s="11">
        <v>0</v>
      </c>
      <c r="M1949" s="11">
        <v>206.4</v>
      </c>
      <c r="N1949" s="11">
        <f t="shared" si="61"/>
        <v>1926.4</v>
      </c>
    </row>
    <row r="1950" spans="3:14" x14ac:dyDescent="0.3">
      <c r="C1950" s="6">
        <v>44373</v>
      </c>
      <c r="D1950" s="7" t="s">
        <v>191</v>
      </c>
      <c r="E1950" s="8">
        <v>2021</v>
      </c>
      <c r="F1950" s="9" t="s">
        <v>170</v>
      </c>
      <c r="G1950" s="9" t="s">
        <v>20</v>
      </c>
      <c r="H1950" s="10" t="s">
        <v>136</v>
      </c>
      <c r="I1950" s="7">
        <v>41</v>
      </c>
      <c r="J1950" s="11">
        <v>27</v>
      </c>
      <c r="K1950" s="11">
        <f t="shared" si="60"/>
        <v>1107</v>
      </c>
      <c r="L1950" s="11">
        <v>5.0000000745058101E-2</v>
      </c>
      <c r="M1950" s="11">
        <v>132.84</v>
      </c>
      <c r="N1950" s="11">
        <f t="shared" si="61"/>
        <v>1239.7899999992549</v>
      </c>
    </row>
    <row r="1951" spans="3:14" x14ac:dyDescent="0.3">
      <c r="C1951" s="6">
        <v>44373</v>
      </c>
      <c r="D1951" s="7" t="s">
        <v>191</v>
      </c>
      <c r="E1951" s="8">
        <v>2021</v>
      </c>
      <c r="F1951" s="9" t="s">
        <v>170</v>
      </c>
      <c r="G1951" s="9" t="s">
        <v>24</v>
      </c>
      <c r="H1951" s="10" t="s">
        <v>25</v>
      </c>
      <c r="I1951" s="7">
        <v>56</v>
      </c>
      <c r="J1951" s="11">
        <v>88</v>
      </c>
      <c r="K1951" s="11">
        <f t="shared" si="60"/>
        <v>4928</v>
      </c>
      <c r="L1951" s="11">
        <v>5.0000000745058101E-2</v>
      </c>
      <c r="M1951" s="11">
        <v>591.36</v>
      </c>
      <c r="N1951" s="11">
        <f t="shared" si="61"/>
        <v>5519.3099999992546</v>
      </c>
    </row>
    <row r="1952" spans="3:14" x14ac:dyDescent="0.3">
      <c r="C1952" s="6">
        <v>44373</v>
      </c>
      <c r="D1952" s="7" t="s">
        <v>191</v>
      </c>
      <c r="E1952" s="8">
        <v>2021</v>
      </c>
      <c r="F1952" s="9" t="s">
        <v>170</v>
      </c>
      <c r="G1952" s="9" t="s">
        <v>26</v>
      </c>
      <c r="H1952" s="10" t="s">
        <v>27</v>
      </c>
      <c r="I1952" s="7">
        <v>11</v>
      </c>
      <c r="J1952" s="11">
        <v>15</v>
      </c>
      <c r="K1952" s="11">
        <f t="shared" si="60"/>
        <v>165</v>
      </c>
      <c r="L1952" s="11">
        <v>5.0000000745058101E-2</v>
      </c>
      <c r="M1952" s="11">
        <v>19.8</v>
      </c>
      <c r="N1952" s="11">
        <f t="shared" si="61"/>
        <v>184.74999999925495</v>
      </c>
    </row>
    <row r="1953" spans="3:14" x14ac:dyDescent="0.3">
      <c r="C1953" s="6">
        <v>44373</v>
      </c>
      <c r="D1953" s="7" t="s">
        <v>191</v>
      </c>
      <c r="E1953" s="8">
        <v>2021</v>
      </c>
      <c r="F1953" s="9" t="s">
        <v>149</v>
      </c>
      <c r="G1953" s="9" t="s">
        <v>37</v>
      </c>
      <c r="H1953" s="10" t="s">
        <v>98</v>
      </c>
      <c r="I1953" s="7">
        <v>100</v>
      </c>
      <c r="J1953" s="11">
        <v>21</v>
      </c>
      <c r="K1953" s="11">
        <f t="shared" si="60"/>
        <v>2100</v>
      </c>
      <c r="L1953" s="11">
        <v>0.20000000298023199</v>
      </c>
      <c r="M1953" s="11">
        <v>252</v>
      </c>
      <c r="N1953" s="11">
        <f t="shared" si="61"/>
        <v>2351.7999999970198</v>
      </c>
    </row>
    <row r="1954" spans="3:14" x14ac:dyDescent="0.3">
      <c r="C1954" s="6">
        <v>44374</v>
      </c>
      <c r="D1954" s="7" t="s">
        <v>191</v>
      </c>
      <c r="E1954" s="8">
        <v>2021</v>
      </c>
      <c r="F1954" s="9" t="s">
        <v>185</v>
      </c>
      <c r="G1954" s="9" t="s">
        <v>16</v>
      </c>
      <c r="H1954" s="10" t="s">
        <v>30</v>
      </c>
      <c r="I1954" s="7">
        <v>77</v>
      </c>
      <c r="J1954" s="11">
        <v>30</v>
      </c>
      <c r="K1954" s="11">
        <f t="shared" si="60"/>
        <v>2310</v>
      </c>
      <c r="L1954" s="11">
        <v>0</v>
      </c>
      <c r="M1954" s="11">
        <v>277.2</v>
      </c>
      <c r="N1954" s="11">
        <f t="shared" si="61"/>
        <v>2587.1999999999998</v>
      </c>
    </row>
    <row r="1955" spans="3:14" x14ac:dyDescent="0.3">
      <c r="C1955" s="6">
        <v>44374</v>
      </c>
      <c r="D1955" s="7" t="s">
        <v>191</v>
      </c>
      <c r="E1955" s="8">
        <v>2021</v>
      </c>
      <c r="F1955" s="9" t="s">
        <v>185</v>
      </c>
      <c r="G1955" s="9" t="s">
        <v>37</v>
      </c>
      <c r="H1955" s="10" t="s">
        <v>77</v>
      </c>
      <c r="I1955" s="7">
        <v>18</v>
      </c>
      <c r="J1955" s="11">
        <v>71</v>
      </c>
      <c r="K1955" s="11">
        <f t="shared" si="60"/>
        <v>1278</v>
      </c>
      <c r="L1955" s="11">
        <v>0</v>
      </c>
      <c r="M1955" s="11">
        <v>153.35999999999999</v>
      </c>
      <c r="N1955" s="11">
        <f t="shared" si="61"/>
        <v>1431.36</v>
      </c>
    </row>
    <row r="1956" spans="3:14" x14ac:dyDescent="0.3">
      <c r="C1956" s="6">
        <v>44377</v>
      </c>
      <c r="D1956" s="7" t="s">
        <v>191</v>
      </c>
      <c r="E1956" s="8">
        <v>2021</v>
      </c>
      <c r="F1956" s="9" t="s">
        <v>73</v>
      </c>
      <c r="G1956" s="9" t="s">
        <v>42</v>
      </c>
      <c r="H1956" s="10" t="s">
        <v>79</v>
      </c>
      <c r="I1956" s="7">
        <v>28</v>
      </c>
      <c r="J1956" s="11">
        <v>95</v>
      </c>
      <c r="K1956" s="11">
        <f t="shared" si="60"/>
        <v>2660</v>
      </c>
      <c r="L1956" s="11">
        <v>0</v>
      </c>
      <c r="M1956" s="11">
        <v>319.2</v>
      </c>
      <c r="N1956" s="11">
        <f t="shared" si="61"/>
        <v>2979.2</v>
      </c>
    </row>
    <row r="1957" spans="3:14" x14ac:dyDescent="0.3">
      <c r="C1957" s="6">
        <v>44377</v>
      </c>
      <c r="D1957" s="7" t="s">
        <v>191</v>
      </c>
      <c r="E1957" s="8">
        <v>2021</v>
      </c>
      <c r="F1957" s="9" t="s">
        <v>73</v>
      </c>
      <c r="G1957" s="9" t="s">
        <v>14</v>
      </c>
      <c r="H1957" s="10" t="s">
        <v>35</v>
      </c>
      <c r="I1957" s="7">
        <v>74</v>
      </c>
      <c r="J1957" s="11">
        <v>57</v>
      </c>
      <c r="K1957" s="11">
        <f t="shared" si="60"/>
        <v>4218</v>
      </c>
      <c r="L1957" s="11">
        <v>0.15000000596046401</v>
      </c>
      <c r="M1957" s="11">
        <v>506.15999999999997</v>
      </c>
      <c r="N1957" s="11">
        <f t="shared" si="61"/>
        <v>4724.0099999940394</v>
      </c>
    </row>
    <row r="1958" spans="3:14" x14ac:dyDescent="0.3">
      <c r="C1958" s="6">
        <v>44377</v>
      </c>
      <c r="D1958" s="7" t="s">
        <v>191</v>
      </c>
      <c r="E1958" s="8">
        <v>2021</v>
      </c>
      <c r="F1958" s="9" t="s">
        <v>73</v>
      </c>
      <c r="G1958" s="9" t="s">
        <v>14</v>
      </c>
      <c r="H1958" s="10" t="s">
        <v>117</v>
      </c>
      <c r="I1958" s="7">
        <v>87</v>
      </c>
      <c r="J1958" s="11">
        <v>27</v>
      </c>
      <c r="K1958" s="11">
        <f t="shared" si="60"/>
        <v>2349</v>
      </c>
      <c r="L1958" s="11">
        <v>0.15000000596046401</v>
      </c>
      <c r="M1958" s="11">
        <v>281.88</v>
      </c>
      <c r="N1958" s="11">
        <f t="shared" si="61"/>
        <v>2630.7299999940396</v>
      </c>
    </row>
    <row r="1959" spans="3:14" x14ac:dyDescent="0.3">
      <c r="C1959" s="6">
        <v>44377</v>
      </c>
      <c r="D1959" s="7" t="s">
        <v>191</v>
      </c>
      <c r="E1959" s="8">
        <v>2021</v>
      </c>
      <c r="F1959" s="9" t="s">
        <v>71</v>
      </c>
      <c r="G1959" s="9" t="s">
        <v>14</v>
      </c>
      <c r="H1959" s="10" t="s">
        <v>36</v>
      </c>
      <c r="I1959" s="7">
        <v>35</v>
      </c>
      <c r="J1959" s="11">
        <v>68</v>
      </c>
      <c r="K1959" s="11">
        <f t="shared" si="60"/>
        <v>2380</v>
      </c>
      <c r="L1959" s="11">
        <v>5.0000000745058101E-2</v>
      </c>
      <c r="M1959" s="11">
        <v>285.59999999999997</v>
      </c>
      <c r="N1959" s="11">
        <f t="shared" si="61"/>
        <v>2665.5499999992549</v>
      </c>
    </row>
    <row r="1960" spans="3:14" x14ac:dyDescent="0.3">
      <c r="C1960" s="6">
        <v>44378</v>
      </c>
      <c r="D1960" s="7" t="s">
        <v>12</v>
      </c>
      <c r="E1960" s="8">
        <v>2021</v>
      </c>
      <c r="F1960" s="9" t="s">
        <v>50</v>
      </c>
      <c r="G1960" s="9" t="s">
        <v>32</v>
      </c>
      <c r="H1960" s="10" t="s">
        <v>143</v>
      </c>
      <c r="I1960" s="7">
        <v>6</v>
      </c>
      <c r="J1960" s="11">
        <v>95</v>
      </c>
      <c r="K1960" s="11">
        <f t="shared" si="60"/>
        <v>570</v>
      </c>
      <c r="L1960" s="11">
        <v>0</v>
      </c>
      <c r="M1960" s="11">
        <v>68.399999999999991</v>
      </c>
      <c r="N1960" s="11">
        <f t="shared" si="61"/>
        <v>638.4</v>
      </c>
    </row>
    <row r="1961" spans="3:14" x14ac:dyDescent="0.3">
      <c r="C1961" s="6">
        <v>44379</v>
      </c>
      <c r="D1961" s="7" t="s">
        <v>12</v>
      </c>
      <c r="E1961" s="8">
        <v>2021</v>
      </c>
      <c r="F1961" s="9" t="s">
        <v>108</v>
      </c>
      <c r="G1961" s="9" t="s">
        <v>16</v>
      </c>
      <c r="H1961" s="10" t="s">
        <v>132</v>
      </c>
      <c r="I1961" s="7">
        <v>49</v>
      </c>
      <c r="J1961" s="11">
        <v>82</v>
      </c>
      <c r="K1961" s="11">
        <f t="shared" si="60"/>
        <v>4018</v>
      </c>
      <c r="L1961" s="11">
        <v>0.15000000596046401</v>
      </c>
      <c r="M1961" s="11">
        <v>482.15999999999997</v>
      </c>
      <c r="N1961" s="11">
        <f t="shared" si="61"/>
        <v>4500.0099999940394</v>
      </c>
    </row>
    <row r="1962" spans="3:14" x14ac:dyDescent="0.3">
      <c r="C1962" s="6">
        <v>44379</v>
      </c>
      <c r="D1962" s="7" t="s">
        <v>12</v>
      </c>
      <c r="E1962" s="8">
        <v>2021</v>
      </c>
      <c r="F1962" s="9" t="s">
        <v>64</v>
      </c>
      <c r="G1962" s="9" t="s">
        <v>32</v>
      </c>
      <c r="H1962" s="10" t="s">
        <v>140</v>
      </c>
      <c r="I1962" s="7">
        <v>51</v>
      </c>
      <c r="J1962" s="11">
        <v>29</v>
      </c>
      <c r="K1962" s="11">
        <f t="shared" si="60"/>
        <v>1479</v>
      </c>
      <c r="L1962" s="11">
        <v>0</v>
      </c>
      <c r="M1962" s="11">
        <v>177.48</v>
      </c>
      <c r="N1962" s="11">
        <f t="shared" si="61"/>
        <v>1656.48</v>
      </c>
    </row>
    <row r="1963" spans="3:14" x14ac:dyDescent="0.3">
      <c r="C1963" s="6">
        <v>44379</v>
      </c>
      <c r="D1963" s="7" t="s">
        <v>12</v>
      </c>
      <c r="E1963" s="8">
        <v>2021</v>
      </c>
      <c r="F1963" s="9" t="s">
        <v>64</v>
      </c>
      <c r="G1963" s="9" t="s">
        <v>37</v>
      </c>
      <c r="H1963" s="10" t="s">
        <v>65</v>
      </c>
      <c r="I1963" s="7">
        <v>31</v>
      </c>
      <c r="J1963" s="11">
        <v>73</v>
      </c>
      <c r="K1963" s="11">
        <f t="shared" si="60"/>
        <v>2263</v>
      </c>
      <c r="L1963" s="11">
        <v>0</v>
      </c>
      <c r="M1963" s="11">
        <v>271.56</v>
      </c>
      <c r="N1963" s="11">
        <f t="shared" si="61"/>
        <v>2534.56</v>
      </c>
    </row>
    <row r="1964" spans="3:14" x14ac:dyDescent="0.3">
      <c r="C1964" s="6">
        <v>44379</v>
      </c>
      <c r="D1964" s="7" t="s">
        <v>12</v>
      </c>
      <c r="E1964" s="8">
        <v>2021</v>
      </c>
      <c r="F1964" s="9" t="s">
        <v>64</v>
      </c>
      <c r="G1964" s="9" t="s">
        <v>26</v>
      </c>
      <c r="H1964" s="10" t="s">
        <v>52</v>
      </c>
      <c r="I1964" s="7">
        <v>44</v>
      </c>
      <c r="J1964" s="11">
        <v>51</v>
      </c>
      <c r="K1964" s="11">
        <f t="shared" si="60"/>
        <v>2244</v>
      </c>
      <c r="L1964" s="11">
        <v>0</v>
      </c>
      <c r="M1964" s="11">
        <v>269.27999999999997</v>
      </c>
      <c r="N1964" s="11">
        <f t="shared" si="61"/>
        <v>2513.2799999999997</v>
      </c>
    </row>
    <row r="1965" spans="3:14" x14ac:dyDescent="0.3">
      <c r="C1965" s="6">
        <v>44380</v>
      </c>
      <c r="D1965" s="7" t="s">
        <v>12</v>
      </c>
      <c r="E1965" s="8">
        <v>2021</v>
      </c>
      <c r="F1965" s="9" t="s">
        <v>84</v>
      </c>
      <c r="G1965" s="9" t="s">
        <v>24</v>
      </c>
      <c r="H1965" s="10" t="s">
        <v>115</v>
      </c>
      <c r="I1965" s="7">
        <v>46</v>
      </c>
      <c r="J1965" s="11">
        <v>88</v>
      </c>
      <c r="K1965" s="11">
        <f t="shared" si="60"/>
        <v>4048</v>
      </c>
      <c r="L1965" s="11">
        <v>0.20000000298023199</v>
      </c>
      <c r="M1965" s="11">
        <v>485.76</v>
      </c>
      <c r="N1965" s="11">
        <f t="shared" si="61"/>
        <v>4533.55999999702</v>
      </c>
    </row>
    <row r="1966" spans="3:14" x14ac:dyDescent="0.3">
      <c r="C1966" s="6">
        <v>44380</v>
      </c>
      <c r="D1966" s="7" t="s">
        <v>12</v>
      </c>
      <c r="E1966" s="8">
        <v>2021</v>
      </c>
      <c r="F1966" s="9" t="s">
        <v>84</v>
      </c>
      <c r="G1966" s="9" t="s">
        <v>16</v>
      </c>
      <c r="H1966" s="10" t="s">
        <v>17</v>
      </c>
      <c r="I1966" s="7">
        <v>90</v>
      </c>
      <c r="J1966" s="11">
        <v>30</v>
      </c>
      <c r="K1966" s="11">
        <f t="shared" si="60"/>
        <v>2700</v>
      </c>
      <c r="L1966" s="11">
        <v>0.20000000298023199</v>
      </c>
      <c r="M1966" s="11">
        <v>324</v>
      </c>
      <c r="N1966" s="11">
        <f t="shared" si="61"/>
        <v>3023.7999999970198</v>
      </c>
    </row>
    <row r="1967" spans="3:14" x14ac:dyDescent="0.3">
      <c r="C1967" s="6">
        <v>44381</v>
      </c>
      <c r="D1967" s="7" t="s">
        <v>12</v>
      </c>
      <c r="E1967" s="8">
        <v>2021</v>
      </c>
      <c r="F1967" s="9" t="s">
        <v>189</v>
      </c>
      <c r="G1967" s="9" t="s">
        <v>37</v>
      </c>
      <c r="H1967" s="10" t="s">
        <v>65</v>
      </c>
      <c r="I1967" s="7">
        <v>68</v>
      </c>
      <c r="J1967" s="11">
        <v>57</v>
      </c>
      <c r="K1967" s="11">
        <f t="shared" si="60"/>
        <v>3876</v>
      </c>
      <c r="L1967" s="11">
        <v>0</v>
      </c>
      <c r="M1967" s="11">
        <v>465.12</v>
      </c>
      <c r="N1967" s="11">
        <f t="shared" si="61"/>
        <v>4341.12</v>
      </c>
    </row>
    <row r="1968" spans="3:14" x14ac:dyDescent="0.3">
      <c r="C1968" s="6">
        <v>44384</v>
      </c>
      <c r="D1968" s="7" t="s">
        <v>12</v>
      </c>
      <c r="E1968" s="8">
        <v>2021</v>
      </c>
      <c r="F1968" s="9" t="s">
        <v>142</v>
      </c>
      <c r="G1968" s="9" t="s">
        <v>37</v>
      </c>
      <c r="H1968" s="10" t="s">
        <v>104</v>
      </c>
      <c r="I1968" s="7">
        <v>40</v>
      </c>
      <c r="J1968" s="11">
        <v>53</v>
      </c>
      <c r="K1968" s="11">
        <f t="shared" si="60"/>
        <v>2120</v>
      </c>
      <c r="L1968" s="11">
        <v>0</v>
      </c>
      <c r="M1968" s="11">
        <v>254.39999999999998</v>
      </c>
      <c r="N1968" s="11">
        <f t="shared" si="61"/>
        <v>2374.4</v>
      </c>
    </row>
    <row r="1969" spans="3:14" x14ac:dyDescent="0.3">
      <c r="C1969" s="6">
        <v>44384</v>
      </c>
      <c r="D1969" s="7" t="s">
        <v>12</v>
      </c>
      <c r="E1969" s="8">
        <v>2021</v>
      </c>
      <c r="F1969" s="9" t="s">
        <v>142</v>
      </c>
      <c r="G1969" s="9" t="s">
        <v>26</v>
      </c>
      <c r="H1969" s="10" t="s">
        <v>52</v>
      </c>
      <c r="I1969" s="7">
        <v>85</v>
      </c>
      <c r="J1969" s="11">
        <v>92</v>
      </c>
      <c r="K1969" s="11">
        <f t="shared" si="60"/>
        <v>7820</v>
      </c>
      <c r="L1969" s="11">
        <v>5.0000000745058101E-2</v>
      </c>
      <c r="M1969" s="11">
        <v>938.4</v>
      </c>
      <c r="N1969" s="11">
        <f t="shared" si="61"/>
        <v>8758.3499999992546</v>
      </c>
    </row>
    <row r="1970" spans="3:14" x14ac:dyDescent="0.3">
      <c r="C1970" s="6">
        <v>44384</v>
      </c>
      <c r="D1970" s="7" t="s">
        <v>12</v>
      </c>
      <c r="E1970" s="8">
        <v>2021</v>
      </c>
      <c r="F1970" s="9" t="s">
        <v>159</v>
      </c>
      <c r="G1970" s="9" t="s">
        <v>26</v>
      </c>
      <c r="H1970" s="10" t="s">
        <v>112</v>
      </c>
      <c r="I1970" s="7">
        <v>63</v>
      </c>
      <c r="J1970" s="11">
        <v>99</v>
      </c>
      <c r="K1970" s="11">
        <f t="shared" si="60"/>
        <v>6237</v>
      </c>
      <c r="L1970" s="11">
        <v>0</v>
      </c>
      <c r="M1970" s="11">
        <v>748.43999999999994</v>
      </c>
      <c r="N1970" s="11">
        <f t="shared" si="61"/>
        <v>6985.44</v>
      </c>
    </row>
    <row r="1971" spans="3:14" x14ac:dyDescent="0.3">
      <c r="C1971" s="6">
        <v>44384</v>
      </c>
      <c r="D1971" s="7" t="s">
        <v>12</v>
      </c>
      <c r="E1971" s="8">
        <v>2021</v>
      </c>
      <c r="F1971" s="9" t="s">
        <v>159</v>
      </c>
      <c r="G1971" s="9" t="s">
        <v>20</v>
      </c>
      <c r="H1971" s="10" t="s">
        <v>67</v>
      </c>
      <c r="I1971" s="7">
        <v>55</v>
      </c>
      <c r="J1971" s="11">
        <v>66</v>
      </c>
      <c r="K1971" s="11">
        <f t="shared" si="60"/>
        <v>3630</v>
      </c>
      <c r="L1971" s="11">
        <v>0</v>
      </c>
      <c r="M1971" s="11">
        <v>435.59999999999997</v>
      </c>
      <c r="N1971" s="11">
        <f t="shared" si="61"/>
        <v>4065.6</v>
      </c>
    </row>
    <row r="1972" spans="3:14" x14ac:dyDescent="0.3">
      <c r="C1972" s="6">
        <v>44384</v>
      </c>
      <c r="D1972" s="7" t="s">
        <v>12</v>
      </c>
      <c r="E1972" s="8">
        <v>2021</v>
      </c>
      <c r="F1972" s="9" t="s">
        <v>159</v>
      </c>
      <c r="G1972" s="9" t="s">
        <v>42</v>
      </c>
      <c r="H1972" s="10" t="s">
        <v>109</v>
      </c>
      <c r="I1972" s="7">
        <v>59</v>
      </c>
      <c r="J1972" s="11">
        <v>72</v>
      </c>
      <c r="K1972" s="11">
        <f t="shared" si="60"/>
        <v>4248</v>
      </c>
      <c r="L1972" s="11">
        <v>0</v>
      </c>
      <c r="M1972" s="11">
        <v>509.76</v>
      </c>
      <c r="N1972" s="11">
        <f t="shared" si="61"/>
        <v>4757.76</v>
      </c>
    </row>
    <row r="1973" spans="3:14" x14ac:dyDescent="0.3">
      <c r="C1973" s="6">
        <v>44385</v>
      </c>
      <c r="D1973" s="7" t="s">
        <v>12</v>
      </c>
      <c r="E1973" s="8">
        <v>2021</v>
      </c>
      <c r="F1973" s="9" t="s">
        <v>97</v>
      </c>
      <c r="G1973" s="9" t="s">
        <v>26</v>
      </c>
      <c r="H1973" s="10" t="s">
        <v>102</v>
      </c>
      <c r="I1973" s="7">
        <v>32</v>
      </c>
      <c r="J1973" s="11">
        <v>99</v>
      </c>
      <c r="K1973" s="11">
        <f t="shared" si="60"/>
        <v>3168</v>
      </c>
      <c r="L1973" s="11">
        <v>5.0000000745058101E-2</v>
      </c>
      <c r="M1973" s="11">
        <v>380.15999999999997</v>
      </c>
      <c r="N1973" s="11">
        <f t="shared" si="61"/>
        <v>3548.1099999992548</v>
      </c>
    </row>
    <row r="1974" spans="3:14" x14ac:dyDescent="0.3">
      <c r="C1974" s="6">
        <v>44385</v>
      </c>
      <c r="D1974" s="7" t="s">
        <v>12</v>
      </c>
      <c r="E1974" s="8">
        <v>2021</v>
      </c>
      <c r="F1974" s="9" t="s">
        <v>97</v>
      </c>
      <c r="G1974" s="9" t="s">
        <v>32</v>
      </c>
      <c r="H1974" s="10" t="s">
        <v>140</v>
      </c>
      <c r="I1974" s="7">
        <v>10</v>
      </c>
      <c r="J1974" s="11">
        <v>84</v>
      </c>
      <c r="K1974" s="11">
        <f t="shared" si="60"/>
        <v>840</v>
      </c>
      <c r="L1974" s="11">
        <v>5.0000000745058101E-2</v>
      </c>
      <c r="M1974" s="11">
        <v>100.8</v>
      </c>
      <c r="N1974" s="11">
        <f t="shared" si="61"/>
        <v>940.7499999992549</v>
      </c>
    </row>
    <row r="1975" spans="3:14" x14ac:dyDescent="0.3">
      <c r="C1975" s="6">
        <v>44386</v>
      </c>
      <c r="D1975" s="7" t="s">
        <v>12</v>
      </c>
      <c r="E1975" s="8">
        <v>2021</v>
      </c>
      <c r="F1975" s="9" t="s">
        <v>97</v>
      </c>
      <c r="G1975" s="9" t="s">
        <v>32</v>
      </c>
      <c r="H1975" s="10" t="s">
        <v>33</v>
      </c>
      <c r="I1975" s="7">
        <v>20</v>
      </c>
      <c r="J1975" s="11">
        <v>13</v>
      </c>
      <c r="K1975" s="11">
        <f t="shared" si="60"/>
        <v>260</v>
      </c>
      <c r="L1975" s="11">
        <v>0.20000000298023199</v>
      </c>
      <c r="M1975" s="11">
        <v>31.2</v>
      </c>
      <c r="N1975" s="11">
        <f t="shared" si="61"/>
        <v>290.99999999701976</v>
      </c>
    </row>
    <row r="1976" spans="3:14" x14ac:dyDescent="0.3">
      <c r="C1976" s="6">
        <v>44386</v>
      </c>
      <c r="D1976" s="7" t="s">
        <v>12</v>
      </c>
      <c r="E1976" s="8">
        <v>2021</v>
      </c>
      <c r="F1976" s="9" t="s">
        <v>97</v>
      </c>
      <c r="G1976" s="9" t="s">
        <v>14</v>
      </c>
      <c r="H1976" s="10" t="s">
        <v>117</v>
      </c>
      <c r="I1976" s="7">
        <v>16</v>
      </c>
      <c r="J1976" s="11">
        <v>39</v>
      </c>
      <c r="K1976" s="11">
        <f t="shared" si="60"/>
        <v>624</v>
      </c>
      <c r="L1976" s="11">
        <v>0.20000000298023199</v>
      </c>
      <c r="M1976" s="11">
        <v>74.88</v>
      </c>
      <c r="N1976" s="11">
        <f t="shared" si="61"/>
        <v>698.67999999701976</v>
      </c>
    </row>
    <row r="1977" spans="3:14" x14ac:dyDescent="0.3">
      <c r="C1977" s="6">
        <v>44386</v>
      </c>
      <c r="D1977" s="7" t="s">
        <v>12</v>
      </c>
      <c r="E1977" s="8">
        <v>2021</v>
      </c>
      <c r="F1977" s="9" t="s">
        <v>97</v>
      </c>
      <c r="G1977" s="9" t="s">
        <v>37</v>
      </c>
      <c r="H1977" s="10" t="s">
        <v>77</v>
      </c>
      <c r="I1977" s="7">
        <v>40</v>
      </c>
      <c r="J1977" s="11">
        <v>19</v>
      </c>
      <c r="K1977" s="11">
        <f t="shared" si="60"/>
        <v>760</v>
      </c>
      <c r="L1977" s="11">
        <v>0.20000000298023199</v>
      </c>
      <c r="M1977" s="11">
        <v>91.2</v>
      </c>
      <c r="N1977" s="11">
        <f t="shared" si="61"/>
        <v>850.99999999701981</v>
      </c>
    </row>
    <row r="1978" spans="3:14" x14ac:dyDescent="0.3">
      <c r="C1978" s="6">
        <v>44386</v>
      </c>
      <c r="D1978" s="7" t="s">
        <v>12</v>
      </c>
      <c r="E1978" s="8">
        <v>2021</v>
      </c>
      <c r="F1978" s="9" t="s">
        <v>61</v>
      </c>
      <c r="G1978" s="9" t="s">
        <v>16</v>
      </c>
      <c r="H1978" s="10" t="s">
        <v>132</v>
      </c>
      <c r="I1978" s="7">
        <v>30</v>
      </c>
      <c r="J1978" s="11">
        <v>36</v>
      </c>
      <c r="K1978" s="11">
        <f t="shared" si="60"/>
        <v>1080</v>
      </c>
      <c r="L1978" s="11">
        <v>0</v>
      </c>
      <c r="M1978" s="11">
        <v>129.6</v>
      </c>
      <c r="N1978" s="11">
        <f t="shared" si="61"/>
        <v>1209.5999999999999</v>
      </c>
    </row>
    <row r="1979" spans="3:14" x14ac:dyDescent="0.3">
      <c r="C1979" s="6">
        <v>44386</v>
      </c>
      <c r="D1979" s="7" t="s">
        <v>12</v>
      </c>
      <c r="E1979" s="8">
        <v>2021</v>
      </c>
      <c r="F1979" s="9" t="s">
        <v>61</v>
      </c>
      <c r="G1979" s="9" t="s">
        <v>24</v>
      </c>
      <c r="H1979" s="10" t="s">
        <v>128</v>
      </c>
      <c r="I1979" s="7">
        <v>56</v>
      </c>
      <c r="J1979" s="11">
        <v>45</v>
      </c>
      <c r="K1979" s="11">
        <f t="shared" si="60"/>
        <v>2520</v>
      </c>
      <c r="L1979" s="11">
        <v>0</v>
      </c>
      <c r="M1979" s="11">
        <v>302.39999999999998</v>
      </c>
      <c r="N1979" s="11">
        <f t="shared" si="61"/>
        <v>2822.4</v>
      </c>
    </row>
    <row r="1980" spans="3:14" x14ac:dyDescent="0.3">
      <c r="C1980" s="6">
        <v>44387</v>
      </c>
      <c r="D1980" s="7" t="s">
        <v>12</v>
      </c>
      <c r="E1980" s="8">
        <v>2021</v>
      </c>
      <c r="F1980" s="9" t="s">
        <v>55</v>
      </c>
      <c r="G1980" s="9" t="s">
        <v>37</v>
      </c>
      <c r="H1980" s="10" t="s">
        <v>65</v>
      </c>
      <c r="I1980" s="7">
        <v>27</v>
      </c>
      <c r="J1980" s="11">
        <v>70</v>
      </c>
      <c r="K1980" s="11">
        <f t="shared" si="60"/>
        <v>1890</v>
      </c>
      <c r="L1980" s="11">
        <v>0.25</v>
      </c>
      <c r="M1980" s="11">
        <v>226.79999999999998</v>
      </c>
      <c r="N1980" s="11">
        <f t="shared" si="61"/>
        <v>2116.5500000000002</v>
      </c>
    </row>
    <row r="1981" spans="3:14" x14ac:dyDescent="0.3">
      <c r="C1981" s="6">
        <v>44387</v>
      </c>
      <c r="D1981" s="7" t="s">
        <v>12</v>
      </c>
      <c r="E1981" s="8">
        <v>2021</v>
      </c>
      <c r="F1981" s="9" t="s">
        <v>55</v>
      </c>
      <c r="G1981" s="9" t="s">
        <v>26</v>
      </c>
      <c r="H1981" s="10" t="s">
        <v>173</v>
      </c>
      <c r="I1981" s="7">
        <v>29</v>
      </c>
      <c r="J1981" s="11">
        <v>29</v>
      </c>
      <c r="K1981" s="11">
        <f t="shared" si="60"/>
        <v>841</v>
      </c>
      <c r="L1981" s="11">
        <v>0.25</v>
      </c>
      <c r="M1981" s="11">
        <v>100.92</v>
      </c>
      <c r="N1981" s="11">
        <f t="shared" si="61"/>
        <v>941.67</v>
      </c>
    </row>
    <row r="1982" spans="3:14" x14ac:dyDescent="0.3">
      <c r="C1982" s="6">
        <v>44387</v>
      </c>
      <c r="D1982" s="7" t="s">
        <v>12</v>
      </c>
      <c r="E1982" s="8">
        <v>2021</v>
      </c>
      <c r="F1982" s="9" t="s">
        <v>55</v>
      </c>
      <c r="G1982" s="9" t="s">
        <v>14</v>
      </c>
      <c r="H1982" s="10" t="s">
        <v>117</v>
      </c>
      <c r="I1982" s="7">
        <v>71</v>
      </c>
      <c r="J1982" s="11">
        <v>12</v>
      </c>
      <c r="K1982" s="11">
        <f t="shared" si="60"/>
        <v>852</v>
      </c>
      <c r="L1982" s="11">
        <v>0.25</v>
      </c>
      <c r="M1982" s="11">
        <v>102.24</v>
      </c>
      <c r="N1982" s="11">
        <f t="shared" si="61"/>
        <v>953.99</v>
      </c>
    </row>
    <row r="1983" spans="3:14" x14ac:dyDescent="0.3">
      <c r="C1983" s="6">
        <v>44388</v>
      </c>
      <c r="D1983" s="7" t="s">
        <v>12</v>
      </c>
      <c r="E1983" s="8">
        <v>2021</v>
      </c>
      <c r="F1983" s="9" t="s">
        <v>80</v>
      </c>
      <c r="G1983" s="9" t="s">
        <v>16</v>
      </c>
      <c r="H1983" s="10" t="s">
        <v>68</v>
      </c>
      <c r="I1983" s="7">
        <v>48</v>
      </c>
      <c r="J1983" s="11">
        <v>55</v>
      </c>
      <c r="K1983" s="11">
        <f t="shared" si="60"/>
        <v>2640</v>
      </c>
      <c r="L1983" s="11">
        <v>0.20000000298023199</v>
      </c>
      <c r="M1983" s="11">
        <v>316.8</v>
      </c>
      <c r="N1983" s="11">
        <f t="shared" si="61"/>
        <v>2956.5999999970199</v>
      </c>
    </row>
    <row r="1984" spans="3:14" x14ac:dyDescent="0.3">
      <c r="C1984" s="6">
        <v>44388</v>
      </c>
      <c r="D1984" s="7" t="s">
        <v>12</v>
      </c>
      <c r="E1984" s="8">
        <v>2021</v>
      </c>
      <c r="F1984" s="9" t="s">
        <v>80</v>
      </c>
      <c r="G1984" s="9" t="s">
        <v>26</v>
      </c>
      <c r="H1984" s="10" t="s">
        <v>95</v>
      </c>
      <c r="I1984" s="7">
        <v>2</v>
      </c>
      <c r="J1984" s="11">
        <v>88</v>
      </c>
      <c r="K1984" s="11">
        <f t="shared" si="60"/>
        <v>176</v>
      </c>
      <c r="L1984" s="11">
        <v>0.20000000298023199</v>
      </c>
      <c r="M1984" s="11">
        <v>21.119999999999997</v>
      </c>
      <c r="N1984" s="11">
        <f t="shared" si="61"/>
        <v>196.91999999701977</v>
      </c>
    </row>
    <row r="1985" spans="3:14" x14ac:dyDescent="0.3">
      <c r="C1985" s="6">
        <v>44388</v>
      </c>
      <c r="D1985" s="7" t="s">
        <v>12</v>
      </c>
      <c r="E1985" s="8">
        <v>2021</v>
      </c>
      <c r="F1985" s="9" t="s">
        <v>80</v>
      </c>
      <c r="G1985" s="9" t="s">
        <v>37</v>
      </c>
      <c r="H1985" s="10" t="s">
        <v>98</v>
      </c>
      <c r="I1985" s="7">
        <v>99</v>
      </c>
      <c r="J1985" s="11">
        <v>79</v>
      </c>
      <c r="K1985" s="11">
        <f t="shared" si="60"/>
        <v>7821</v>
      </c>
      <c r="L1985" s="11">
        <v>0.20000000298023199</v>
      </c>
      <c r="M1985" s="11">
        <v>938.52</v>
      </c>
      <c r="N1985" s="11">
        <f t="shared" si="61"/>
        <v>8759.3199999970202</v>
      </c>
    </row>
    <row r="1986" spans="3:14" x14ac:dyDescent="0.3">
      <c r="C1986" s="6">
        <v>44388</v>
      </c>
      <c r="D1986" s="7" t="s">
        <v>12</v>
      </c>
      <c r="E1986" s="8">
        <v>2021</v>
      </c>
      <c r="F1986" s="9" t="s">
        <v>152</v>
      </c>
      <c r="G1986" s="9" t="s">
        <v>37</v>
      </c>
      <c r="H1986" s="10" t="s">
        <v>41</v>
      </c>
      <c r="I1986" s="7">
        <v>78</v>
      </c>
      <c r="J1986" s="11">
        <v>81</v>
      </c>
      <c r="K1986" s="11">
        <f t="shared" si="60"/>
        <v>6318</v>
      </c>
      <c r="L1986" s="11">
        <v>0.20000000298023199</v>
      </c>
      <c r="M1986" s="11">
        <v>758.16</v>
      </c>
      <c r="N1986" s="11">
        <f t="shared" si="61"/>
        <v>7075.9599999970196</v>
      </c>
    </row>
    <row r="1987" spans="3:14" x14ac:dyDescent="0.3">
      <c r="C1987" s="6">
        <v>44388</v>
      </c>
      <c r="D1987" s="7" t="s">
        <v>12</v>
      </c>
      <c r="E1987" s="8">
        <v>2021</v>
      </c>
      <c r="F1987" s="9" t="s">
        <v>152</v>
      </c>
      <c r="G1987" s="9" t="s">
        <v>16</v>
      </c>
      <c r="H1987" s="10" t="s">
        <v>30</v>
      </c>
      <c r="I1987" s="7">
        <v>3</v>
      </c>
      <c r="J1987" s="11">
        <v>59</v>
      </c>
      <c r="K1987" s="11">
        <f t="shared" ref="K1987:K2050" si="62">J1987*I1987</f>
        <v>177</v>
      </c>
      <c r="L1987" s="11">
        <v>0</v>
      </c>
      <c r="M1987" s="11">
        <v>21.24</v>
      </c>
      <c r="N1987" s="11">
        <f t="shared" ref="N1987:N2050" si="63">K1987-L1987+M1987</f>
        <v>198.24</v>
      </c>
    </row>
    <row r="1988" spans="3:14" x14ac:dyDescent="0.3">
      <c r="C1988" s="6">
        <v>44388</v>
      </c>
      <c r="D1988" s="7" t="s">
        <v>12</v>
      </c>
      <c r="E1988" s="8">
        <v>2021</v>
      </c>
      <c r="F1988" s="9" t="s">
        <v>152</v>
      </c>
      <c r="G1988" s="9" t="s">
        <v>26</v>
      </c>
      <c r="H1988" s="10" t="s">
        <v>27</v>
      </c>
      <c r="I1988" s="7">
        <v>78</v>
      </c>
      <c r="J1988" s="11">
        <v>13</v>
      </c>
      <c r="K1988" s="11">
        <f t="shared" si="62"/>
        <v>1014</v>
      </c>
      <c r="L1988" s="11">
        <v>0.20000000298023199</v>
      </c>
      <c r="M1988" s="11">
        <v>121.67999999999999</v>
      </c>
      <c r="N1988" s="11">
        <f t="shared" si="63"/>
        <v>1135.4799999970198</v>
      </c>
    </row>
    <row r="1989" spans="3:14" x14ac:dyDescent="0.3">
      <c r="C1989" s="6">
        <v>44391</v>
      </c>
      <c r="D1989" s="7" t="s">
        <v>12</v>
      </c>
      <c r="E1989" s="8">
        <v>2021</v>
      </c>
      <c r="F1989" s="9" t="s">
        <v>66</v>
      </c>
      <c r="G1989" s="9" t="s">
        <v>32</v>
      </c>
      <c r="H1989" s="10" t="s">
        <v>54</v>
      </c>
      <c r="I1989" s="7">
        <v>53</v>
      </c>
      <c r="J1989" s="11">
        <v>67</v>
      </c>
      <c r="K1989" s="11">
        <f t="shared" si="62"/>
        <v>3551</v>
      </c>
      <c r="L1989" s="11">
        <v>0</v>
      </c>
      <c r="M1989" s="11">
        <v>426.12</v>
      </c>
      <c r="N1989" s="11">
        <f t="shared" si="63"/>
        <v>3977.12</v>
      </c>
    </row>
    <row r="1990" spans="3:14" x14ac:dyDescent="0.3">
      <c r="C1990" s="6">
        <v>44391</v>
      </c>
      <c r="D1990" s="7" t="s">
        <v>12</v>
      </c>
      <c r="E1990" s="8">
        <v>2021</v>
      </c>
      <c r="F1990" s="9" t="s">
        <v>66</v>
      </c>
      <c r="G1990" s="9" t="s">
        <v>14</v>
      </c>
      <c r="H1990" s="10" t="s">
        <v>87</v>
      </c>
      <c r="I1990" s="7">
        <v>10</v>
      </c>
      <c r="J1990" s="11">
        <v>99</v>
      </c>
      <c r="K1990" s="11">
        <f t="shared" si="62"/>
        <v>990</v>
      </c>
      <c r="L1990" s="11">
        <v>0</v>
      </c>
      <c r="M1990" s="11">
        <v>118.8</v>
      </c>
      <c r="N1990" s="11">
        <f t="shared" si="63"/>
        <v>1108.8</v>
      </c>
    </row>
    <row r="1991" spans="3:14" x14ac:dyDescent="0.3">
      <c r="C1991" s="6">
        <v>44392</v>
      </c>
      <c r="D1991" s="7" t="s">
        <v>12</v>
      </c>
      <c r="E1991" s="8">
        <v>2021</v>
      </c>
      <c r="F1991" s="9" t="s">
        <v>111</v>
      </c>
      <c r="G1991" s="9" t="s">
        <v>32</v>
      </c>
      <c r="H1991" s="10" t="s">
        <v>62</v>
      </c>
      <c r="I1991" s="7">
        <v>90</v>
      </c>
      <c r="J1991" s="11">
        <v>79</v>
      </c>
      <c r="K1991" s="11">
        <f t="shared" si="62"/>
        <v>7110</v>
      </c>
      <c r="L1991" s="11">
        <v>0</v>
      </c>
      <c r="M1991" s="11">
        <v>853.19999999999993</v>
      </c>
      <c r="N1991" s="11">
        <f t="shared" si="63"/>
        <v>7963.2</v>
      </c>
    </row>
    <row r="1992" spans="3:14" x14ac:dyDescent="0.3">
      <c r="C1992" s="6">
        <v>44393</v>
      </c>
      <c r="D1992" s="7" t="s">
        <v>12</v>
      </c>
      <c r="E1992" s="8">
        <v>2021</v>
      </c>
      <c r="F1992" s="9" t="s">
        <v>163</v>
      </c>
      <c r="G1992" s="9" t="s">
        <v>42</v>
      </c>
      <c r="H1992" s="10" t="s">
        <v>109</v>
      </c>
      <c r="I1992" s="7">
        <v>79</v>
      </c>
      <c r="J1992" s="11">
        <v>99</v>
      </c>
      <c r="K1992" s="11">
        <f t="shared" si="62"/>
        <v>7821</v>
      </c>
      <c r="L1992" s="11">
        <v>0</v>
      </c>
      <c r="M1992" s="11">
        <v>938.52</v>
      </c>
      <c r="N1992" s="11">
        <f t="shared" si="63"/>
        <v>8759.52</v>
      </c>
    </row>
    <row r="1993" spans="3:14" x14ac:dyDescent="0.3">
      <c r="C1993" s="6">
        <v>44393</v>
      </c>
      <c r="D1993" s="7" t="s">
        <v>12</v>
      </c>
      <c r="E1993" s="8">
        <v>2021</v>
      </c>
      <c r="F1993" s="9" t="s">
        <v>163</v>
      </c>
      <c r="G1993" s="9" t="s">
        <v>24</v>
      </c>
      <c r="H1993" s="10" t="s">
        <v>96</v>
      </c>
      <c r="I1993" s="7">
        <v>12</v>
      </c>
      <c r="J1993" s="11">
        <v>59</v>
      </c>
      <c r="K1993" s="11">
        <f t="shared" si="62"/>
        <v>708</v>
      </c>
      <c r="L1993" s="11">
        <v>0</v>
      </c>
      <c r="M1993" s="11">
        <v>84.96</v>
      </c>
      <c r="N1993" s="11">
        <f t="shared" si="63"/>
        <v>792.96</v>
      </c>
    </row>
    <row r="1994" spans="3:14" x14ac:dyDescent="0.3">
      <c r="C1994" s="6">
        <v>44393</v>
      </c>
      <c r="D1994" s="7" t="s">
        <v>12</v>
      </c>
      <c r="E1994" s="8">
        <v>2021</v>
      </c>
      <c r="F1994" s="9" t="s">
        <v>53</v>
      </c>
      <c r="G1994" s="9" t="s">
        <v>24</v>
      </c>
      <c r="H1994" s="10" t="s">
        <v>90</v>
      </c>
      <c r="I1994" s="7">
        <v>42</v>
      </c>
      <c r="J1994" s="11">
        <v>51</v>
      </c>
      <c r="K1994" s="11">
        <f t="shared" si="62"/>
        <v>2142</v>
      </c>
      <c r="L1994" s="11">
        <v>0</v>
      </c>
      <c r="M1994" s="11">
        <v>257.03999999999996</v>
      </c>
      <c r="N1994" s="11">
        <f t="shared" si="63"/>
        <v>2399.04</v>
      </c>
    </row>
    <row r="1995" spans="3:14" x14ac:dyDescent="0.3">
      <c r="C1995" s="6">
        <v>44393</v>
      </c>
      <c r="D1995" s="7" t="s">
        <v>12</v>
      </c>
      <c r="E1995" s="8">
        <v>2021</v>
      </c>
      <c r="F1995" s="9" t="s">
        <v>53</v>
      </c>
      <c r="G1995" s="9" t="s">
        <v>14</v>
      </c>
      <c r="H1995" s="10" t="s">
        <v>49</v>
      </c>
      <c r="I1995" s="7">
        <v>26</v>
      </c>
      <c r="J1995" s="11">
        <v>32</v>
      </c>
      <c r="K1995" s="11">
        <f t="shared" si="62"/>
        <v>832</v>
      </c>
      <c r="L1995" s="11">
        <v>0</v>
      </c>
      <c r="M1995" s="11">
        <v>99.84</v>
      </c>
      <c r="N1995" s="11">
        <f t="shared" si="63"/>
        <v>931.84</v>
      </c>
    </row>
    <row r="1996" spans="3:14" x14ac:dyDescent="0.3">
      <c r="C1996" s="6">
        <v>44394</v>
      </c>
      <c r="D1996" s="7" t="s">
        <v>12</v>
      </c>
      <c r="E1996" s="8">
        <v>2021</v>
      </c>
      <c r="F1996" s="9" t="s">
        <v>159</v>
      </c>
      <c r="G1996" s="9" t="s">
        <v>26</v>
      </c>
      <c r="H1996" s="10" t="s">
        <v>52</v>
      </c>
      <c r="I1996" s="7">
        <v>32</v>
      </c>
      <c r="J1996" s="11">
        <v>85</v>
      </c>
      <c r="K1996" s="11">
        <f t="shared" si="62"/>
        <v>2720</v>
      </c>
      <c r="L1996" s="11">
        <v>0.25</v>
      </c>
      <c r="M1996" s="11">
        <v>326.39999999999998</v>
      </c>
      <c r="N1996" s="11">
        <f t="shared" si="63"/>
        <v>3046.15</v>
      </c>
    </row>
    <row r="1997" spans="3:14" x14ac:dyDescent="0.3">
      <c r="C1997" s="6">
        <v>44395</v>
      </c>
      <c r="D1997" s="7" t="s">
        <v>12</v>
      </c>
      <c r="E1997" s="8">
        <v>2021</v>
      </c>
      <c r="F1997" s="9" t="s">
        <v>135</v>
      </c>
      <c r="G1997" s="9" t="s">
        <v>16</v>
      </c>
      <c r="H1997" s="10" t="s">
        <v>29</v>
      </c>
      <c r="I1997" s="7">
        <v>15</v>
      </c>
      <c r="J1997" s="11">
        <v>90</v>
      </c>
      <c r="K1997" s="11">
        <f t="shared" si="62"/>
        <v>1350</v>
      </c>
      <c r="L1997" s="11">
        <v>0</v>
      </c>
      <c r="M1997" s="11">
        <v>162</v>
      </c>
      <c r="N1997" s="11">
        <f t="shared" si="63"/>
        <v>1512</v>
      </c>
    </row>
    <row r="1998" spans="3:14" x14ac:dyDescent="0.3">
      <c r="C1998" s="6">
        <v>44395</v>
      </c>
      <c r="D1998" s="7" t="s">
        <v>12</v>
      </c>
      <c r="E1998" s="8">
        <v>2021</v>
      </c>
      <c r="F1998" s="9" t="s">
        <v>135</v>
      </c>
      <c r="G1998" s="9" t="s">
        <v>32</v>
      </c>
      <c r="H1998" s="10" t="s">
        <v>39</v>
      </c>
      <c r="I1998" s="7">
        <v>22</v>
      </c>
      <c r="J1998" s="11">
        <v>61</v>
      </c>
      <c r="K1998" s="11">
        <f t="shared" si="62"/>
        <v>1342</v>
      </c>
      <c r="L1998" s="11">
        <v>5.0000000745058101E-2</v>
      </c>
      <c r="M1998" s="11">
        <v>161.04</v>
      </c>
      <c r="N1998" s="11">
        <f t="shared" si="63"/>
        <v>1502.9899999992549</v>
      </c>
    </row>
    <row r="1999" spans="3:14" x14ac:dyDescent="0.3">
      <c r="C1999" s="6">
        <v>44395</v>
      </c>
      <c r="D1999" s="7" t="s">
        <v>12</v>
      </c>
      <c r="E1999" s="8">
        <v>2021</v>
      </c>
      <c r="F1999" s="9" t="s">
        <v>138</v>
      </c>
      <c r="G1999" s="9" t="s">
        <v>32</v>
      </c>
      <c r="H1999" s="10" t="s">
        <v>168</v>
      </c>
      <c r="I1999" s="7">
        <v>68</v>
      </c>
      <c r="J1999" s="11">
        <v>15</v>
      </c>
      <c r="K1999" s="11">
        <f t="shared" si="62"/>
        <v>1020</v>
      </c>
      <c r="L1999" s="11">
        <v>0.10000000149011599</v>
      </c>
      <c r="M1999" s="11">
        <v>122.39999999999999</v>
      </c>
      <c r="N1999" s="11">
        <f t="shared" si="63"/>
        <v>1142.29999999851</v>
      </c>
    </row>
    <row r="2000" spans="3:14" x14ac:dyDescent="0.3">
      <c r="C2000" s="6">
        <v>44395</v>
      </c>
      <c r="D2000" s="7" t="s">
        <v>12</v>
      </c>
      <c r="E2000" s="8">
        <v>2021</v>
      </c>
      <c r="F2000" s="9" t="s">
        <v>138</v>
      </c>
      <c r="G2000" s="9" t="s">
        <v>37</v>
      </c>
      <c r="H2000" s="10" t="s">
        <v>77</v>
      </c>
      <c r="I2000" s="7">
        <v>83</v>
      </c>
      <c r="J2000" s="11">
        <v>53</v>
      </c>
      <c r="K2000" s="11">
        <f t="shared" si="62"/>
        <v>4399</v>
      </c>
      <c r="L2000" s="11">
        <v>0.10000000149011599</v>
      </c>
      <c r="M2000" s="11">
        <v>527.88</v>
      </c>
      <c r="N2000" s="11">
        <f t="shared" si="63"/>
        <v>4926.77999999851</v>
      </c>
    </row>
    <row r="2001" spans="3:14" x14ac:dyDescent="0.3">
      <c r="C2001" s="6">
        <v>44398</v>
      </c>
      <c r="D2001" s="7" t="s">
        <v>12</v>
      </c>
      <c r="E2001" s="8">
        <v>2021</v>
      </c>
      <c r="F2001" s="9" t="s">
        <v>142</v>
      </c>
      <c r="G2001" s="9" t="s">
        <v>32</v>
      </c>
      <c r="H2001" s="10" t="s">
        <v>47</v>
      </c>
      <c r="I2001" s="7">
        <v>54</v>
      </c>
      <c r="J2001" s="11">
        <v>75</v>
      </c>
      <c r="K2001" s="11">
        <f t="shared" si="62"/>
        <v>4050</v>
      </c>
      <c r="L2001" s="11">
        <v>5.0000000745058101E-2</v>
      </c>
      <c r="M2001" s="11">
        <v>486</v>
      </c>
      <c r="N2001" s="11">
        <f t="shared" si="63"/>
        <v>4535.9499999992549</v>
      </c>
    </row>
    <row r="2002" spans="3:14" x14ac:dyDescent="0.3">
      <c r="C2002" s="6">
        <v>44398</v>
      </c>
      <c r="D2002" s="7" t="s">
        <v>12</v>
      </c>
      <c r="E2002" s="8">
        <v>2021</v>
      </c>
      <c r="F2002" s="9" t="s">
        <v>142</v>
      </c>
      <c r="G2002" s="9" t="s">
        <v>14</v>
      </c>
      <c r="H2002" s="10" t="s">
        <v>49</v>
      </c>
      <c r="I2002" s="7">
        <v>13</v>
      </c>
      <c r="J2002" s="11">
        <v>69</v>
      </c>
      <c r="K2002" s="11">
        <f t="shared" si="62"/>
        <v>897</v>
      </c>
      <c r="L2002" s="11">
        <v>5.0000000745058101E-2</v>
      </c>
      <c r="M2002" s="11">
        <v>107.64</v>
      </c>
      <c r="N2002" s="11">
        <f t="shared" si="63"/>
        <v>1004.5899999992549</v>
      </c>
    </row>
    <row r="2003" spans="3:14" x14ac:dyDescent="0.3">
      <c r="C2003" s="6">
        <v>44398</v>
      </c>
      <c r="D2003" s="7" t="s">
        <v>12</v>
      </c>
      <c r="E2003" s="8">
        <v>2021</v>
      </c>
      <c r="F2003" s="9" t="s">
        <v>142</v>
      </c>
      <c r="G2003" s="9" t="s">
        <v>14</v>
      </c>
      <c r="H2003" s="10" t="s">
        <v>35</v>
      </c>
      <c r="I2003" s="7">
        <v>92</v>
      </c>
      <c r="J2003" s="11">
        <v>11</v>
      </c>
      <c r="K2003" s="11">
        <f t="shared" si="62"/>
        <v>1012</v>
      </c>
      <c r="L2003" s="11">
        <v>5.0000000745058101E-2</v>
      </c>
      <c r="M2003" s="11">
        <v>121.44</v>
      </c>
      <c r="N2003" s="11">
        <f t="shared" si="63"/>
        <v>1133.389999999255</v>
      </c>
    </row>
    <row r="2004" spans="3:14" x14ac:dyDescent="0.3">
      <c r="C2004" s="6">
        <v>44398</v>
      </c>
      <c r="D2004" s="7" t="s">
        <v>12</v>
      </c>
      <c r="E2004" s="8">
        <v>2021</v>
      </c>
      <c r="F2004" s="9" t="s">
        <v>142</v>
      </c>
      <c r="G2004" s="9" t="s">
        <v>14</v>
      </c>
      <c r="H2004" s="10" t="s">
        <v>87</v>
      </c>
      <c r="I2004" s="7">
        <v>77</v>
      </c>
      <c r="J2004" s="11">
        <v>34</v>
      </c>
      <c r="K2004" s="11">
        <f t="shared" si="62"/>
        <v>2618</v>
      </c>
      <c r="L2004" s="11">
        <v>5.0000000745058101E-2</v>
      </c>
      <c r="M2004" s="11">
        <v>314.15999999999997</v>
      </c>
      <c r="N2004" s="11">
        <f t="shared" si="63"/>
        <v>2932.1099999992548</v>
      </c>
    </row>
    <row r="2005" spans="3:14" x14ac:dyDescent="0.3">
      <c r="C2005" s="6">
        <v>44399</v>
      </c>
      <c r="D2005" s="7" t="s">
        <v>12</v>
      </c>
      <c r="E2005" s="8">
        <v>2021</v>
      </c>
      <c r="F2005" s="9" t="s">
        <v>19</v>
      </c>
      <c r="G2005" s="9" t="s">
        <v>26</v>
      </c>
      <c r="H2005" s="10" t="s">
        <v>124</v>
      </c>
      <c r="I2005" s="7">
        <v>6</v>
      </c>
      <c r="J2005" s="11">
        <v>100</v>
      </c>
      <c r="K2005" s="11">
        <f t="shared" si="62"/>
        <v>600</v>
      </c>
      <c r="L2005" s="11">
        <v>0.20000000298023199</v>
      </c>
      <c r="M2005" s="11">
        <v>72</v>
      </c>
      <c r="N2005" s="11">
        <f t="shared" si="63"/>
        <v>671.79999999701977</v>
      </c>
    </row>
    <row r="2006" spans="3:14" x14ac:dyDescent="0.3">
      <c r="C2006" s="6">
        <v>44399</v>
      </c>
      <c r="D2006" s="7" t="s">
        <v>12</v>
      </c>
      <c r="E2006" s="8">
        <v>2021</v>
      </c>
      <c r="F2006" s="9" t="s">
        <v>19</v>
      </c>
      <c r="G2006" s="9" t="s">
        <v>42</v>
      </c>
      <c r="H2006" s="10" t="s">
        <v>43</v>
      </c>
      <c r="I2006" s="7">
        <v>25</v>
      </c>
      <c r="J2006" s="11">
        <v>19</v>
      </c>
      <c r="K2006" s="11">
        <f t="shared" si="62"/>
        <v>475</v>
      </c>
      <c r="L2006" s="11">
        <v>0.20000000298023199</v>
      </c>
      <c r="M2006" s="11">
        <v>57</v>
      </c>
      <c r="N2006" s="11">
        <f t="shared" si="63"/>
        <v>531.79999999701977</v>
      </c>
    </row>
    <row r="2007" spans="3:14" x14ac:dyDescent="0.3">
      <c r="C2007" s="6">
        <v>44399</v>
      </c>
      <c r="D2007" s="7" t="s">
        <v>12</v>
      </c>
      <c r="E2007" s="8">
        <v>2021</v>
      </c>
      <c r="F2007" s="9" t="s">
        <v>19</v>
      </c>
      <c r="G2007" s="9" t="s">
        <v>32</v>
      </c>
      <c r="H2007" s="10" t="s">
        <v>62</v>
      </c>
      <c r="I2007" s="7">
        <v>75</v>
      </c>
      <c r="J2007" s="11">
        <v>10</v>
      </c>
      <c r="K2007" s="11">
        <f t="shared" si="62"/>
        <v>750</v>
      </c>
      <c r="L2007" s="11">
        <v>0.20000000298023199</v>
      </c>
      <c r="M2007" s="11">
        <v>90</v>
      </c>
      <c r="N2007" s="11">
        <f t="shared" si="63"/>
        <v>839.79999999701977</v>
      </c>
    </row>
    <row r="2008" spans="3:14" x14ac:dyDescent="0.3">
      <c r="C2008" s="6">
        <v>44399</v>
      </c>
      <c r="D2008" s="7" t="s">
        <v>12</v>
      </c>
      <c r="E2008" s="8">
        <v>2021</v>
      </c>
      <c r="F2008" s="9" t="s">
        <v>135</v>
      </c>
      <c r="G2008" s="9" t="s">
        <v>20</v>
      </c>
      <c r="H2008" s="10" t="s">
        <v>67</v>
      </c>
      <c r="I2008" s="7">
        <v>63</v>
      </c>
      <c r="J2008" s="11">
        <v>62</v>
      </c>
      <c r="K2008" s="11">
        <f t="shared" si="62"/>
        <v>3906</v>
      </c>
      <c r="L2008" s="11">
        <v>0</v>
      </c>
      <c r="M2008" s="11">
        <v>468.71999999999997</v>
      </c>
      <c r="N2008" s="11">
        <f t="shared" si="63"/>
        <v>4374.72</v>
      </c>
    </row>
    <row r="2009" spans="3:14" x14ac:dyDescent="0.3">
      <c r="C2009" s="6">
        <v>44399</v>
      </c>
      <c r="D2009" s="7" t="s">
        <v>12</v>
      </c>
      <c r="E2009" s="8">
        <v>2021</v>
      </c>
      <c r="F2009" s="9" t="s">
        <v>135</v>
      </c>
      <c r="G2009" s="9" t="s">
        <v>42</v>
      </c>
      <c r="H2009" s="10" t="s">
        <v>72</v>
      </c>
      <c r="I2009" s="7">
        <v>14</v>
      </c>
      <c r="J2009" s="11">
        <v>91</v>
      </c>
      <c r="K2009" s="11">
        <f t="shared" si="62"/>
        <v>1274</v>
      </c>
      <c r="L2009" s="11">
        <v>0</v>
      </c>
      <c r="M2009" s="11">
        <v>152.88</v>
      </c>
      <c r="N2009" s="11">
        <f t="shared" si="63"/>
        <v>1426.88</v>
      </c>
    </row>
    <row r="2010" spans="3:14" x14ac:dyDescent="0.3">
      <c r="C2010" s="6">
        <v>44399</v>
      </c>
      <c r="D2010" s="7" t="s">
        <v>12</v>
      </c>
      <c r="E2010" s="8">
        <v>2021</v>
      </c>
      <c r="F2010" s="9" t="s">
        <v>135</v>
      </c>
      <c r="G2010" s="9" t="s">
        <v>14</v>
      </c>
      <c r="H2010" s="10" t="s">
        <v>34</v>
      </c>
      <c r="I2010" s="7">
        <v>81</v>
      </c>
      <c r="J2010" s="11">
        <v>81</v>
      </c>
      <c r="K2010" s="11">
        <f t="shared" si="62"/>
        <v>6561</v>
      </c>
      <c r="L2010" s="11">
        <v>0</v>
      </c>
      <c r="M2010" s="11">
        <v>787.31999999999994</v>
      </c>
      <c r="N2010" s="11">
        <f t="shared" si="63"/>
        <v>7348.32</v>
      </c>
    </row>
    <row r="2011" spans="3:14" x14ac:dyDescent="0.3">
      <c r="C2011" s="6">
        <v>44399</v>
      </c>
      <c r="D2011" s="7" t="s">
        <v>12</v>
      </c>
      <c r="E2011" s="8">
        <v>2021</v>
      </c>
      <c r="F2011" s="9" t="s">
        <v>135</v>
      </c>
      <c r="G2011" s="9" t="s">
        <v>24</v>
      </c>
      <c r="H2011" s="10" t="s">
        <v>76</v>
      </c>
      <c r="I2011" s="7">
        <v>27</v>
      </c>
      <c r="J2011" s="11">
        <v>84</v>
      </c>
      <c r="K2011" s="11">
        <f t="shared" si="62"/>
        <v>2268</v>
      </c>
      <c r="L2011" s="11">
        <v>0</v>
      </c>
      <c r="M2011" s="11">
        <v>272.15999999999997</v>
      </c>
      <c r="N2011" s="11">
        <f t="shared" si="63"/>
        <v>2540.16</v>
      </c>
    </row>
    <row r="2012" spans="3:14" x14ac:dyDescent="0.3">
      <c r="C2012" s="6">
        <v>44399</v>
      </c>
      <c r="D2012" s="7" t="s">
        <v>12</v>
      </c>
      <c r="E2012" s="8">
        <v>2021</v>
      </c>
      <c r="F2012" s="9" t="s">
        <v>135</v>
      </c>
      <c r="G2012" s="9" t="s">
        <v>14</v>
      </c>
      <c r="H2012" s="10" t="s">
        <v>18</v>
      </c>
      <c r="I2012" s="7">
        <v>37</v>
      </c>
      <c r="J2012" s="11">
        <v>15</v>
      </c>
      <c r="K2012" s="11">
        <f t="shared" si="62"/>
        <v>555</v>
      </c>
      <c r="L2012" s="11">
        <v>0</v>
      </c>
      <c r="M2012" s="11">
        <v>66.599999999999994</v>
      </c>
      <c r="N2012" s="11">
        <f t="shared" si="63"/>
        <v>621.6</v>
      </c>
    </row>
    <row r="2013" spans="3:14" x14ac:dyDescent="0.3">
      <c r="C2013" s="6">
        <v>44400</v>
      </c>
      <c r="D2013" s="7" t="s">
        <v>12</v>
      </c>
      <c r="E2013" s="8">
        <v>2021</v>
      </c>
      <c r="F2013" s="9" t="s">
        <v>179</v>
      </c>
      <c r="G2013" s="9" t="s">
        <v>16</v>
      </c>
      <c r="H2013" s="10" t="s">
        <v>68</v>
      </c>
      <c r="I2013" s="7">
        <v>7</v>
      </c>
      <c r="J2013" s="11">
        <v>58</v>
      </c>
      <c r="K2013" s="11">
        <f t="shared" si="62"/>
        <v>406</v>
      </c>
      <c r="L2013" s="11">
        <v>0</v>
      </c>
      <c r="M2013" s="11">
        <v>48.72</v>
      </c>
      <c r="N2013" s="11">
        <f t="shared" si="63"/>
        <v>454.72</v>
      </c>
    </row>
    <row r="2014" spans="3:14" x14ac:dyDescent="0.3">
      <c r="C2014" s="6">
        <v>44401</v>
      </c>
      <c r="D2014" s="7" t="s">
        <v>12</v>
      </c>
      <c r="E2014" s="8">
        <v>2021</v>
      </c>
      <c r="F2014" s="9" t="s">
        <v>127</v>
      </c>
      <c r="G2014" s="9" t="s">
        <v>37</v>
      </c>
      <c r="H2014" s="10" t="s">
        <v>104</v>
      </c>
      <c r="I2014" s="7">
        <v>40</v>
      </c>
      <c r="J2014" s="11">
        <v>40</v>
      </c>
      <c r="K2014" s="11">
        <f t="shared" si="62"/>
        <v>1600</v>
      </c>
      <c r="L2014" s="11">
        <v>0</v>
      </c>
      <c r="M2014" s="11">
        <v>192</v>
      </c>
      <c r="N2014" s="11">
        <f t="shared" si="63"/>
        <v>1792</v>
      </c>
    </row>
    <row r="2015" spans="3:14" x14ac:dyDescent="0.3">
      <c r="C2015" s="6">
        <v>44401</v>
      </c>
      <c r="D2015" s="7" t="s">
        <v>12</v>
      </c>
      <c r="E2015" s="8">
        <v>2021</v>
      </c>
      <c r="F2015" s="9" t="s">
        <v>127</v>
      </c>
      <c r="G2015" s="9" t="s">
        <v>24</v>
      </c>
      <c r="H2015" s="10" t="s">
        <v>85</v>
      </c>
      <c r="I2015" s="7">
        <v>8</v>
      </c>
      <c r="J2015" s="11">
        <v>97</v>
      </c>
      <c r="K2015" s="11">
        <f t="shared" si="62"/>
        <v>776</v>
      </c>
      <c r="L2015" s="11">
        <v>0</v>
      </c>
      <c r="M2015" s="11">
        <v>93.11999999999999</v>
      </c>
      <c r="N2015" s="11">
        <f t="shared" si="63"/>
        <v>869.12</v>
      </c>
    </row>
    <row r="2016" spans="3:14" x14ac:dyDescent="0.3">
      <c r="C2016" s="6">
        <v>44401</v>
      </c>
      <c r="D2016" s="7" t="s">
        <v>12</v>
      </c>
      <c r="E2016" s="8">
        <v>2021</v>
      </c>
      <c r="F2016" s="9" t="s">
        <v>127</v>
      </c>
      <c r="G2016" s="9" t="s">
        <v>32</v>
      </c>
      <c r="H2016" s="10" t="s">
        <v>59</v>
      </c>
      <c r="I2016" s="7">
        <v>70</v>
      </c>
      <c r="J2016" s="11">
        <v>49</v>
      </c>
      <c r="K2016" s="11">
        <f t="shared" si="62"/>
        <v>3430</v>
      </c>
      <c r="L2016" s="11">
        <v>0</v>
      </c>
      <c r="M2016" s="11">
        <v>411.59999999999997</v>
      </c>
      <c r="N2016" s="11">
        <f t="shared" si="63"/>
        <v>3841.6</v>
      </c>
    </row>
    <row r="2017" spans="3:14" x14ac:dyDescent="0.3">
      <c r="C2017" s="6">
        <v>44402</v>
      </c>
      <c r="D2017" s="7" t="s">
        <v>12</v>
      </c>
      <c r="E2017" s="8">
        <v>2021</v>
      </c>
      <c r="F2017" s="9" t="s">
        <v>150</v>
      </c>
      <c r="G2017" s="9" t="s">
        <v>24</v>
      </c>
      <c r="H2017" s="10" t="s">
        <v>48</v>
      </c>
      <c r="I2017" s="7">
        <v>59</v>
      </c>
      <c r="J2017" s="11">
        <v>74</v>
      </c>
      <c r="K2017" s="11">
        <f t="shared" si="62"/>
        <v>4366</v>
      </c>
      <c r="L2017" s="11">
        <v>0.25</v>
      </c>
      <c r="M2017" s="11">
        <v>523.91999999999996</v>
      </c>
      <c r="N2017" s="11">
        <f t="shared" si="63"/>
        <v>4889.67</v>
      </c>
    </row>
    <row r="2018" spans="3:14" x14ac:dyDescent="0.3">
      <c r="C2018" s="6">
        <v>44402</v>
      </c>
      <c r="D2018" s="7" t="s">
        <v>12</v>
      </c>
      <c r="E2018" s="8">
        <v>2021</v>
      </c>
      <c r="F2018" s="9" t="s">
        <v>162</v>
      </c>
      <c r="G2018" s="9" t="s">
        <v>37</v>
      </c>
      <c r="H2018" s="10" t="s">
        <v>104</v>
      </c>
      <c r="I2018" s="7">
        <v>38</v>
      </c>
      <c r="J2018" s="11">
        <v>28</v>
      </c>
      <c r="K2018" s="11">
        <f t="shared" si="62"/>
        <v>1064</v>
      </c>
      <c r="L2018" s="11">
        <v>0</v>
      </c>
      <c r="M2018" s="11">
        <v>127.67999999999999</v>
      </c>
      <c r="N2018" s="11">
        <f t="shared" si="63"/>
        <v>1191.68</v>
      </c>
    </row>
    <row r="2019" spans="3:14" x14ac:dyDescent="0.3">
      <c r="C2019" s="6">
        <v>44402</v>
      </c>
      <c r="D2019" s="7" t="s">
        <v>12</v>
      </c>
      <c r="E2019" s="8">
        <v>2021</v>
      </c>
      <c r="F2019" s="9" t="s">
        <v>162</v>
      </c>
      <c r="G2019" s="9" t="s">
        <v>37</v>
      </c>
      <c r="H2019" s="10" t="s">
        <v>46</v>
      </c>
      <c r="I2019" s="7">
        <v>50</v>
      </c>
      <c r="J2019" s="11">
        <v>28</v>
      </c>
      <c r="K2019" s="11">
        <f t="shared" si="62"/>
        <v>1400</v>
      </c>
      <c r="L2019" s="11">
        <v>0</v>
      </c>
      <c r="M2019" s="11">
        <v>168</v>
      </c>
      <c r="N2019" s="11">
        <f t="shared" si="63"/>
        <v>1568</v>
      </c>
    </row>
    <row r="2020" spans="3:14" x14ac:dyDescent="0.3">
      <c r="C2020" s="6">
        <v>44402</v>
      </c>
      <c r="D2020" s="7" t="s">
        <v>12</v>
      </c>
      <c r="E2020" s="8">
        <v>2021</v>
      </c>
      <c r="F2020" s="9" t="s">
        <v>162</v>
      </c>
      <c r="G2020" s="9" t="s">
        <v>14</v>
      </c>
      <c r="H2020" s="10" t="s">
        <v>35</v>
      </c>
      <c r="I2020" s="7">
        <v>20</v>
      </c>
      <c r="J2020" s="11">
        <v>100</v>
      </c>
      <c r="K2020" s="11">
        <f t="shared" si="62"/>
        <v>2000</v>
      </c>
      <c r="L2020" s="11">
        <v>0</v>
      </c>
      <c r="M2020" s="11">
        <v>240</v>
      </c>
      <c r="N2020" s="11">
        <f t="shared" si="63"/>
        <v>2240</v>
      </c>
    </row>
    <row r="2021" spans="3:14" x14ac:dyDescent="0.3">
      <c r="C2021" s="6">
        <v>44405</v>
      </c>
      <c r="D2021" s="7" t="s">
        <v>12</v>
      </c>
      <c r="E2021" s="8">
        <v>2021</v>
      </c>
      <c r="F2021" s="9" t="s">
        <v>135</v>
      </c>
      <c r="G2021" s="9" t="s">
        <v>24</v>
      </c>
      <c r="H2021" s="10" t="s">
        <v>85</v>
      </c>
      <c r="I2021" s="7">
        <v>72</v>
      </c>
      <c r="J2021" s="11">
        <v>74</v>
      </c>
      <c r="K2021" s="11">
        <f t="shared" si="62"/>
        <v>5328</v>
      </c>
      <c r="L2021" s="11">
        <v>0</v>
      </c>
      <c r="M2021" s="11">
        <v>639.36</v>
      </c>
      <c r="N2021" s="11">
        <f t="shared" si="63"/>
        <v>5967.36</v>
      </c>
    </row>
    <row r="2022" spans="3:14" x14ac:dyDescent="0.3">
      <c r="C2022" s="6">
        <v>44405</v>
      </c>
      <c r="D2022" s="7" t="s">
        <v>12</v>
      </c>
      <c r="E2022" s="8">
        <v>2021</v>
      </c>
      <c r="F2022" s="9" t="s">
        <v>135</v>
      </c>
      <c r="G2022" s="9" t="s">
        <v>24</v>
      </c>
      <c r="H2022" s="10" t="s">
        <v>48</v>
      </c>
      <c r="I2022" s="7">
        <v>99</v>
      </c>
      <c r="J2022" s="11">
        <v>87</v>
      </c>
      <c r="K2022" s="11">
        <f t="shared" si="62"/>
        <v>8613</v>
      </c>
      <c r="L2022" s="11">
        <v>0</v>
      </c>
      <c r="M2022" s="11">
        <v>1033.56</v>
      </c>
      <c r="N2022" s="11">
        <f t="shared" si="63"/>
        <v>9646.56</v>
      </c>
    </row>
    <row r="2023" spans="3:14" x14ac:dyDescent="0.3">
      <c r="C2023" s="6">
        <v>44405</v>
      </c>
      <c r="D2023" s="7" t="s">
        <v>12</v>
      </c>
      <c r="E2023" s="8">
        <v>2021</v>
      </c>
      <c r="F2023" s="9" t="s">
        <v>135</v>
      </c>
      <c r="G2023" s="9" t="s">
        <v>32</v>
      </c>
      <c r="H2023" s="10" t="s">
        <v>39</v>
      </c>
      <c r="I2023" s="7">
        <v>97</v>
      </c>
      <c r="J2023" s="11">
        <v>63</v>
      </c>
      <c r="K2023" s="11">
        <f t="shared" si="62"/>
        <v>6111</v>
      </c>
      <c r="L2023" s="11">
        <v>0</v>
      </c>
      <c r="M2023" s="11">
        <v>733.31999999999994</v>
      </c>
      <c r="N2023" s="11">
        <f t="shared" si="63"/>
        <v>6844.32</v>
      </c>
    </row>
    <row r="2024" spans="3:14" x14ac:dyDescent="0.3">
      <c r="C2024" s="6">
        <v>44405</v>
      </c>
      <c r="D2024" s="7" t="s">
        <v>12</v>
      </c>
      <c r="E2024" s="8">
        <v>2021</v>
      </c>
      <c r="F2024" s="9" t="s">
        <v>135</v>
      </c>
      <c r="G2024" s="9" t="s">
        <v>14</v>
      </c>
      <c r="H2024" s="10" t="s">
        <v>35</v>
      </c>
      <c r="I2024" s="7">
        <v>93</v>
      </c>
      <c r="J2024" s="11">
        <v>56</v>
      </c>
      <c r="K2024" s="11">
        <f t="shared" si="62"/>
        <v>5208</v>
      </c>
      <c r="L2024" s="11">
        <v>0</v>
      </c>
      <c r="M2024" s="11">
        <v>624.95999999999992</v>
      </c>
      <c r="N2024" s="11">
        <f t="shared" si="63"/>
        <v>5832.96</v>
      </c>
    </row>
    <row r="2025" spans="3:14" x14ac:dyDescent="0.3">
      <c r="C2025" s="6">
        <v>44405</v>
      </c>
      <c r="D2025" s="7" t="s">
        <v>12</v>
      </c>
      <c r="E2025" s="8">
        <v>2021</v>
      </c>
      <c r="F2025" s="9" t="s">
        <v>135</v>
      </c>
      <c r="G2025" s="9" t="s">
        <v>37</v>
      </c>
      <c r="H2025" s="10" t="s">
        <v>77</v>
      </c>
      <c r="I2025" s="7">
        <v>73</v>
      </c>
      <c r="J2025" s="11">
        <v>14</v>
      </c>
      <c r="K2025" s="11">
        <f t="shared" si="62"/>
        <v>1022</v>
      </c>
      <c r="L2025" s="11">
        <v>0</v>
      </c>
      <c r="M2025" s="11">
        <v>122.64</v>
      </c>
      <c r="N2025" s="11">
        <f t="shared" si="63"/>
        <v>1144.6400000000001</v>
      </c>
    </row>
    <row r="2026" spans="3:14" x14ac:dyDescent="0.3">
      <c r="C2026" s="6">
        <v>44406</v>
      </c>
      <c r="D2026" s="7" t="s">
        <v>12</v>
      </c>
      <c r="E2026" s="8">
        <v>2021</v>
      </c>
      <c r="F2026" s="9" t="s">
        <v>53</v>
      </c>
      <c r="G2026" s="9" t="s">
        <v>24</v>
      </c>
      <c r="H2026" s="10" t="s">
        <v>90</v>
      </c>
      <c r="I2026" s="7">
        <v>76</v>
      </c>
      <c r="J2026" s="11">
        <v>79</v>
      </c>
      <c r="K2026" s="11">
        <f t="shared" si="62"/>
        <v>6004</v>
      </c>
      <c r="L2026" s="11">
        <v>0.10000000149011599</v>
      </c>
      <c r="M2026" s="11">
        <v>720.48</v>
      </c>
      <c r="N2026" s="11">
        <f t="shared" si="63"/>
        <v>6724.3799999985094</v>
      </c>
    </row>
    <row r="2027" spans="3:14" x14ac:dyDescent="0.3">
      <c r="C2027" s="6">
        <v>44406</v>
      </c>
      <c r="D2027" s="7" t="s">
        <v>12</v>
      </c>
      <c r="E2027" s="8">
        <v>2021</v>
      </c>
      <c r="F2027" s="9" t="s">
        <v>53</v>
      </c>
      <c r="G2027" s="9" t="s">
        <v>37</v>
      </c>
      <c r="H2027" s="10" t="s">
        <v>98</v>
      </c>
      <c r="I2027" s="7">
        <v>50</v>
      </c>
      <c r="J2027" s="11">
        <v>64</v>
      </c>
      <c r="K2027" s="11">
        <f t="shared" si="62"/>
        <v>3200</v>
      </c>
      <c r="L2027" s="11">
        <v>0</v>
      </c>
      <c r="M2027" s="11">
        <v>384</v>
      </c>
      <c r="N2027" s="11">
        <f t="shared" si="63"/>
        <v>3584</v>
      </c>
    </row>
    <row r="2028" spans="3:14" x14ac:dyDescent="0.3">
      <c r="C2028" s="6">
        <v>44406</v>
      </c>
      <c r="D2028" s="7" t="s">
        <v>12</v>
      </c>
      <c r="E2028" s="8">
        <v>2021</v>
      </c>
      <c r="F2028" s="9" t="s">
        <v>185</v>
      </c>
      <c r="G2028" s="9" t="s">
        <v>14</v>
      </c>
      <c r="H2028" s="10" t="s">
        <v>15</v>
      </c>
      <c r="I2028" s="7">
        <v>7</v>
      </c>
      <c r="J2028" s="11">
        <v>36</v>
      </c>
      <c r="K2028" s="11">
        <f t="shared" si="62"/>
        <v>252</v>
      </c>
      <c r="L2028" s="11">
        <v>0</v>
      </c>
      <c r="M2028" s="11">
        <v>30.24</v>
      </c>
      <c r="N2028" s="11">
        <f t="shared" si="63"/>
        <v>282.24</v>
      </c>
    </row>
    <row r="2029" spans="3:14" x14ac:dyDescent="0.3">
      <c r="C2029" s="6">
        <v>44406</v>
      </c>
      <c r="D2029" s="7" t="s">
        <v>12</v>
      </c>
      <c r="E2029" s="8">
        <v>2021</v>
      </c>
      <c r="F2029" s="9" t="s">
        <v>185</v>
      </c>
      <c r="G2029" s="9" t="s">
        <v>32</v>
      </c>
      <c r="H2029" s="10" t="s">
        <v>59</v>
      </c>
      <c r="I2029" s="7">
        <v>44</v>
      </c>
      <c r="J2029" s="11">
        <v>45</v>
      </c>
      <c r="K2029" s="11">
        <f t="shared" si="62"/>
        <v>1980</v>
      </c>
      <c r="L2029" s="11">
        <v>0</v>
      </c>
      <c r="M2029" s="11">
        <v>237.6</v>
      </c>
      <c r="N2029" s="11">
        <f t="shared" si="63"/>
        <v>2217.6</v>
      </c>
    </row>
    <row r="2030" spans="3:14" x14ac:dyDescent="0.3">
      <c r="C2030" s="6">
        <v>44406</v>
      </c>
      <c r="D2030" s="7" t="s">
        <v>12</v>
      </c>
      <c r="E2030" s="8">
        <v>2021</v>
      </c>
      <c r="F2030" s="9" t="s">
        <v>185</v>
      </c>
      <c r="G2030" s="9" t="s">
        <v>37</v>
      </c>
      <c r="H2030" s="10" t="s">
        <v>38</v>
      </c>
      <c r="I2030" s="7">
        <v>55</v>
      </c>
      <c r="J2030" s="11">
        <v>82</v>
      </c>
      <c r="K2030" s="11">
        <f t="shared" si="62"/>
        <v>4510</v>
      </c>
      <c r="L2030" s="11">
        <v>0</v>
      </c>
      <c r="M2030" s="11">
        <v>541.19999999999993</v>
      </c>
      <c r="N2030" s="11">
        <f t="shared" si="63"/>
        <v>5051.2</v>
      </c>
    </row>
    <row r="2031" spans="3:14" x14ac:dyDescent="0.3">
      <c r="C2031" s="6">
        <v>44407</v>
      </c>
      <c r="D2031" s="7" t="s">
        <v>12</v>
      </c>
      <c r="E2031" s="8">
        <v>2021</v>
      </c>
      <c r="F2031" s="9" t="s">
        <v>13</v>
      </c>
      <c r="G2031" s="9" t="s">
        <v>42</v>
      </c>
      <c r="H2031" s="10" t="s">
        <v>43</v>
      </c>
      <c r="I2031" s="7">
        <v>16</v>
      </c>
      <c r="J2031" s="11">
        <v>29</v>
      </c>
      <c r="K2031" s="11">
        <f t="shared" si="62"/>
        <v>464</v>
      </c>
      <c r="L2031" s="11">
        <v>0</v>
      </c>
      <c r="M2031" s="11">
        <v>55.68</v>
      </c>
      <c r="N2031" s="11">
        <f t="shared" si="63"/>
        <v>519.67999999999995</v>
      </c>
    </row>
    <row r="2032" spans="3:14" x14ac:dyDescent="0.3">
      <c r="C2032" s="6">
        <v>44408</v>
      </c>
      <c r="D2032" s="7" t="s">
        <v>12</v>
      </c>
      <c r="E2032" s="8">
        <v>2021</v>
      </c>
      <c r="F2032" s="9" t="s">
        <v>189</v>
      </c>
      <c r="G2032" s="9" t="s">
        <v>37</v>
      </c>
      <c r="H2032" s="10" t="s">
        <v>139</v>
      </c>
      <c r="I2032" s="7">
        <v>4</v>
      </c>
      <c r="J2032" s="11">
        <v>89</v>
      </c>
      <c r="K2032" s="11">
        <f t="shared" si="62"/>
        <v>356</v>
      </c>
      <c r="L2032" s="11">
        <v>5.0000000745058101E-2</v>
      </c>
      <c r="M2032" s="11">
        <v>42.72</v>
      </c>
      <c r="N2032" s="11">
        <f t="shared" si="63"/>
        <v>398.66999999925497</v>
      </c>
    </row>
    <row r="2033" spans="3:14" x14ac:dyDescent="0.3">
      <c r="C2033" s="6">
        <v>44408</v>
      </c>
      <c r="D2033" s="7" t="s">
        <v>12</v>
      </c>
      <c r="E2033" s="8">
        <v>2021</v>
      </c>
      <c r="F2033" s="9" t="s">
        <v>189</v>
      </c>
      <c r="G2033" s="9" t="s">
        <v>16</v>
      </c>
      <c r="H2033" s="10" t="s">
        <v>68</v>
      </c>
      <c r="I2033" s="7">
        <v>14</v>
      </c>
      <c r="J2033" s="11">
        <v>62</v>
      </c>
      <c r="K2033" s="11">
        <f t="shared" si="62"/>
        <v>868</v>
      </c>
      <c r="L2033" s="11">
        <v>0</v>
      </c>
      <c r="M2033" s="11">
        <v>104.16</v>
      </c>
      <c r="N2033" s="11">
        <f t="shared" si="63"/>
        <v>972.16</v>
      </c>
    </row>
    <row r="2034" spans="3:14" x14ac:dyDescent="0.3">
      <c r="C2034" s="6">
        <v>44408</v>
      </c>
      <c r="D2034" s="7" t="s">
        <v>12</v>
      </c>
      <c r="E2034" s="8">
        <v>2021</v>
      </c>
      <c r="F2034" s="9" t="s">
        <v>189</v>
      </c>
      <c r="G2034" s="9" t="s">
        <v>37</v>
      </c>
      <c r="H2034" s="10" t="s">
        <v>63</v>
      </c>
      <c r="I2034" s="7">
        <v>46</v>
      </c>
      <c r="J2034" s="11">
        <v>84</v>
      </c>
      <c r="K2034" s="11">
        <f t="shared" si="62"/>
        <v>3864</v>
      </c>
      <c r="L2034" s="11">
        <v>5.0000000745058101E-2</v>
      </c>
      <c r="M2034" s="11">
        <v>463.68</v>
      </c>
      <c r="N2034" s="11">
        <f t="shared" si="63"/>
        <v>4327.6299999992552</v>
      </c>
    </row>
    <row r="2035" spans="3:14" x14ac:dyDescent="0.3">
      <c r="C2035" s="6">
        <v>44408</v>
      </c>
      <c r="D2035" s="7" t="s">
        <v>12</v>
      </c>
      <c r="E2035" s="8">
        <v>2021</v>
      </c>
      <c r="F2035" s="9" t="s">
        <v>189</v>
      </c>
      <c r="G2035" s="9" t="s">
        <v>14</v>
      </c>
      <c r="H2035" s="10" t="s">
        <v>87</v>
      </c>
      <c r="I2035" s="7">
        <v>12</v>
      </c>
      <c r="J2035" s="11">
        <v>24</v>
      </c>
      <c r="K2035" s="11">
        <f t="shared" si="62"/>
        <v>288</v>
      </c>
      <c r="L2035" s="11">
        <v>5.0000000745058101E-2</v>
      </c>
      <c r="M2035" s="11">
        <v>34.56</v>
      </c>
      <c r="N2035" s="11">
        <f t="shared" si="63"/>
        <v>322.50999999925494</v>
      </c>
    </row>
    <row r="2036" spans="3:14" x14ac:dyDescent="0.3">
      <c r="C2036" s="6">
        <v>44408</v>
      </c>
      <c r="D2036" s="7" t="s">
        <v>12</v>
      </c>
      <c r="E2036" s="8">
        <v>2021</v>
      </c>
      <c r="F2036" s="9" t="s">
        <v>189</v>
      </c>
      <c r="G2036" s="9" t="s">
        <v>14</v>
      </c>
      <c r="H2036" s="10" t="s">
        <v>49</v>
      </c>
      <c r="I2036" s="7">
        <v>11</v>
      </c>
      <c r="J2036" s="11">
        <v>31</v>
      </c>
      <c r="K2036" s="11">
        <f t="shared" si="62"/>
        <v>341</v>
      </c>
      <c r="L2036" s="11">
        <v>0.15000000596046401</v>
      </c>
      <c r="M2036" s="11">
        <v>40.92</v>
      </c>
      <c r="N2036" s="11">
        <f t="shared" si="63"/>
        <v>381.76999999403955</v>
      </c>
    </row>
    <row r="2037" spans="3:14" x14ac:dyDescent="0.3">
      <c r="C2037" s="6">
        <v>44409</v>
      </c>
      <c r="D2037" s="7" t="s">
        <v>81</v>
      </c>
      <c r="E2037" s="8">
        <v>2021</v>
      </c>
      <c r="F2037" s="9" t="s">
        <v>142</v>
      </c>
      <c r="G2037" s="9" t="s">
        <v>26</v>
      </c>
      <c r="H2037" s="10" t="s">
        <v>125</v>
      </c>
      <c r="I2037" s="7">
        <v>19</v>
      </c>
      <c r="J2037" s="11">
        <v>90</v>
      </c>
      <c r="K2037" s="11">
        <f t="shared" si="62"/>
        <v>1710</v>
      </c>
      <c r="L2037" s="11">
        <v>0</v>
      </c>
      <c r="M2037" s="11">
        <v>205.2</v>
      </c>
      <c r="N2037" s="11">
        <f t="shared" si="63"/>
        <v>1915.2</v>
      </c>
    </row>
    <row r="2038" spans="3:14" x14ac:dyDescent="0.3">
      <c r="C2038" s="6">
        <v>44409</v>
      </c>
      <c r="D2038" s="7" t="s">
        <v>81</v>
      </c>
      <c r="E2038" s="8">
        <v>2021</v>
      </c>
      <c r="F2038" s="9" t="s">
        <v>142</v>
      </c>
      <c r="G2038" s="9" t="s">
        <v>16</v>
      </c>
      <c r="H2038" s="10" t="s">
        <v>68</v>
      </c>
      <c r="I2038" s="7">
        <v>80</v>
      </c>
      <c r="J2038" s="11">
        <v>60</v>
      </c>
      <c r="K2038" s="11">
        <f t="shared" si="62"/>
        <v>4800</v>
      </c>
      <c r="L2038" s="11">
        <v>0</v>
      </c>
      <c r="M2038" s="11">
        <v>576</v>
      </c>
      <c r="N2038" s="11">
        <f t="shared" si="63"/>
        <v>5376</v>
      </c>
    </row>
    <row r="2039" spans="3:14" x14ac:dyDescent="0.3">
      <c r="C2039" s="6">
        <v>44409</v>
      </c>
      <c r="D2039" s="7" t="s">
        <v>81</v>
      </c>
      <c r="E2039" s="8">
        <v>2021</v>
      </c>
      <c r="F2039" s="9" t="s">
        <v>142</v>
      </c>
      <c r="G2039" s="9" t="s">
        <v>32</v>
      </c>
      <c r="H2039" s="10" t="s">
        <v>110</v>
      </c>
      <c r="I2039" s="7">
        <v>24</v>
      </c>
      <c r="J2039" s="11">
        <v>85</v>
      </c>
      <c r="K2039" s="11">
        <f t="shared" si="62"/>
        <v>2040</v>
      </c>
      <c r="L2039" s="11">
        <v>0</v>
      </c>
      <c r="M2039" s="11">
        <v>244.79999999999998</v>
      </c>
      <c r="N2039" s="11">
        <f t="shared" si="63"/>
        <v>2284.8000000000002</v>
      </c>
    </row>
    <row r="2040" spans="3:14" x14ac:dyDescent="0.3">
      <c r="C2040" s="6">
        <v>44412</v>
      </c>
      <c r="D2040" s="7" t="s">
        <v>81</v>
      </c>
      <c r="E2040" s="8">
        <v>2021</v>
      </c>
      <c r="F2040" s="9" t="s">
        <v>142</v>
      </c>
      <c r="G2040" s="9" t="s">
        <v>32</v>
      </c>
      <c r="H2040" s="10" t="s">
        <v>59</v>
      </c>
      <c r="I2040" s="7">
        <v>74</v>
      </c>
      <c r="J2040" s="11">
        <v>50</v>
      </c>
      <c r="K2040" s="11">
        <f t="shared" si="62"/>
        <v>3700</v>
      </c>
      <c r="L2040" s="11">
        <v>0</v>
      </c>
      <c r="M2040" s="11">
        <v>444</v>
      </c>
      <c r="N2040" s="11">
        <f t="shared" si="63"/>
        <v>4144</v>
      </c>
    </row>
    <row r="2041" spans="3:14" x14ac:dyDescent="0.3">
      <c r="C2041" s="6">
        <v>44412</v>
      </c>
      <c r="D2041" s="7" t="s">
        <v>81</v>
      </c>
      <c r="E2041" s="8">
        <v>2021</v>
      </c>
      <c r="F2041" s="9" t="s">
        <v>142</v>
      </c>
      <c r="G2041" s="9" t="s">
        <v>16</v>
      </c>
      <c r="H2041" s="10" t="s">
        <v>29</v>
      </c>
      <c r="I2041" s="7">
        <v>15</v>
      </c>
      <c r="J2041" s="11">
        <v>80</v>
      </c>
      <c r="K2041" s="11">
        <f t="shared" si="62"/>
        <v>1200</v>
      </c>
      <c r="L2041" s="11">
        <v>0</v>
      </c>
      <c r="M2041" s="11">
        <v>144</v>
      </c>
      <c r="N2041" s="11">
        <f t="shared" si="63"/>
        <v>1344</v>
      </c>
    </row>
    <row r="2042" spans="3:14" x14ac:dyDescent="0.3">
      <c r="C2042" s="6">
        <v>44413</v>
      </c>
      <c r="D2042" s="7" t="s">
        <v>81</v>
      </c>
      <c r="E2042" s="8">
        <v>2021</v>
      </c>
      <c r="F2042" s="9" t="s">
        <v>184</v>
      </c>
      <c r="G2042" s="9" t="s">
        <v>37</v>
      </c>
      <c r="H2042" s="10" t="s">
        <v>41</v>
      </c>
      <c r="I2042" s="7">
        <v>19</v>
      </c>
      <c r="J2042" s="11">
        <v>23</v>
      </c>
      <c r="K2042" s="11">
        <f t="shared" si="62"/>
        <v>437</v>
      </c>
      <c r="L2042" s="11">
        <v>0</v>
      </c>
      <c r="M2042" s="11">
        <v>52.44</v>
      </c>
      <c r="N2042" s="11">
        <f t="shared" si="63"/>
        <v>489.44</v>
      </c>
    </row>
    <row r="2043" spans="3:14" x14ac:dyDescent="0.3">
      <c r="C2043" s="6">
        <v>44413</v>
      </c>
      <c r="D2043" s="7" t="s">
        <v>81</v>
      </c>
      <c r="E2043" s="8">
        <v>2021</v>
      </c>
      <c r="F2043" s="9" t="s">
        <v>184</v>
      </c>
      <c r="G2043" s="9" t="s">
        <v>16</v>
      </c>
      <c r="H2043" s="10" t="s">
        <v>132</v>
      </c>
      <c r="I2043" s="7">
        <v>54</v>
      </c>
      <c r="J2043" s="11">
        <v>12</v>
      </c>
      <c r="K2043" s="11">
        <f t="shared" si="62"/>
        <v>648</v>
      </c>
      <c r="L2043" s="11">
        <v>0</v>
      </c>
      <c r="M2043" s="11">
        <v>77.759999999999991</v>
      </c>
      <c r="N2043" s="11">
        <f t="shared" si="63"/>
        <v>725.76</v>
      </c>
    </row>
    <row r="2044" spans="3:14" x14ac:dyDescent="0.3">
      <c r="C2044" s="6">
        <v>44413</v>
      </c>
      <c r="D2044" s="7" t="s">
        <v>81</v>
      </c>
      <c r="E2044" s="8">
        <v>2021</v>
      </c>
      <c r="F2044" s="9" t="s">
        <v>129</v>
      </c>
      <c r="G2044" s="9" t="s">
        <v>32</v>
      </c>
      <c r="H2044" s="10" t="s">
        <v>100</v>
      </c>
      <c r="I2044" s="7">
        <v>57</v>
      </c>
      <c r="J2044" s="11">
        <v>98</v>
      </c>
      <c r="K2044" s="11">
        <f t="shared" si="62"/>
        <v>5586</v>
      </c>
      <c r="L2044" s="11">
        <v>0</v>
      </c>
      <c r="M2044" s="11">
        <v>670.31999999999994</v>
      </c>
      <c r="N2044" s="11">
        <f t="shared" si="63"/>
        <v>6256.32</v>
      </c>
    </row>
    <row r="2045" spans="3:14" x14ac:dyDescent="0.3">
      <c r="C2045" s="6">
        <v>44413</v>
      </c>
      <c r="D2045" s="7" t="s">
        <v>81</v>
      </c>
      <c r="E2045" s="8">
        <v>2021</v>
      </c>
      <c r="F2045" s="9" t="s">
        <v>129</v>
      </c>
      <c r="G2045" s="9" t="s">
        <v>16</v>
      </c>
      <c r="H2045" s="10" t="s">
        <v>145</v>
      </c>
      <c r="I2045" s="7">
        <v>8</v>
      </c>
      <c r="J2045" s="11">
        <v>68</v>
      </c>
      <c r="K2045" s="11">
        <f t="shared" si="62"/>
        <v>544</v>
      </c>
      <c r="L2045" s="11">
        <v>0</v>
      </c>
      <c r="M2045" s="11">
        <v>65.28</v>
      </c>
      <c r="N2045" s="11">
        <f t="shared" si="63"/>
        <v>609.28</v>
      </c>
    </row>
    <row r="2046" spans="3:14" x14ac:dyDescent="0.3">
      <c r="C2046" s="6">
        <v>44413</v>
      </c>
      <c r="D2046" s="7" t="s">
        <v>81</v>
      </c>
      <c r="E2046" s="8">
        <v>2021</v>
      </c>
      <c r="F2046" s="9" t="s">
        <v>129</v>
      </c>
      <c r="G2046" s="9" t="s">
        <v>37</v>
      </c>
      <c r="H2046" s="10" t="s">
        <v>63</v>
      </c>
      <c r="I2046" s="7">
        <v>47</v>
      </c>
      <c r="J2046" s="11">
        <v>22</v>
      </c>
      <c r="K2046" s="11">
        <f t="shared" si="62"/>
        <v>1034</v>
      </c>
      <c r="L2046" s="11">
        <v>0</v>
      </c>
      <c r="M2046" s="11">
        <v>124.08</v>
      </c>
      <c r="N2046" s="11">
        <f t="shared" si="63"/>
        <v>1158.08</v>
      </c>
    </row>
    <row r="2047" spans="3:14" x14ac:dyDescent="0.3">
      <c r="C2047" s="6">
        <v>44413</v>
      </c>
      <c r="D2047" s="7" t="s">
        <v>81</v>
      </c>
      <c r="E2047" s="8">
        <v>2021</v>
      </c>
      <c r="F2047" s="9" t="s">
        <v>129</v>
      </c>
      <c r="G2047" s="9" t="s">
        <v>14</v>
      </c>
      <c r="H2047" s="10" t="s">
        <v>87</v>
      </c>
      <c r="I2047" s="7">
        <v>81</v>
      </c>
      <c r="J2047" s="11">
        <v>38</v>
      </c>
      <c r="K2047" s="11">
        <f t="shared" si="62"/>
        <v>3078</v>
      </c>
      <c r="L2047" s="11">
        <v>0</v>
      </c>
      <c r="M2047" s="11">
        <v>369.36</v>
      </c>
      <c r="N2047" s="11">
        <f t="shared" si="63"/>
        <v>3447.36</v>
      </c>
    </row>
    <row r="2048" spans="3:14" x14ac:dyDescent="0.3">
      <c r="C2048" s="6">
        <v>44414</v>
      </c>
      <c r="D2048" s="7" t="s">
        <v>81</v>
      </c>
      <c r="E2048" s="8">
        <v>2021</v>
      </c>
      <c r="F2048" s="9" t="s">
        <v>105</v>
      </c>
      <c r="G2048" s="9" t="s">
        <v>37</v>
      </c>
      <c r="H2048" s="10" t="s">
        <v>46</v>
      </c>
      <c r="I2048" s="7">
        <v>45</v>
      </c>
      <c r="J2048" s="11">
        <v>16</v>
      </c>
      <c r="K2048" s="11">
        <f t="shared" si="62"/>
        <v>720</v>
      </c>
      <c r="L2048" s="11">
        <v>0</v>
      </c>
      <c r="M2048" s="11">
        <v>86.399999999999991</v>
      </c>
      <c r="N2048" s="11">
        <f t="shared" si="63"/>
        <v>806.4</v>
      </c>
    </row>
    <row r="2049" spans="3:14" x14ac:dyDescent="0.3">
      <c r="C2049" s="6">
        <v>44414</v>
      </c>
      <c r="D2049" s="7" t="s">
        <v>81</v>
      </c>
      <c r="E2049" s="8">
        <v>2021</v>
      </c>
      <c r="F2049" s="9" t="s">
        <v>105</v>
      </c>
      <c r="G2049" s="9" t="s">
        <v>32</v>
      </c>
      <c r="H2049" s="10" t="s">
        <v>110</v>
      </c>
      <c r="I2049" s="7">
        <v>32</v>
      </c>
      <c r="J2049" s="11">
        <v>100</v>
      </c>
      <c r="K2049" s="11">
        <f t="shared" si="62"/>
        <v>3200</v>
      </c>
      <c r="L2049" s="11">
        <v>0.20000000298023199</v>
      </c>
      <c r="M2049" s="11">
        <v>384</v>
      </c>
      <c r="N2049" s="11">
        <f t="shared" si="63"/>
        <v>3583.7999999970198</v>
      </c>
    </row>
    <row r="2050" spans="3:14" x14ac:dyDescent="0.3">
      <c r="C2050" s="6">
        <v>44415</v>
      </c>
      <c r="D2050" s="7" t="s">
        <v>81</v>
      </c>
      <c r="E2050" s="8">
        <v>2021</v>
      </c>
      <c r="F2050" s="9" t="s">
        <v>75</v>
      </c>
      <c r="G2050" s="9" t="s">
        <v>20</v>
      </c>
      <c r="H2050" s="10" t="s">
        <v>136</v>
      </c>
      <c r="I2050" s="7">
        <v>89</v>
      </c>
      <c r="J2050" s="11">
        <v>22</v>
      </c>
      <c r="K2050" s="11">
        <f t="shared" si="62"/>
        <v>1958</v>
      </c>
      <c r="L2050" s="11">
        <v>0</v>
      </c>
      <c r="M2050" s="11">
        <v>234.95999999999998</v>
      </c>
      <c r="N2050" s="11">
        <f t="shared" si="63"/>
        <v>2192.96</v>
      </c>
    </row>
    <row r="2051" spans="3:14" x14ac:dyDescent="0.3">
      <c r="C2051" s="6">
        <v>44415</v>
      </c>
      <c r="D2051" s="7" t="s">
        <v>81</v>
      </c>
      <c r="E2051" s="8">
        <v>2021</v>
      </c>
      <c r="F2051" s="9" t="s">
        <v>75</v>
      </c>
      <c r="G2051" s="9" t="s">
        <v>32</v>
      </c>
      <c r="H2051" s="10" t="s">
        <v>100</v>
      </c>
      <c r="I2051" s="7">
        <v>38</v>
      </c>
      <c r="J2051" s="11">
        <v>29</v>
      </c>
      <c r="K2051" s="11">
        <f t="shared" ref="K2051:K2114" si="64">J2051*I2051</f>
        <v>1102</v>
      </c>
      <c r="L2051" s="11">
        <v>0.10000000149011599</v>
      </c>
      <c r="M2051" s="11">
        <v>132.24</v>
      </c>
      <c r="N2051" s="11">
        <f t="shared" ref="N2051:N2114" si="65">K2051-L2051+M2051</f>
        <v>1234.1399999985099</v>
      </c>
    </row>
    <row r="2052" spans="3:14" x14ac:dyDescent="0.3">
      <c r="C2052" s="6">
        <v>44415</v>
      </c>
      <c r="D2052" s="7" t="s">
        <v>81</v>
      </c>
      <c r="E2052" s="8">
        <v>2021</v>
      </c>
      <c r="F2052" s="9" t="s">
        <v>75</v>
      </c>
      <c r="G2052" s="9" t="s">
        <v>32</v>
      </c>
      <c r="H2052" s="10" t="s">
        <v>59</v>
      </c>
      <c r="I2052" s="7">
        <v>43</v>
      </c>
      <c r="J2052" s="11">
        <v>79</v>
      </c>
      <c r="K2052" s="11">
        <f t="shared" si="64"/>
        <v>3397</v>
      </c>
      <c r="L2052" s="11">
        <v>0.10000000149011599</v>
      </c>
      <c r="M2052" s="11">
        <v>407.64</v>
      </c>
      <c r="N2052" s="11">
        <f t="shared" si="65"/>
        <v>3804.5399999985098</v>
      </c>
    </row>
    <row r="2053" spans="3:14" x14ac:dyDescent="0.3">
      <c r="C2053" s="6">
        <v>44415</v>
      </c>
      <c r="D2053" s="7" t="s">
        <v>81</v>
      </c>
      <c r="E2053" s="8">
        <v>2021</v>
      </c>
      <c r="F2053" s="9" t="s">
        <v>75</v>
      </c>
      <c r="G2053" s="9" t="s">
        <v>37</v>
      </c>
      <c r="H2053" s="10" t="s">
        <v>41</v>
      </c>
      <c r="I2053" s="7">
        <v>98</v>
      </c>
      <c r="J2053" s="11">
        <v>13</v>
      </c>
      <c r="K2053" s="11">
        <f t="shared" si="64"/>
        <v>1274</v>
      </c>
      <c r="L2053" s="11">
        <v>0</v>
      </c>
      <c r="M2053" s="11">
        <v>152.88</v>
      </c>
      <c r="N2053" s="11">
        <f t="shared" si="65"/>
        <v>1426.88</v>
      </c>
    </row>
    <row r="2054" spans="3:14" x14ac:dyDescent="0.3">
      <c r="C2054" s="6">
        <v>44415</v>
      </c>
      <c r="D2054" s="7" t="s">
        <v>81</v>
      </c>
      <c r="E2054" s="8">
        <v>2021</v>
      </c>
      <c r="F2054" s="9" t="s">
        <v>75</v>
      </c>
      <c r="G2054" s="9" t="s">
        <v>37</v>
      </c>
      <c r="H2054" s="10" t="s">
        <v>65</v>
      </c>
      <c r="I2054" s="7">
        <v>82</v>
      </c>
      <c r="J2054" s="11">
        <v>87</v>
      </c>
      <c r="K2054" s="11">
        <f t="shared" si="64"/>
        <v>7134</v>
      </c>
      <c r="L2054" s="11">
        <v>0.10000000149011599</v>
      </c>
      <c r="M2054" s="11">
        <v>856.07999999999993</v>
      </c>
      <c r="N2054" s="11">
        <f t="shared" si="65"/>
        <v>7989.9799999985098</v>
      </c>
    </row>
    <row r="2055" spans="3:14" x14ac:dyDescent="0.3">
      <c r="C2055" s="6">
        <v>44415</v>
      </c>
      <c r="D2055" s="7" t="s">
        <v>81</v>
      </c>
      <c r="E2055" s="8">
        <v>2021</v>
      </c>
      <c r="F2055" s="9" t="s">
        <v>194</v>
      </c>
      <c r="G2055" s="9" t="s">
        <v>20</v>
      </c>
      <c r="H2055" s="10" t="s">
        <v>92</v>
      </c>
      <c r="I2055" s="7">
        <v>30</v>
      </c>
      <c r="J2055" s="11">
        <v>62</v>
      </c>
      <c r="K2055" s="11">
        <f t="shared" si="64"/>
        <v>1860</v>
      </c>
      <c r="L2055" s="11">
        <v>0</v>
      </c>
      <c r="M2055" s="11">
        <v>223.2</v>
      </c>
      <c r="N2055" s="11">
        <f t="shared" si="65"/>
        <v>2083.1999999999998</v>
      </c>
    </row>
    <row r="2056" spans="3:14" x14ac:dyDescent="0.3">
      <c r="C2056" s="6">
        <v>44415</v>
      </c>
      <c r="D2056" s="7" t="s">
        <v>81</v>
      </c>
      <c r="E2056" s="8">
        <v>2021</v>
      </c>
      <c r="F2056" s="9" t="s">
        <v>194</v>
      </c>
      <c r="G2056" s="9" t="s">
        <v>42</v>
      </c>
      <c r="H2056" s="10" t="s">
        <v>79</v>
      </c>
      <c r="I2056" s="7">
        <v>62</v>
      </c>
      <c r="J2056" s="11">
        <v>17</v>
      </c>
      <c r="K2056" s="11">
        <f t="shared" si="64"/>
        <v>1054</v>
      </c>
      <c r="L2056" s="11">
        <v>0</v>
      </c>
      <c r="M2056" s="11">
        <v>126.47999999999999</v>
      </c>
      <c r="N2056" s="11">
        <f t="shared" si="65"/>
        <v>1180.48</v>
      </c>
    </row>
    <row r="2057" spans="3:14" x14ac:dyDescent="0.3">
      <c r="C2057" s="6">
        <v>44415</v>
      </c>
      <c r="D2057" s="7" t="s">
        <v>81</v>
      </c>
      <c r="E2057" s="8">
        <v>2021</v>
      </c>
      <c r="F2057" s="9" t="s">
        <v>194</v>
      </c>
      <c r="G2057" s="9" t="s">
        <v>26</v>
      </c>
      <c r="H2057" s="10" t="s">
        <v>94</v>
      </c>
      <c r="I2057" s="7">
        <v>59</v>
      </c>
      <c r="J2057" s="11">
        <v>42</v>
      </c>
      <c r="K2057" s="11">
        <f t="shared" si="64"/>
        <v>2478</v>
      </c>
      <c r="L2057" s="11">
        <v>0</v>
      </c>
      <c r="M2057" s="11">
        <v>297.36</v>
      </c>
      <c r="N2057" s="11">
        <f t="shared" si="65"/>
        <v>2775.36</v>
      </c>
    </row>
    <row r="2058" spans="3:14" x14ac:dyDescent="0.3">
      <c r="C2058" s="6">
        <v>44416</v>
      </c>
      <c r="D2058" s="7" t="s">
        <v>81</v>
      </c>
      <c r="E2058" s="8">
        <v>2021</v>
      </c>
      <c r="F2058" s="9" t="s">
        <v>123</v>
      </c>
      <c r="G2058" s="9" t="s">
        <v>20</v>
      </c>
      <c r="H2058" s="10" t="s">
        <v>136</v>
      </c>
      <c r="I2058" s="7">
        <v>91</v>
      </c>
      <c r="J2058" s="11">
        <v>46</v>
      </c>
      <c r="K2058" s="11">
        <f t="shared" si="64"/>
        <v>4186</v>
      </c>
      <c r="L2058" s="11">
        <v>0</v>
      </c>
      <c r="M2058" s="11">
        <v>502.32</v>
      </c>
      <c r="N2058" s="11">
        <f t="shared" si="65"/>
        <v>4688.32</v>
      </c>
    </row>
    <row r="2059" spans="3:14" x14ac:dyDescent="0.3">
      <c r="C2059" s="6">
        <v>44416</v>
      </c>
      <c r="D2059" s="7" t="s">
        <v>81</v>
      </c>
      <c r="E2059" s="8">
        <v>2021</v>
      </c>
      <c r="F2059" s="9" t="s">
        <v>123</v>
      </c>
      <c r="G2059" s="9" t="s">
        <v>16</v>
      </c>
      <c r="H2059" s="10" t="s">
        <v>17</v>
      </c>
      <c r="I2059" s="7">
        <v>33</v>
      </c>
      <c r="J2059" s="11">
        <v>12</v>
      </c>
      <c r="K2059" s="11">
        <f t="shared" si="64"/>
        <v>396</v>
      </c>
      <c r="L2059" s="11">
        <v>0</v>
      </c>
      <c r="M2059" s="11">
        <v>47.519999999999996</v>
      </c>
      <c r="N2059" s="11">
        <f t="shared" si="65"/>
        <v>443.52</v>
      </c>
    </row>
    <row r="2060" spans="3:14" x14ac:dyDescent="0.3">
      <c r="C2060" s="6">
        <v>44416</v>
      </c>
      <c r="D2060" s="7" t="s">
        <v>81</v>
      </c>
      <c r="E2060" s="8">
        <v>2021</v>
      </c>
      <c r="F2060" s="9" t="s">
        <v>123</v>
      </c>
      <c r="G2060" s="9" t="s">
        <v>14</v>
      </c>
      <c r="H2060" s="10" t="s">
        <v>35</v>
      </c>
      <c r="I2060" s="7">
        <v>29</v>
      </c>
      <c r="J2060" s="11">
        <v>10</v>
      </c>
      <c r="K2060" s="11">
        <f t="shared" si="64"/>
        <v>290</v>
      </c>
      <c r="L2060" s="11">
        <v>0</v>
      </c>
      <c r="M2060" s="11">
        <v>34.799999999999997</v>
      </c>
      <c r="N2060" s="11">
        <f t="shared" si="65"/>
        <v>324.8</v>
      </c>
    </row>
    <row r="2061" spans="3:14" x14ac:dyDescent="0.3">
      <c r="C2061" s="6">
        <v>44419</v>
      </c>
      <c r="D2061" s="7" t="s">
        <v>81</v>
      </c>
      <c r="E2061" s="8">
        <v>2021</v>
      </c>
      <c r="F2061" s="9" t="s">
        <v>93</v>
      </c>
      <c r="G2061" s="9" t="s">
        <v>42</v>
      </c>
      <c r="H2061" s="10" t="s">
        <v>51</v>
      </c>
      <c r="I2061" s="7">
        <v>60</v>
      </c>
      <c r="J2061" s="11">
        <v>16</v>
      </c>
      <c r="K2061" s="11">
        <f t="shared" si="64"/>
        <v>960</v>
      </c>
      <c r="L2061" s="11">
        <v>0</v>
      </c>
      <c r="M2061" s="11">
        <v>115.19999999999999</v>
      </c>
      <c r="N2061" s="11">
        <f t="shared" si="65"/>
        <v>1075.2</v>
      </c>
    </row>
    <row r="2062" spans="3:14" x14ac:dyDescent="0.3">
      <c r="C2062" s="6">
        <v>44419</v>
      </c>
      <c r="D2062" s="7" t="s">
        <v>81</v>
      </c>
      <c r="E2062" s="8">
        <v>2021</v>
      </c>
      <c r="F2062" s="9" t="s">
        <v>93</v>
      </c>
      <c r="G2062" s="9" t="s">
        <v>14</v>
      </c>
      <c r="H2062" s="10" t="s">
        <v>35</v>
      </c>
      <c r="I2062" s="7">
        <v>18</v>
      </c>
      <c r="J2062" s="11">
        <v>75</v>
      </c>
      <c r="K2062" s="11">
        <f t="shared" si="64"/>
        <v>1350</v>
      </c>
      <c r="L2062" s="11">
        <v>0</v>
      </c>
      <c r="M2062" s="11">
        <v>162</v>
      </c>
      <c r="N2062" s="11">
        <f t="shared" si="65"/>
        <v>1512</v>
      </c>
    </row>
    <row r="2063" spans="3:14" x14ac:dyDescent="0.3">
      <c r="C2063" s="6">
        <v>44419</v>
      </c>
      <c r="D2063" s="7" t="s">
        <v>81</v>
      </c>
      <c r="E2063" s="8">
        <v>2021</v>
      </c>
      <c r="F2063" s="9" t="s">
        <v>93</v>
      </c>
      <c r="G2063" s="9" t="s">
        <v>14</v>
      </c>
      <c r="H2063" s="10" t="s">
        <v>87</v>
      </c>
      <c r="I2063" s="7">
        <v>22</v>
      </c>
      <c r="J2063" s="11">
        <v>53</v>
      </c>
      <c r="K2063" s="11">
        <f t="shared" si="64"/>
        <v>1166</v>
      </c>
      <c r="L2063" s="11">
        <v>0</v>
      </c>
      <c r="M2063" s="11">
        <v>139.91999999999999</v>
      </c>
      <c r="N2063" s="11">
        <f t="shared" si="65"/>
        <v>1305.92</v>
      </c>
    </row>
    <row r="2064" spans="3:14" x14ac:dyDescent="0.3">
      <c r="C2064" s="6">
        <v>44419</v>
      </c>
      <c r="D2064" s="7" t="s">
        <v>81</v>
      </c>
      <c r="E2064" s="8">
        <v>2021</v>
      </c>
      <c r="F2064" s="9" t="s">
        <v>135</v>
      </c>
      <c r="G2064" s="9" t="s">
        <v>32</v>
      </c>
      <c r="H2064" s="10" t="s">
        <v>62</v>
      </c>
      <c r="I2064" s="7">
        <v>50</v>
      </c>
      <c r="J2064" s="11">
        <v>65</v>
      </c>
      <c r="K2064" s="11">
        <f t="shared" si="64"/>
        <v>3250</v>
      </c>
      <c r="L2064" s="11">
        <v>0</v>
      </c>
      <c r="M2064" s="11">
        <v>390</v>
      </c>
      <c r="N2064" s="11">
        <f t="shared" si="65"/>
        <v>3640</v>
      </c>
    </row>
    <row r="2065" spans="3:14" x14ac:dyDescent="0.3">
      <c r="C2065" s="6">
        <v>44419</v>
      </c>
      <c r="D2065" s="7" t="s">
        <v>81</v>
      </c>
      <c r="E2065" s="8">
        <v>2021</v>
      </c>
      <c r="F2065" s="9" t="s">
        <v>135</v>
      </c>
      <c r="G2065" s="9" t="s">
        <v>24</v>
      </c>
      <c r="H2065" s="10" t="s">
        <v>96</v>
      </c>
      <c r="I2065" s="7">
        <v>71</v>
      </c>
      <c r="J2065" s="11">
        <v>69</v>
      </c>
      <c r="K2065" s="11">
        <f t="shared" si="64"/>
        <v>4899</v>
      </c>
      <c r="L2065" s="11">
        <v>0.15000000596046401</v>
      </c>
      <c r="M2065" s="11">
        <v>587.88</v>
      </c>
      <c r="N2065" s="11">
        <f t="shared" si="65"/>
        <v>5486.7299999940396</v>
      </c>
    </row>
    <row r="2066" spans="3:14" x14ac:dyDescent="0.3">
      <c r="C2066" s="6">
        <v>44420</v>
      </c>
      <c r="D2066" s="7" t="s">
        <v>81</v>
      </c>
      <c r="E2066" s="8">
        <v>2021</v>
      </c>
      <c r="F2066" s="9" t="s">
        <v>71</v>
      </c>
      <c r="G2066" s="9" t="s">
        <v>37</v>
      </c>
      <c r="H2066" s="10" t="s">
        <v>104</v>
      </c>
      <c r="I2066" s="7">
        <v>62</v>
      </c>
      <c r="J2066" s="11">
        <v>67</v>
      </c>
      <c r="K2066" s="11">
        <f t="shared" si="64"/>
        <v>4154</v>
      </c>
      <c r="L2066" s="11">
        <v>0</v>
      </c>
      <c r="M2066" s="11">
        <v>498.47999999999996</v>
      </c>
      <c r="N2066" s="11">
        <f t="shared" si="65"/>
        <v>4652.4799999999996</v>
      </c>
    </row>
    <row r="2067" spans="3:14" x14ac:dyDescent="0.3">
      <c r="C2067" s="6">
        <v>44420</v>
      </c>
      <c r="D2067" s="7" t="s">
        <v>81</v>
      </c>
      <c r="E2067" s="8">
        <v>2021</v>
      </c>
      <c r="F2067" s="9" t="s">
        <v>121</v>
      </c>
      <c r="G2067" s="9" t="s">
        <v>42</v>
      </c>
      <c r="H2067" s="10" t="s">
        <v>79</v>
      </c>
      <c r="I2067" s="7">
        <v>85</v>
      </c>
      <c r="J2067" s="11">
        <v>72</v>
      </c>
      <c r="K2067" s="11">
        <f t="shared" si="64"/>
        <v>6120</v>
      </c>
      <c r="L2067" s="11">
        <v>0</v>
      </c>
      <c r="M2067" s="11">
        <v>734.4</v>
      </c>
      <c r="N2067" s="11">
        <f t="shared" si="65"/>
        <v>6854.4</v>
      </c>
    </row>
    <row r="2068" spans="3:14" x14ac:dyDescent="0.3">
      <c r="C2068" s="6">
        <v>44420</v>
      </c>
      <c r="D2068" s="7" t="s">
        <v>81</v>
      </c>
      <c r="E2068" s="8">
        <v>2021</v>
      </c>
      <c r="F2068" s="9" t="s">
        <v>121</v>
      </c>
      <c r="G2068" s="9" t="s">
        <v>16</v>
      </c>
      <c r="H2068" s="10" t="s">
        <v>113</v>
      </c>
      <c r="I2068" s="7">
        <v>21</v>
      </c>
      <c r="J2068" s="11">
        <v>75</v>
      </c>
      <c r="K2068" s="11">
        <f t="shared" si="64"/>
        <v>1575</v>
      </c>
      <c r="L2068" s="11">
        <v>0</v>
      </c>
      <c r="M2068" s="11">
        <v>189</v>
      </c>
      <c r="N2068" s="11">
        <f t="shared" si="65"/>
        <v>1764</v>
      </c>
    </row>
    <row r="2069" spans="3:14" x14ac:dyDescent="0.3">
      <c r="C2069" s="6">
        <v>44421</v>
      </c>
      <c r="D2069" s="7" t="s">
        <v>81</v>
      </c>
      <c r="E2069" s="8">
        <v>2021</v>
      </c>
      <c r="F2069" s="9" t="s">
        <v>133</v>
      </c>
      <c r="G2069" s="9" t="s">
        <v>42</v>
      </c>
      <c r="H2069" s="10" t="s">
        <v>43</v>
      </c>
      <c r="I2069" s="7">
        <v>83</v>
      </c>
      <c r="J2069" s="11">
        <v>23</v>
      </c>
      <c r="K2069" s="11">
        <f t="shared" si="64"/>
        <v>1909</v>
      </c>
      <c r="L2069" s="11">
        <v>5.0000000745058101E-2</v>
      </c>
      <c r="M2069" s="11">
        <v>229.07999999999998</v>
      </c>
      <c r="N2069" s="11">
        <f t="shared" si="65"/>
        <v>2138.0299999992549</v>
      </c>
    </row>
    <row r="2070" spans="3:14" x14ac:dyDescent="0.3">
      <c r="C2070" s="6">
        <v>44421</v>
      </c>
      <c r="D2070" s="7" t="s">
        <v>81</v>
      </c>
      <c r="E2070" s="8">
        <v>2021</v>
      </c>
      <c r="F2070" s="9" t="s">
        <v>133</v>
      </c>
      <c r="G2070" s="9" t="s">
        <v>37</v>
      </c>
      <c r="H2070" s="10" t="s">
        <v>77</v>
      </c>
      <c r="I2070" s="7">
        <v>35</v>
      </c>
      <c r="J2070" s="11">
        <v>83</v>
      </c>
      <c r="K2070" s="11">
        <f t="shared" si="64"/>
        <v>2905</v>
      </c>
      <c r="L2070" s="11">
        <v>0</v>
      </c>
      <c r="M2070" s="11">
        <v>348.59999999999997</v>
      </c>
      <c r="N2070" s="11">
        <f t="shared" si="65"/>
        <v>3253.6</v>
      </c>
    </row>
    <row r="2071" spans="3:14" x14ac:dyDescent="0.3">
      <c r="C2071" s="6">
        <v>44422</v>
      </c>
      <c r="D2071" s="7" t="s">
        <v>81</v>
      </c>
      <c r="E2071" s="8">
        <v>2021</v>
      </c>
      <c r="F2071" s="9" t="s">
        <v>150</v>
      </c>
      <c r="G2071" s="9" t="s">
        <v>37</v>
      </c>
      <c r="H2071" s="10" t="s">
        <v>98</v>
      </c>
      <c r="I2071" s="7">
        <v>76</v>
      </c>
      <c r="J2071" s="11">
        <v>29</v>
      </c>
      <c r="K2071" s="11">
        <f t="shared" si="64"/>
        <v>2204</v>
      </c>
      <c r="L2071" s="11">
        <v>0.10000000149011599</v>
      </c>
      <c r="M2071" s="11">
        <v>264.48</v>
      </c>
      <c r="N2071" s="11">
        <f t="shared" si="65"/>
        <v>2468.3799999985099</v>
      </c>
    </row>
    <row r="2072" spans="3:14" x14ac:dyDescent="0.3">
      <c r="C2072" s="6">
        <v>44422</v>
      </c>
      <c r="D2072" s="7" t="s">
        <v>81</v>
      </c>
      <c r="E2072" s="8">
        <v>2021</v>
      </c>
      <c r="F2072" s="9" t="s">
        <v>120</v>
      </c>
      <c r="G2072" s="9" t="s">
        <v>37</v>
      </c>
      <c r="H2072" s="10" t="s">
        <v>46</v>
      </c>
      <c r="I2072" s="7">
        <v>5</v>
      </c>
      <c r="J2072" s="11">
        <v>46</v>
      </c>
      <c r="K2072" s="11">
        <f t="shared" si="64"/>
        <v>230</v>
      </c>
      <c r="L2072" s="11">
        <v>5.0000000745058101E-2</v>
      </c>
      <c r="M2072" s="11">
        <v>27.599999999999998</v>
      </c>
      <c r="N2072" s="11">
        <f t="shared" si="65"/>
        <v>257.54999999925496</v>
      </c>
    </row>
    <row r="2073" spans="3:14" x14ac:dyDescent="0.3">
      <c r="C2073" s="6">
        <v>44422</v>
      </c>
      <c r="D2073" s="7" t="s">
        <v>81</v>
      </c>
      <c r="E2073" s="8">
        <v>2021</v>
      </c>
      <c r="F2073" s="9" t="s">
        <v>120</v>
      </c>
      <c r="G2073" s="9" t="s">
        <v>14</v>
      </c>
      <c r="H2073" s="10" t="s">
        <v>34</v>
      </c>
      <c r="I2073" s="7">
        <v>57</v>
      </c>
      <c r="J2073" s="11">
        <v>74</v>
      </c>
      <c r="K2073" s="11">
        <f t="shared" si="64"/>
        <v>4218</v>
      </c>
      <c r="L2073" s="11">
        <v>5.0000000745058101E-2</v>
      </c>
      <c r="M2073" s="11">
        <v>506.15999999999997</v>
      </c>
      <c r="N2073" s="11">
        <f t="shared" si="65"/>
        <v>4724.1099999992548</v>
      </c>
    </row>
    <row r="2074" spans="3:14" x14ac:dyDescent="0.3">
      <c r="C2074" s="6">
        <v>44423</v>
      </c>
      <c r="D2074" s="7" t="s">
        <v>81</v>
      </c>
      <c r="E2074" s="8">
        <v>2021</v>
      </c>
      <c r="F2074" s="9" t="s">
        <v>55</v>
      </c>
      <c r="G2074" s="9" t="s">
        <v>14</v>
      </c>
      <c r="H2074" s="10" t="s">
        <v>74</v>
      </c>
      <c r="I2074" s="7">
        <v>29</v>
      </c>
      <c r="J2074" s="11">
        <v>78</v>
      </c>
      <c r="K2074" s="11">
        <f t="shared" si="64"/>
        <v>2262</v>
      </c>
      <c r="L2074" s="11">
        <v>0.15000000596046401</v>
      </c>
      <c r="M2074" s="11">
        <v>271.44</v>
      </c>
      <c r="N2074" s="11">
        <f t="shared" si="65"/>
        <v>2533.2899999940396</v>
      </c>
    </row>
    <row r="2075" spans="3:14" x14ac:dyDescent="0.3">
      <c r="C2075" s="6">
        <v>44423</v>
      </c>
      <c r="D2075" s="7" t="s">
        <v>81</v>
      </c>
      <c r="E2075" s="8">
        <v>2021</v>
      </c>
      <c r="F2075" s="9" t="s">
        <v>55</v>
      </c>
      <c r="G2075" s="9" t="s">
        <v>24</v>
      </c>
      <c r="H2075" s="10" t="s">
        <v>90</v>
      </c>
      <c r="I2075" s="7">
        <v>36</v>
      </c>
      <c r="J2075" s="11">
        <v>40</v>
      </c>
      <c r="K2075" s="11">
        <f t="shared" si="64"/>
        <v>1440</v>
      </c>
      <c r="L2075" s="11">
        <v>0.15000000596046401</v>
      </c>
      <c r="M2075" s="11">
        <v>172.79999999999998</v>
      </c>
      <c r="N2075" s="11">
        <f t="shared" si="65"/>
        <v>1612.6499999940395</v>
      </c>
    </row>
    <row r="2076" spans="3:14" x14ac:dyDescent="0.3">
      <c r="C2076" s="6">
        <v>44423</v>
      </c>
      <c r="D2076" s="7" t="s">
        <v>81</v>
      </c>
      <c r="E2076" s="8">
        <v>2021</v>
      </c>
      <c r="F2076" s="9" t="s">
        <v>55</v>
      </c>
      <c r="G2076" s="9" t="s">
        <v>32</v>
      </c>
      <c r="H2076" s="10" t="s">
        <v>140</v>
      </c>
      <c r="I2076" s="7">
        <v>10</v>
      </c>
      <c r="J2076" s="11">
        <v>14</v>
      </c>
      <c r="K2076" s="11">
        <f t="shared" si="64"/>
        <v>140</v>
      </c>
      <c r="L2076" s="11">
        <v>0.15000000596046401</v>
      </c>
      <c r="M2076" s="11">
        <v>16.8</v>
      </c>
      <c r="N2076" s="11">
        <f t="shared" si="65"/>
        <v>156.64999999403955</v>
      </c>
    </row>
    <row r="2077" spans="3:14" x14ac:dyDescent="0.3">
      <c r="C2077" s="6">
        <v>44423</v>
      </c>
      <c r="D2077" s="7" t="s">
        <v>81</v>
      </c>
      <c r="E2077" s="8">
        <v>2021</v>
      </c>
      <c r="F2077" s="9" t="s">
        <v>55</v>
      </c>
      <c r="G2077" s="9" t="s">
        <v>32</v>
      </c>
      <c r="H2077" s="10" t="s">
        <v>62</v>
      </c>
      <c r="I2077" s="7">
        <v>19</v>
      </c>
      <c r="J2077" s="11">
        <v>57</v>
      </c>
      <c r="K2077" s="11">
        <f t="shared" si="64"/>
        <v>1083</v>
      </c>
      <c r="L2077" s="11">
        <v>0.15000000596046401</v>
      </c>
      <c r="M2077" s="11">
        <v>129.96</v>
      </c>
      <c r="N2077" s="11">
        <f t="shared" si="65"/>
        <v>1212.8099999940396</v>
      </c>
    </row>
    <row r="2078" spans="3:14" x14ac:dyDescent="0.3">
      <c r="C2078" s="6">
        <v>44423</v>
      </c>
      <c r="D2078" s="7" t="s">
        <v>81</v>
      </c>
      <c r="E2078" s="8">
        <v>2021</v>
      </c>
      <c r="F2078" s="9" t="s">
        <v>171</v>
      </c>
      <c r="G2078" s="9" t="s">
        <v>20</v>
      </c>
      <c r="H2078" s="10" t="s">
        <v>67</v>
      </c>
      <c r="I2078" s="7">
        <v>38</v>
      </c>
      <c r="J2078" s="11">
        <v>14</v>
      </c>
      <c r="K2078" s="11">
        <f t="shared" si="64"/>
        <v>532</v>
      </c>
      <c r="L2078" s="11">
        <v>0</v>
      </c>
      <c r="M2078" s="11">
        <v>63.839999999999996</v>
      </c>
      <c r="N2078" s="11">
        <f t="shared" si="65"/>
        <v>595.84</v>
      </c>
    </row>
    <row r="2079" spans="3:14" x14ac:dyDescent="0.3">
      <c r="C2079" s="6">
        <v>44423</v>
      </c>
      <c r="D2079" s="7" t="s">
        <v>81</v>
      </c>
      <c r="E2079" s="8">
        <v>2021</v>
      </c>
      <c r="F2079" s="9" t="s">
        <v>171</v>
      </c>
      <c r="G2079" s="9" t="s">
        <v>24</v>
      </c>
      <c r="H2079" s="10" t="s">
        <v>115</v>
      </c>
      <c r="I2079" s="7">
        <v>89</v>
      </c>
      <c r="J2079" s="11">
        <v>24</v>
      </c>
      <c r="K2079" s="11">
        <f t="shared" si="64"/>
        <v>2136</v>
      </c>
      <c r="L2079" s="11">
        <v>0</v>
      </c>
      <c r="M2079" s="11">
        <v>256.32</v>
      </c>
      <c r="N2079" s="11">
        <f t="shared" si="65"/>
        <v>2392.3200000000002</v>
      </c>
    </row>
    <row r="2080" spans="3:14" x14ac:dyDescent="0.3">
      <c r="C2080" s="6">
        <v>44423</v>
      </c>
      <c r="D2080" s="7" t="s">
        <v>81</v>
      </c>
      <c r="E2080" s="8">
        <v>2021</v>
      </c>
      <c r="F2080" s="9" t="s">
        <v>171</v>
      </c>
      <c r="G2080" s="9" t="s">
        <v>20</v>
      </c>
      <c r="H2080" s="10" t="s">
        <v>22</v>
      </c>
      <c r="I2080" s="7">
        <v>5</v>
      </c>
      <c r="J2080" s="11">
        <v>80</v>
      </c>
      <c r="K2080" s="11">
        <f t="shared" si="64"/>
        <v>400</v>
      </c>
      <c r="L2080" s="11">
        <v>0</v>
      </c>
      <c r="M2080" s="11">
        <v>48</v>
      </c>
      <c r="N2080" s="11">
        <f t="shared" si="65"/>
        <v>448</v>
      </c>
    </row>
    <row r="2081" spans="3:14" x14ac:dyDescent="0.3">
      <c r="C2081" s="6">
        <v>44423</v>
      </c>
      <c r="D2081" s="7" t="s">
        <v>81</v>
      </c>
      <c r="E2081" s="8">
        <v>2021</v>
      </c>
      <c r="F2081" s="9" t="s">
        <v>171</v>
      </c>
      <c r="G2081" s="9" t="s">
        <v>37</v>
      </c>
      <c r="H2081" s="10" t="s">
        <v>98</v>
      </c>
      <c r="I2081" s="7">
        <v>81</v>
      </c>
      <c r="J2081" s="11">
        <v>53</v>
      </c>
      <c r="K2081" s="11">
        <f t="shared" si="64"/>
        <v>4293</v>
      </c>
      <c r="L2081" s="11">
        <v>0</v>
      </c>
      <c r="M2081" s="11">
        <v>515.16</v>
      </c>
      <c r="N2081" s="11">
        <f t="shared" si="65"/>
        <v>4808.16</v>
      </c>
    </row>
    <row r="2082" spans="3:14" x14ac:dyDescent="0.3">
      <c r="C2082" s="6">
        <v>44426</v>
      </c>
      <c r="D2082" s="7" t="s">
        <v>81</v>
      </c>
      <c r="E2082" s="8">
        <v>2021</v>
      </c>
      <c r="F2082" s="9" t="s">
        <v>88</v>
      </c>
      <c r="G2082" s="9" t="s">
        <v>26</v>
      </c>
      <c r="H2082" s="10" t="s">
        <v>124</v>
      </c>
      <c r="I2082" s="7">
        <v>54</v>
      </c>
      <c r="J2082" s="11">
        <v>39</v>
      </c>
      <c r="K2082" s="11">
        <f t="shared" si="64"/>
        <v>2106</v>
      </c>
      <c r="L2082" s="11">
        <v>0.10000000149011599</v>
      </c>
      <c r="M2082" s="11">
        <v>252.72</v>
      </c>
      <c r="N2082" s="11">
        <f t="shared" si="65"/>
        <v>2358.6199999985097</v>
      </c>
    </row>
    <row r="2083" spans="3:14" x14ac:dyDescent="0.3">
      <c r="C2083" s="6">
        <v>44426</v>
      </c>
      <c r="D2083" s="7" t="s">
        <v>81</v>
      </c>
      <c r="E2083" s="8">
        <v>2021</v>
      </c>
      <c r="F2083" s="9" t="s">
        <v>88</v>
      </c>
      <c r="G2083" s="9" t="s">
        <v>26</v>
      </c>
      <c r="H2083" s="10" t="s">
        <v>56</v>
      </c>
      <c r="I2083" s="7">
        <v>39</v>
      </c>
      <c r="J2083" s="11">
        <v>40</v>
      </c>
      <c r="K2083" s="11">
        <f t="shared" si="64"/>
        <v>1560</v>
      </c>
      <c r="L2083" s="11">
        <v>0.10000000149011599</v>
      </c>
      <c r="M2083" s="11">
        <v>187.2</v>
      </c>
      <c r="N2083" s="11">
        <f t="shared" si="65"/>
        <v>1747.0999999985099</v>
      </c>
    </row>
    <row r="2084" spans="3:14" x14ac:dyDescent="0.3">
      <c r="C2084" s="6">
        <v>44426</v>
      </c>
      <c r="D2084" s="7" t="s">
        <v>81</v>
      </c>
      <c r="E2084" s="8">
        <v>2021</v>
      </c>
      <c r="F2084" s="9" t="s">
        <v>88</v>
      </c>
      <c r="G2084" s="9" t="s">
        <v>16</v>
      </c>
      <c r="H2084" s="10" t="s">
        <v>29</v>
      </c>
      <c r="I2084" s="7">
        <v>20</v>
      </c>
      <c r="J2084" s="11">
        <v>47</v>
      </c>
      <c r="K2084" s="11">
        <f t="shared" si="64"/>
        <v>940</v>
      </c>
      <c r="L2084" s="11">
        <v>0</v>
      </c>
      <c r="M2084" s="11">
        <v>112.8</v>
      </c>
      <c r="N2084" s="11">
        <f t="shared" si="65"/>
        <v>1052.8</v>
      </c>
    </row>
    <row r="2085" spans="3:14" x14ac:dyDescent="0.3">
      <c r="C2085" s="6">
        <v>44427</v>
      </c>
      <c r="D2085" s="7" t="s">
        <v>81</v>
      </c>
      <c r="E2085" s="8">
        <v>2021</v>
      </c>
      <c r="F2085" s="9" t="s">
        <v>73</v>
      </c>
      <c r="G2085" s="9" t="s">
        <v>26</v>
      </c>
      <c r="H2085" s="10" t="s">
        <v>124</v>
      </c>
      <c r="I2085" s="7">
        <v>59</v>
      </c>
      <c r="J2085" s="11">
        <v>57</v>
      </c>
      <c r="K2085" s="11">
        <f t="shared" si="64"/>
        <v>3363</v>
      </c>
      <c r="L2085" s="11">
        <v>0</v>
      </c>
      <c r="M2085" s="11">
        <v>403.56</v>
      </c>
      <c r="N2085" s="11">
        <f t="shared" si="65"/>
        <v>3766.56</v>
      </c>
    </row>
    <row r="2086" spans="3:14" x14ac:dyDescent="0.3">
      <c r="C2086" s="6">
        <v>44427</v>
      </c>
      <c r="D2086" s="7" t="s">
        <v>81</v>
      </c>
      <c r="E2086" s="8">
        <v>2021</v>
      </c>
      <c r="F2086" s="9" t="s">
        <v>73</v>
      </c>
      <c r="G2086" s="9" t="s">
        <v>24</v>
      </c>
      <c r="H2086" s="10" t="s">
        <v>128</v>
      </c>
      <c r="I2086" s="7">
        <v>24</v>
      </c>
      <c r="J2086" s="11">
        <v>62</v>
      </c>
      <c r="K2086" s="11">
        <f t="shared" si="64"/>
        <v>1488</v>
      </c>
      <c r="L2086" s="11">
        <v>0</v>
      </c>
      <c r="M2086" s="11">
        <v>178.56</v>
      </c>
      <c r="N2086" s="11">
        <f t="shared" si="65"/>
        <v>1666.56</v>
      </c>
    </row>
    <row r="2087" spans="3:14" x14ac:dyDescent="0.3">
      <c r="C2087" s="6">
        <v>44427</v>
      </c>
      <c r="D2087" s="7" t="s">
        <v>81</v>
      </c>
      <c r="E2087" s="8">
        <v>2021</v>
      </c>
      <c r="F2087" s="9" t="s">
        <v>161</v>
      </c>
      <c r="G2087" s="9" t="s">
        <v>14</v>
      </c>
      <c r="H2087" s="10" t="s">
        <v>15</v>
      </c>
      <c r="I2087" s="7">
        <v>37</v>
      </c>
      <c r="J2087" s="11">
        <v>72</v>
      </c>
      <c r="K2087" s="11">
        <f t="shared" si="64"/>
        <v>2664</v>
      </c>
      <c r="L2087" s="11">
        <v>0</v>
      </c>
      <c r="M2087" s="11">
        <v>319.68</v>
      </c>
      <c r="N2087" s="11">
        <f t="shared" si="65"/>
        <v>2983.68</v>
      </c>
    </row>
    <row r="2088" spans="3:14" x14ac:dyDescent="0.3">
      <c r="C2088" s="6">
        <v>44427</v>
      </c>
      <c r="D2088" s="7" t="s">
        <v>81</v>
      </c>
      <c r="E2088" s="8">
        <v>2021</v>
      </c>
      <c r="F2088" s="9" t="s">
        <v>161</v>
      </c>
      <c r="G2088" s="9" t="s">
        <v>32</v>
      </c>
      <c r="H2088" s="10" t="s">
        <v>151</v>
      </c>
      <c r="I2088" s="7">
        <v>39</v>
      </c>
      <c r="J2088" s="11">
        <v>100</v>
      </c>
      <c r="K2088" s="11">
        <f t="shared" si="64"/>
        <v>3900</v>
      </c>
      <c r="L2088" s="11">
        <v>5.0000000745058101E-2</v>
      </c>
      <c r="M2088" s="11">
        <v>468</v>
      </c>
      <c r="N2088" s="11">
        <f t="shared" si="65"/>
        <v>4367.9499999992549</v>
      </c>
    </row>
    <row r="2089" spans="3:14" x14ac:dyDescent="0.3">
      <c r="C2089" s="6">
        <v>44427</v>
      </c>
      <c r="D2089" s="7" t="s">
        <v>81</v>
      </c>
      <c r="E2089" s="8">
        <v>2021</v>
      </c>
      <c r="F2089" s="9" t="s">
        <v>161</v>
      </c>
      <c r="G2089" s="9" t="s">
        <v>16</v>
      </c>
      <c r="H2089" s="10" t="s">
        <v>68</v>
      </c>
      <c r="I2089" s="7">
        <v>50</v>
      </c>
      <c r="J2089" s="11">
        <v>71</v>
      </c>
      <c r="K2089" s="11">
        <f t="shared" si="64"/>
        <v>3550</v>
      </c>
      <c r="L2089" s="11">
        <v>5.0000000745058101E-2</v>
      </c>
      <c r="M2089" s="11">
        <v>426</v>
      </c>
      <c r="N2089" s="11">
        <f t="shared" si="65"/>
        <v>3975.9499999992549</v>
      </c>
    </row>
    <row r="2090" spans="3:14" x14ac:dyDescent="0.3">
      <c r="C2090" s="6">
        <v>44428</v>
      </c>
      <c r="D2090" s="7" t="s">
        <v>81</v>
      </c>
      <c r="E2090" s="8">
        <v>2021</v>
      </c>
      <c r="F2090" s="9" t="s">
        <v>169</v>
      </c>
      <c r="G2090" s="9" t="s">
        <v>24</v>
      </c>
      <c r="H2090" s="10" t="s">
        <v>165</v>
      </c>
      <c r="I2090" s="7">
        <v>62</v>
      </c>
      <c r="J2090" s="11">
        <v>93</v>
      </c>
      <c r="K2090" s="11">
        <f t="shared" si="64"/>
        <v>5766</v>
      </c>
      <c r="L2090" s="11">
        <v>0</v>
      </c>
      <c r="M2090" s="11">
        <v>691.92</v>
      </c>
      <c r="N2090" s="11">
        <f t="shared" si="65"/>
        <v>6457.92</v>
      </c>
    </row>
    <row r="2091" spans="3:14" x14ac:dyDescent="0.3">
      <c r="C2091" s="6">
        <v>44428</v>
      </c>
      <c r="D2091" s="7" t="s">
        <v>81</v>
      </c>
      <c r="E2091" s="8">
        <v>2021</v>
      </c>
      <c r="F2091" s="9" t="s">
        <v>169</v>
      </c>
      <c r="G2091" s="9" t="s">
        <v>26</v>
      </c>
      <c r="H2091" s="10" t="s">
        <v>27</v>
      </c>
      <c r="I2091" s="7">
        <v>16</v>
      </c>
      <c r="J2091" s="11">
        <v>36</v>
      </c>
      <c r="K2091" s="11">
        <f t="shared" si="64"/>
        <v>576</v>
      </c>
      <c r="L2091" s="11">
        <v>0</v>
      </c>
      <c r="M2091" s="11">
        <v>69.12</v>
      </c>
      <c r="N2091" s="11">
        <f t="shared" si="65"/>
        <v>645.12</v>
      </c>
    </row>
    <row r="2092" spans="3:14" x14ac:dyDescent="0.3">
      <c r="C2092" s="6">
        <v>44428</v>
      </c>
      <c r="D2092" s="7" t="s">
        <v>81</v>
      </c>
      <c r="E2092" s="8">
        <v>2021</v>
      </c>
      <c r="F2092" s="9" t="s">
        <v>169</v>
      </c>
      <c r="G2092" s="9" t="s">
        <v>14</v>
      </c>
      <c r="H2092" s="10" t="s">
        <v>18</v>
      </c>
      <c r="I2092" s="7">
        <v>25</v>
      </c>
      <c r="J2092" s="11">
        <v>77</v>
      </c>
      <c r="K2092" s="11">
        <f t="shared" si="64"/>
        <v>1925</v>
      </c>
      <c r="L2092" s="11">
        <v>0</v>
      </c>
      <c r="M2092" s="11">
        <v>231</v>
      </c>
      <c r="N2092" s="11">
        <f t="shared" si="65"/>
        <v>2156</v>
      </c>
    </row>
    <row r="2093" spans="3:14" x14ac:dyDescent="0.3">
      <c r="C2093" s="6">
        <v>44428</v>
      </c>
      <c r="D2093" s="7" t="s">
        <v>81</v>
      </c>
      <c r="E2093" s="8">
        <v>2021</v>
      </c>
      <c r="F2093" s="9" t="s">
        <v>164</v>
      </c>
      <c r="G2093" s="9" t="s">
        <v>24</v>
      </c>
      <c r="H2093" s="10" t="s">
        <v>115</v>
      </c>
      <c r="I2093" s="7">
        <v>76</v>
      </c>
      <c r="J2093" s="11">
        <v>17</v>
      </c>
      <c r="K2093" s="11">
        <f t="shared" si="64"/>
        <v>1292</v>
      </c>
      <c r="L2093" s="11">
        <v>0</v>
      </c>
      <c r="M2093" s="11">
        <v>155.04</v>
      </c>
      <c r="N2093" s="11">
        <f t="shared" si="65"/>
        <v>1447.04</v>
      </c>
    </row>
    <row r="2094" spans="3:14" x14ac:dyDescent="0.3">
      <c r="C2094" s="6">
        <v>44429</v>
      </c>
      <c r="D2094" s="7" t="s">
        <v>81</v>
      </c>
      <c r="E2094" s="8">
        <v>2021</v>
      </c>
      <c r="F2094" s="9" t="s">
        <v>120</v>
      </c>
      <c r="G2094" s="9" t="s">
        <v>14</v>
      </c>
      <c r="H2094" s="10" t="s">
        <v>117</v>
      </c>
      <c r="I2094" s="7">
        <v>40</v>
      </c>
      <c r="J2094" s="11">
        <v>70</v>
      </c>
      <c r="K2094" s="11">
        <f t="shared" si="64"/>
        <v>2800</v>
      </c>
      <c r="L2094" s="11">
        <v>0.25</v>
      </c>
      <c r="M2094" s="11">
        <v>336</v>
      </c>
      <c r="N2094" s="11">
        <f t="shared" si="65"/>
        <v>3135.75</v>
      </c>
    </row>
    <row r="2095" spans="3:14" x14ac:dyDescent="0.3">
      <c r="C2095" s="6">
        <v>44429</v>
      </c>
      <c r="D2095" s="7" t="s">
        <v>81</v>
      </c>
      <c r="E2095" s="8">
        <v>2021</v>
      </c>
      <c r="F2095" s="9" t="s">
        <v>120</v>
      </c>
      <c r="G2095" s="9" t="s">
        <v>37</v>
      </c>
      <c r="H2095" s="10" t="s">
        <v>63</v>
      </c>
      <c r="I2095" s="7">
        <v>70</v>
      </c>
      <c r="J2095" s="11">
        <v>93</v>
      </c>
      <c r="K2095" s="11">
        <f t="shared" si="64"/>
        <v>6510</v>
      </c>
      <c r="L2095" s="11">
        <v>0.25</v>
      </c>
      <c r="M2095" s="11">
        <v>781.19999999999993</v>
      </c>
      <c r="N2095" s="11">
        <f t="shared" si="65"/>
        <v>7290.95</v>
      </c>
    </row>
    <row r="2096" spans="3:14" x14ac:dyDescent="0.3">
      <c r="C2096" s="6">
        <v>44430</v>
      </c>
      <c r="D2096" s="7" t="s">
        <v>81</v>
      </c>
      <c r="E2096" s="8">
        <v>2021</v>
      </c>
      <c r="F2096" s="9" t="s">
        <v>53</v>
      </c>
      <c r="G2096" s="9" t="s">
        <v>37</v>
      </c>
      <c r="H2096" s="10" t="s">
        <v>46</v>
      </c>
      <c r="I2096" s="7">
        <v>97</v>
      </c>
      <c r="J2096" s="11">
        <v>30</v>
      </c>
      <c r="K2096" s="11">
        <f t="shared" si="64"/>
        <v>2910</v>
      </c>
      <c r="L2096" s="11">
        <v>0</v>
      </c>
      <c r="M2096" s="11">
        <v>349.2</v>
      </c>
      <c r="N2096" s="11">
        <f t="shared" si="65"/>
        <v>3259.2</v>
      </c>
    </row>
    <row r="2097" spans="3:14" x14ac:dyDescent="0.3">
      <c r="C2097" s="6">
        <v>44430</v>
      </c>
      <c r="D2097" s="7" t="s">
        <v>81</v>
      </c>
      <c r="E2097" s="8">
        <v>2021</v>
      </c>
      <c r="F2097" s="9" t="s">
        <v>53</v>
      </c>
      <c r="G2097" s="9" t="s">
        <v>24</v>
      </c>
      <c r="H2097" s="10" t="s">
        <v>76</v>
      </c>
      <c r="I2097" s="7">
        <v>60</v>
      </c>
      <c r="J2097" s="11">
        <v>84</v>
      </c>
      <c r="K2097" s="11">
        <f t="shared" si="64"/>
        <v>5040</v>
      </c>
      <c r="L2097" s="11">
        <v>0</v>
      </c>
      <c r="M2097" s="11">
        <v>604.79999999999995</v>
      </c>
      <c r="N2097" s="11">
        <f t="shared" si="65"/>
        <v>5644.8</v>
      </c>
    </row>
    <row r="2098" spans="3:14" x14ac:dyDescent="0.3">
      <c r="C2098" s="6">
        <v>44430</v>
      </c>
      <c r="D2098" s="7" t="s">
        <v>81</v>
      </c>
      <c r="E2098" s="8">
        <v>2021</v>
      </c>
      <c r="F2098" s="9" t="s">
        <v>146</v>
      </c>
      <c r="G2098" s="9" t="s">
        <v>32</v>
      </c>
      <c r="H2098" s="10" t="s">
        <v>59</v>
      </c>
      <c r="I2098" s="7">
        <v>42</v>
      </c>
      <c r="J2098" s="11">
        <v>52</v>
      </c>
      <c r="K2098" s="11">
        <f t="shared" si="64"/>
        <v>2184</v>
      </c>
      <c r="L2098" s="11">
        <v>0.20000000298023199</v>
      </c>
      <c r="M2098" s="11">
        <v>262.08</v>
      </c>
      <c r="N2098" s="11">
        <f t="shared" si="65"/>
        <v>2445.8799999970197</v>
      </c>
    </row>
    <row r="2099" spans="3:14" x14ac:dyDescent="0.3">
      <c r="C2099" s="6">
        <v>44430</v>
      </c>
      <c r="D2099" s="7" t="s">
        <v>81</v>
      </c>
      <c r="E2099" s="8">
        <v>2021</v>
      </c>
      <c r="F2099" s="9" t="s">
        <v>146</v>
      </c>
      <c r="G2099" s="9" t="s">
        <v>26</v>
      </c>
      <c r="H2099" s="10" t="s">
        <v>173</v>
      </c>
      <c r="I2099" s="7">
        <v>3</v>
      </c>
      <c r="J2099" s="11">
        <v>77</v>
      </c>
      <c r="K2099" s="11">
        <f t="shared" si="64"/>
        <v>231</v>
      </c>
      <c r="L2099" s="11">
        <v>0.20000000298023199</v>
      </c>
      <c r="M2099" s="11">
        <v>27.72</v>
      </c>
      <c r="N2099" s="11">
        <f t="shared" si="65"/>
        <v>258.5199999970198</v>
      </c>
    </row>
    <row r="2100" spans="3:14" x14ac:dyDescent="0.3">
      <c r="C2100" s="6">
        <v>44433</v>
      </c>
      <c r="D2100" s="7" t="s">
        <v>81</v>
      </c>
      <c r="E2100" s="8">
        <v>2021</v>
      </c>
      <c r="F2100" s="9" t="s">
        <v>195</v>
      </c>
      <c r="G2100" s="9" t="s">
        <v>20</v>
      </c>
      <c r="H2100" s="10" t="s">
        <v>92</v>
      </c>
      <c r="I2100" s="7">
        <v>15</v>
      </c>
      <c r="J2100" s="11">
        <v>100</v>
      </c>
      <c r="K2100" s="11">
        <f t="shared" si="64"/>
        <v>1500</v>
      </c>
      <c r="L2100" s="11">
        <v>0.25</v>
      </c>
      <c r="M2100" s="11">
        <v>180</v>
      </c>
      <c r="N2100" s="11">
        <f t="shared" si="65"/>
        <v>1679.75</v>
      </c>
    </row>
    <row r="2101" spans="3:14" x14ac:dyDescent="0.3">
      <c r="C2101" s="6">
        <v>44433</v>
      </c>
      <c r="D2101" s="7" t="s">
        <v>81</v>
      </c>
      <c r="E2101" s="8">
        <v>2021</v>
      </c>
      <c r="F2101" s="9" t="s">
        <v>195</v>
      </c>
      <c r="G2101" s="9" t="s">
        <v>37</v>
      </c>
      <c r="H2101" s="10" t="s">
        <v>38</v>
      </c>
      <c r="I2101" s="7">
        <v>8</v>
      </c>
      <c r="J2101" s="11">
        <v>37</v>
      </c>
      <c r="K2101" s="11">
        <f t="shared" si="64"/>
        <v>296</v>
      </c>
      <c r="L2101" s="11">
        <v>0.25</v>
      </c>
      <c r="M2101" s="11">
        <v>35.519999999999996</v>
      </c>
      <c r="N2101" s="11">
        <f t="shared" si="65"/>
        <v>331.27</v>
      </c>
    </row>
    <row r="2102" spans="3:14" x14ac:dyDescent="0.3">
      <c r="C2102" s="6">
        <v>44433</v>
      </c>
      <c r="D2102" s="7" t="s">
        <v>81</v>
      </c>
      <c r="E2102" s="8">
        <v>2021</v>
      </c>
      <c r="F2102" s="9" t="s">
        <v>195</v>
      </c>
      <c r="G2102" s="9" t="s">
        <v>24</v>
      </c>
      <c r="H2102" s="10" t="s">
        <v>107</v>
      </c>
      <c r="I2102" s="7">
        <v>18</v>
      </c>
      <c r="J2102" s="11">
        <v>55</v>
      </c>
      <c r="K2102" s="11">
        <f t="shared" si="64"/>
        <v>990</v>
      </c>
      <c r="L2102" s="11">
        <v>0.25</v>
      </c>
      <c r="M2102" s="11">
        <v>118.8</v>
      </c>
      <c r="N2102" s="11">
        <f t="shared" si="65"/>
        <v>1108.55</v>
      </c>
    </row>
    <row r="2103" spans="3:14" x14ac:dyDescent="0.3">
      <c r="C2103" s="6">
        <v>44433</v>
      </c>
      <c r="D2103" s="7" t="s">
        <v>81</v>
      </c>
      <c r="E2103" s="8">
        <v>2021</v>
      </c>
      <c r="F2103" s="9" t="s">
        <v>50</v>
      </c>
      <c r="G2103" s="9" t="s">
        <v>24</v>
      </c>
      <c r="H2103" s="10" t="s">
        <v>115</v>
      </c>
      <c r="I2103" s="7">
        <v>23</v>
      </c>
      <c r="J2103" s="11">
        <v>57</v>
      </c>
      <c r="K2103" s="11">
        <f t="shared" si="64"/>
        <v>1311</v>
      </c>
      <c r="L2103" s="11">
        <v>0.10000000149011599</v>
      </c>
      <c r="M2103" s="11">
        <v>157.32</v>
      </c>
      <c r="N2103" s="11">
        <f t="shared" si="65"/>
        <v>1468.2199999985098</v>
      </c>
    </row>
    <row r="2104" spans="3:14" x14ac:dyDescent="0.3">
      <c r="C2104" s="6">
        <v>44433</v>
      </c>
      <c r="D2104" s="7" t="s">
        <v>81</v>
      </c>
      <c r="E2104" s="8">
        <v>2021</v>
      </c>
      <c r="F2104" s="9" t="s">
        <v>50</v>
      </c>
      <c r="G2104" s="9" t="s">
        <v>37</v>
      </c>
      <c r="H2104" s="10" t="s">
        <v>82</v>
      </c>
      <c r="I2104" s="7">
        <v>67</v>
      </c>
      <c r="J2104" s="11">
        <v>93</v>
      </c>
      <c r="K2104" s="11">
        <f t="shared" si="64"/>
        <v>6231</v>
      </c>
      <c r="L2104" s="11">
        <v>0</v>
      </c>
      <c r="M2104" s="11">
        <v>747.72</v>
      </c>
      <c r="N2104" s="11">
        <f t="shared" si="65"/>
        <v>6978.72</v>
      </c>
    </row>
    <row r="2105" spans="3:14" x14ac:dyDescent="0.3">
      <c r="C2105" s="6">
        <v>44433</v>
      </c>
      <c r="D2105" s="7" t="s">
        <v>81</v>
      </c>
      <c r="E2105" s="8">
        <v>2021</v>
      </c>
      <c r="F2105" s="9" t="s">
        <v>50</v>
      </c>
      <c r="G2105" s="9" t="s">
        <v>24</v>
      </c>
      <c r="H2105" s="10" t="s">
        <v>107</v>
      </c>
      <c r="I2105" s="7">
        <v>8</v>
      </c>
      <c r="J2105" s="11">
        <v>38</v>
      </c>
      <c r="K2105" s="11">
        <f t="shared" si="64"/>
        <v>304</v>
      </c>
      <c r="L2105" s="11">
        <v>0.10000000149011599</v>
      </c>
      <c r="M2105" s="11">
        <v>36.479999999999997</v>
      </c>
      <c r="N2105" s="11">
        <f t="shared" si="65"/>
        <v>340.3799999985099</v>
      </c>
    </row>
    <row r="2106" spans="3:14" x14ac:dyDescent="0.3">
      <c r="C2106" s="6">
        <v>44434</v>
      </c>
      <c r="D2106" s="7" t="s">
        <v>81</v>
      </c>
      <c r="E2106" s="8">
        <v>2021</v>
      </c>
      <c r="F2106" s="9" t="s">
        <v>23</v>
      </c>
      <c r="G2106" s="9" t="s">
        <v>24</v>
      </c>
      <c r="H2106" s="10" t="s">
        <v>115</v>
      </c>
      <c r="I2106" s="7">
        <v>95</v>
      </c>
      <c r="J2106" s="11">
        <v>80</v>
      </c>
      <c r="K2106" s="11">
        <f t="shared" si="64"/>
        <v>7600</v>
      </c>
      <c r="L2106" s="11">
        <v>0</v>
      </c>
      <c r="M2106" s="11">
        <v>912</v>
      </c>
      <c r="N2106" s="11">
        <f t="shared" si="65"/>
        <v>8512</v>
      </c>
    </row>
    <row r="2107" spans="3:14" x14ac:dyDescent="0.3">
      <c r="C2107" s="6">
        <v>44434</v>
      </c>
      <c r="D2107" s="7" t="s">
        <v>81</v>
      </c>
      <c r="E2107" s="8">
        <v>2021</v>
      </c>
      <c r="F2107" s="9" t="s">
        <v>23</v>
      </c>
      <c r="G2107" s="9" t="s">
        <v>24</v>
      </c>
      <c r="H2107" s="10" t="s">
        <v>48</v>
      </c>
      <c r="I2107" s="7">
        <v>9</v>
      </c>
      <c r="J2107" s="11">
        <v>80</v>
      </c>
      <c r="K2107" s="11">
        <f t="shared" si="64"/>
        <v>720</v>
      </c>
      <c r="L2107" s="11">
        <v>0</v>
      </c>
      <c r="M2107" s="11">
        <v>86.399999999999991</v>
      </c>
      <c r="N2107" s="11">
        <f t="shared" si="65"/>
        <v>806.4</v>
      </c>
    </row>
    <row r="2108" spans="3:14" x14ac:dyDescent="0.3">
      <c r="C2108" s="6">
        <v>44435</v>
      </c>
      <c r="D2108" s="7" t="s">
        <v>81</v>
      </c>
      <c r="E2108" s="8">
        <v>2021</v>
      </c>
      <c r="F2108" s="9" t="s">
        <v>118</v>
      </c>
      <c r="G2108" s="9" t="s">
        <v>37</v>
      </c>
      <c r="H2108" s="10" t="s">
        <v>104</v>
      </c>
      <c r="I2108" s="7">
        <v>13</v>
      </c>
      <c r="J2108" s="11">
        <v>81</v>
      </c>
      <c r="K2108" s="11">
        <f t="shared" si="64"/>
        <v>1053</v>
      </c>
      <c r="L2108" s="11">
        <v>0.25</v>
      </c>
      <c r="M2108" s="11">
        <v>126.36</v>
      </c>
      <c r="N2108" s="11">
        <f t="shared" si="65"/>
        <v>1179.1099999999999</v>
      </c>
    </row>
    <row r="2109" spans="3:14" x14ac:dyDescent="0.3">
      <c r="C2109" s="6">
        <v>44435</v>
      </c>
      <c r="D2109" s="7" t="s">
        <v>81</v>
      </c>
      <c r="E2109" s="8">
        <v>2021</v>
      </c>
      <c r="F2109" s="9" t="s">
        <v>118</v>
      </c>
      <c r="G2109" s="9" t="s">
        <v>24</v>
      </c>
      <c r="H2109" s="10" t="s">
        <v>85</v>
      </c>
      <c r="I2109" s="7">
        <v>90</v>
      </c>
      <c r="J2109" s="11">
        <v>91</v>
      </c>
      <c r="K2109" s="11">
        <f t="shared" si="64"/>
        <v>8190</v>
      </c>
      <c r="L2109" s="11">
        <v>0.25</v>
      </c>
      <c r="M2109" s="11">
        <v>982.8</v>
      </c>
      <c r="N2109" s="11">
        <f t="shared" si="65"/>
        <v>9172.5499999999993</v>
      </c>
    </row>
    <row r="2110" spans="3:14" x14ac:dyDescent="0.3">
      <c r="C2110" s="6">
        <v>44435</v>
      </c>
      <c r="D2110" s="7" t="s">
        <v>81</v>
      </c>
      <c r="E2110" s="8">
        <v>2021</v>
      </c>
      <c r="F2110" s="9" t="s">
        <v>118</v>
      </c>
      <c r="G2110" s="9" t="s">
        <v>14</v>
      </c>
      <c r="H2110" s="10" t="s">
        <v>87</v>
      </c>
      <c r="I2110" s="7">
        <v>78</v>
      </c>
      <c r="J2110" s="11">
        <v>17</v>
      </c>
      <c r="K2110" s="11">
        <f t="shared" si="64"/>
        <v>1326</v>
      </c>
      <c r="L2110" s="11">
        <v>0.25</v>
      </c>
      <c r="M2110" s="11">
        <v>159.12</v>
      </c>
      <c r="N2110" s="11">
        <f t="shared" si="65"/>
        <v>1484.87</v>
      </c>
    </row>
    <row r="2111" spans="3:14" x14ac:dyDescent="0.3">
      <c r="C2111" s="6">
        <v>44435</v>
      </c>
      <c r="D2111" s="7" t="s">
        <v>81</v>
      </c>
      <c r="E2111" s="8">
        <v>2021</v>
      </c>
      <c r="F2111" s="9" t="s">
        <v>118</v>
      </c>
      <c r="G2111" s="9" t="s">
        <v>26</v>
      </c>
      <c r="H2111" s="10" t="s">
        <v>52</v>
      </c>
      <c r="I2111" s="7">
        <v>36</v>
      </c>
      <c r="J2111" s="11">
        <v>77</v>
      </c>
      <c r="K2111" s="11">
        <f t="shared" si="64"/>
        <v>2772</v>
      </c>
      <c r="L2111" s="11">
        <v>0.25</v>
      </c>
      <c r="M2111" s="11">
        <v>332.64</v>
      </c>
      <c r="N2111" s="11">
        <f t="shared" si="65"/>
        <v>3104.39</v>
      </c>
    </row>
    <row r="2112" spans="3:14" x14ac:dyDescent="0.3">
      <c r="C2112" s="6">
        <v>44435</v>
      </c>
      <c r="D2112" s="7" t="s">
        <v>81</v>
      </c>
      <c r="E2112" s="8">
        <v>2021</v>
      </c>
      <c r="F2112" s="9" t="s">
        <v>64</v>
      </c>
      <c r="G2112" s="9" t="s">
        <v>32</v>
      </c>
      <c r="H2112" s="10" t="s">
        <v>100</v>
      </c>
      <c r="I2112" s="7">
        <v>70</v>
      </c>
      <c r="J2112" s="11">
        <v>88</v>
      </c>
      <c r="K2112" s="11">
        <f t="shared" si="64"/>
        <v>6160</v>
      </c>
      <c r="L2112" s="11">
        <v>0</v>
      </c>
      <c r="M2112" s="11">
        <v>739.19999999999993</v>
      </c>
      <c r="N2112" s="11">
        <f t="shared" si="65"/>
        <v>6899.2</v>
      </c>
    </row>
    <row r="2113" spans="3:14" x14ac:dyDescent="0.3">
      <c r="C2113" s="6">
        <v>44435</v>
      </c>
      <c r="D2113" s="7" t="s">
        <v>81</v>
      </c>
      <c r="E2113" s="8">
        <v>2021</v>
      </c>
      <c r="F2113" s="9" t="s">
        <v>64</v>
      </c>
      <c r="G2113" s="9" t="s">
        <v>37</v>
      </c>
      <c r="H2113" s="10" t="s">
        <v>38</v>
      </c>
      <c r="I2113" s="7">
        <v>66</v>
      </c>
      <c r="J2113" s="11">
        <v>38</v>
      </c>
      <c r="K2113" s="11">
        <f t="shared" si="64"/>
        <v>2508</v>
      </c>
      <c r="L2113" s="11">
        <v>0</v>
      </c>
      <c r="M2113" s="11">
        <v>300.95999999999998</v>
      </c>
      <c r="N2113" s="11">
        <f t="shared" si="65"/>
        <v>2808.96</v>
      </c>
    </row>
    <row r="2114" spans="3:14" x14ac:dyDescent="0.3">
      <c r="C2114" s="6">
        <v>44436</v>
      </c>
      <c r="D2114" s="7" t="s">
        <v>81</v>
      </c>
      <c r="E2114" s="8">
        <v>2021</v>
      </c>
      <c r="F2114" s="9" t="s">
        <v>105</v>
      </c>
      <c r="G2114" s="9" t="s">
        <v>16</v>
      </c>
      <c r="H2114" s="10" t="s">
        <v>29</v>
      </c>
      <c r="I2114" s="7">
        <v>64</v>
      </c>
      <c r="J2114" s="11">
        <v>80</v>
      </c>
      <c r="K2114" s="11">
        <f t="shared" si="64"/>
        <v>5120</v>
      </c>
      <c r="L2114" s="11">
        <v>0</v>
      </c>
      <c r="M2114" s="11">
        <v>614.4</v>
      </c>
      <c r="N2114" s="11">
        <f t="shared" si="65"/>
        <v>5734.4</v>
      </c>
    </row>
    <row r="2115" spans="3:14" x14ac:dyDescent="0.3">
      <c r="C2115" s="6">
        <v>44436</v>
      </c>
      <c r="D2115" s="7" t="s">
        <v>81</v>
      </c>
      <c r="E2115" s="8">
        <v>2021</v>
      </c>
      <c r="F2115" s="9" t="s">
        <v>105</v>
      </c>
      <c r="G2115" s="9" t="s">
        <v>37</v>
      </c>
      <c r="H2115" s="10" t="s">
        <v>41</v>
      </c>
      <c r="I2115" s="7">
        <v>74</v>
      </c>
      <c r="J2115" s="11">
        <v>14</v>
      </c>
      <c r="K2115" s="11">
        <f t="shared" ref="K2115:K2178" si="66">J2115*I2115</f>
        <v>1036</v>
      </c>
      <c r="L2115" s="11">
        <v>0.15000000596046401</v>
      </c>
      <c r="M2115" s="11">
        <v>124.32</v>
      </c>
      <c r="N2115" s="11">
        <f t="shared" ref="N2115:N2178" si="67">K2115-L2115+M2115</f>
        <v>1160.1699999940395</v>
      </c>
    </row>
    <row r="2116" spans="3:14" x14ac:dyDescent="0.3">
      <c r="C2116" s="6">
        <v>44436</v>
      </c>
      <c r="D2116" s="7" t="s">
        <v>81</v>
      </c>
      <c r="E2116" s="8">
        <v>2021</v>
      </c>
      <c r="F2116" s="9" t="s">
        <v>190</v>
      </c>
      <c r="G2116" s="9" t="s">
        <v>20</v>
      </c>
      <c r="H2116" s="10" t="s">
        <v>92</v>
      </c>
      <c r="I2116" s="7">
        <v>86</v>
      </c>
      <c r="J2116" s="11">
        <v>70</v>
      </c>
      <c r="K2116" s="11">
        <f t="shared" si="66"/>
        <v>6020</v>
      </c>
      <c r="L2116" s="11">
        <v>0</v>
      </c>
      <c r="M2116" s="11">
        <v>722.4</v>
      </c>
      <c r="N2116" s="11">
        <f t="shared" si="67"/>
        <v>6742.4</v>
      </c>
    </row>
    <row r="2117" spans="3:14" x14ac:dyDescent="0.3">
      <c r="C2117" s="6">
        <v>44436</v>
      </c>
      <c r="D2117" s="7" t="s">
        <v>81</v>
      </c>
      <c r="E2117" s="8">
        <v>2021</v>
      </c>
      <c r="F2117" s="9" t="s">
        <v>190</v>
      </c>
      <c r="G2117" s="9" t="s">
        <v>14</v>
      </c>
      <c r="H2117" s="10" t="s">
        <v>18</v>
      </c>
      <c r="I2117" s="7">
        <v>97</v>
      </c>
      <c r="J2117" s="11">
        <v>53</v>
      </c>
      <c r="K2117" s="11">
        <f t="shared" si="66"/>
        <v>5141</v>
      </c>
      <c r="L2117" s="11">
        <v>0</v>
      </c>
      <c r="M2117" s="11">
        <v>616.91999999999996</v>
      </c>
      <c r="N2117" s="11">
        <f t="shared" si="67"/>
        <v>5757.92</v>
      </c>
    </row>
    <row r="2118" spans="3:14" x14ac:dyDescent="0.3">
      <c r="C2118" s="6">
        <v>44437</v>
      </c>
      <c r="D2118" s="7" t="s">
        <v>81</v>
      </c>
      <c r="E2118" s="8">
        <v>2021</v>
      </c>
      <c r="F2118" s="9" t="s">
        <v>149</v>
      </c>
      <c r="G2118" s="9" t="s">
        <v>24</v>
      </c>
      <c r="H2118" s="10" t="s">
        <v>69</v>
      </c>
      <c r="I2118" s="7">
        <v>59</v>
      </c>
      <c r="J2118" s="11">
        <v>46</v>
      </c>
      <c r="K2118" s="11">
        <f t="shared" si="66"/>
        <v>2714</v>
      </c>
      <c r="L2118" s="11">
        <v>0</v>
      </c>
      <c r="M2118" s="11">
        <v>325.68</v>
      </c>
      <c r="N2118" s="11">
        <f t="shared" si="67"/>
        <v>3039.68</v>
      </c>
    </row>
    <row r="2119" spans="3:14" x14ac:dyDescent="0.3">
      <c r="C2119" s="6">
        <v>44437</v>
      </c>
      <c r="D2119" s="7" t="s">
        <v>81</v>
      </c>
      <c r="E2119" s="8">
        <v>2021</v>
      </c>
      <c r="F2119" s="9" t="s">
        <v>149</v>
      </c>
      <c r="G2119" s="9" t="s">
        <v>42</v>
      </c>
      <c r="H2119" s="10" t="s">
        <v>51</v>
      </c>
      <c r="I2119" s="7">
        <v>71</v>
      </c>
      <c r="J2119" s="11">
        <v>99</v>
      </c>
      <c r="K2119" s="11">
        <f t="shared" si="66"/>
        <v>7029</v>
      </c>
      <c r="L2119" s="11">
        <v>5.0000000745058101E-2</v>
      </c>
      <c r="M2119" s="11">
        <v>843.48</v>
      </c>
      <c r="N2119" s="11">
        <f t="shared" si="67"/>
        <v>7872.4299999992545</v>
      </c>
    </row>
    <row r="2120" spans="3:14" x14ac:dyDescent="0.3">
      <c r="C2120" s="6">
        <v>44437</v>
      </c>
      <c r="D2120" s="7" t="s">
        <v>81</v>
      </c>
      <c r="E2120" s="8">
        <v>2021</v>
      </c>
      <c r="F2120" s="9" t="s">
        <v>149</v>
      </c>
      <c r="G2120" s="9" t="s">
        <v>42</v>
      </c>
      <c r="H2120" s="10" t="s">
        <v>109</v>
      </c>
      <c r="I2120" s="7">
        <v>77</v>
      </c>
      <c r="J2120" s="11">
        <v>32</v>
      </c>
      <c r="K2120" s="11">
        <f t="shared" si="66"/>
        <v>2464</v>
      </c>
      <c r="L2120" s="11">
        <v>0</v>
      </c>
      <c r="M2120" s="11">
        <v>295.68</v>
      </c>
      <c r="N2120" s="11">
        <f t="shared" si="67"/>
        <v>2759.68</v>
      </c>
    </row>
    <row r="2121" spans="3:14" x14ac:dyDescent="0.3">
      <c r="C2121" s="6">
        <v>44440</v>
      </c>
      <c r="D2121" s="7" t="s">
        <v>116</v>
      </c>
      <c r="E2121" s="8">
        <v>2021</v>
      </c>
      <c r="F2121" s="9" t="s">
        <v>120</v>
      </c>
      <c r="G2121" s="9" t="s">
        <v>32</v>
      </c>
      <c r="H2121" s="10" t="s">
        <v>100</v>
      </c>
      <c r="I2121" s="7">
        <v>10</v>
      </c>
      <c r="J2121" s="11">
        <v>34</v>
      </c>
      <c r="K2121" s="11">
        <f t="shared" si="66"/>
        <v>340</v>
      </c>
      <c r="L2121" s="11">
        <v>0.25</v>
      </c>
      <c r="M2121" s="11">
        <v>40.799999999999997</v>
      </c>
      <c r="N2121" s="11">
        <f t="shared" si="67"/>
        <v>380.55</v>
      </c>
    </row>
    <row r="2122" spans="3:14" x14ac:dyDescent="0.3">
      <c r="C2122" s="6">
        <v>44440</v>
      </c>
      <c r="D2122" s="7" t="s">
        <v>116</v>
      </c>
      <c r="E2122" s="8">
        <v>2021</v>
      </c>
      <c r="F2122" s="9" t="s">
        <v>120</v>
      </c>
      <c r="G2122" s="9" t="s">
        <v>16</v>
      </c>
      <c r="H2122" s="10" t="s">
        <v>29</v>
      </c>
      <c r="I2122" s="7">
        <v>73</v>
      </c>
      <c r="J2122" s="11">
        <v>39</v>
      </c>
      <c r="K2122" s="11">
        <f t="shared" si="66"/>
        <v>2847</v>
      </c>
      <c r="L2122" s="11">
        <v>0.25</v>
      </c>
      <c r="M2122" s="11">
        <v>341.64</v>
      </c>
      <c r="N2122" s="11">
        <f t="shared" si="67"/>
        <v>3188.39</v>
      </c>
    </row>
    <row r="2123" spans="3:14" x14ac:dyDescent="0.3">
      <c r="C2123" s="6">
        <v>44440</v>
      </c>
      <c r="D2123" s="7" t="s">
        <v>116</v>
      </c>
      <c r="E2123" s="8">
        <v>2021</v>
      </c>
      <c r="F2123" s="9" t="s">
        <v>176</v>
      </c>
      <c r="G2123" s="9" t="s">
        <v>24</v>
      </c>
      <c r="H2123" s="10" t="s">
        <v>69</v>
      </c>
      <c r="I2123" s="7">
        <v>2</v>
      </c>
      <c r="J2123" s="11">
        <v>70</v>
      </c>
      <c r="K2123" s="11">
        <f t="shared" si="66"/>
        <v>140</v>
      </c>
      <c r="L2123" s="11">
        <v>0.25</v>
      </c>
      <c r="M2123" s="11">
        <v>16.8</v>
      </c>
      <c r="N2123" s="11">
        <f t="shared" si="67"/>
        <v>156.55000000000001</v>
      </c>
    </row>
    <row r="2124" spans="3:14" x14ac:dyDescent="0.3">
      <c r="C2124" s="6">
        <v>44440</v>
      </c>
      <c r="D2124" s="7" t="s">
        <v>116</v>
      </c>
      <c r="E2124" s="8">
        <v>2021</v>
      </c>
      <c r="F2124" s="9" t="s">
        <v>176</v>
      </c>
      <c r="G2124" s="9" t="s">
        <v>16</v>
      </c>
      <c r="H2124" s="10" t="s">
        <v>17</v>
      </c>
      <c r="I2124" s="7">
        <v>63</v>
      </c>
      <c r="J2124" s="11">
        <v>30</v>
      </c>
      <c r="K2124" s="11">
        <f t="shared" si="66"/>
        <v>1890</v>
      </c>
      <c r="L2124" s="11">
        <v>0</v>
      </c>
      <c r="M2124" s="11">
        <v>226.79999999999998</v>
      </c>
      <c r="N2124" s="11">
        <f t="shared" si="67"/>
        <v>2116.8000000000002</v>
      </c>
    </row>
    <row r="2125" spans="3:14" x14ac:dyDescent="0.3">
      <c r="C2125" s="6">
        <v>44441</v>
      </c>
      <c r="D2125" s="7" t="s">
        <v>116</v>
      </c>
      <c r="E2125" s="8">
        <v>2021</v>
      </c>
      <c r="F2125" s="9" t="s">
        <v>75</v>
      </c>
      <c r="G2125" s="9" t="s">
        <v>32</v>
      </c>
      <c r="H2125" s="10" t="s">
        <v>47</v>
      </c>
      <c r="I2125" s="7">
        <v>3</v>
      </c>
      <c r="J2125" s="11">
        <v>80</v>
      </c>
      <c r="K2125" s="11">
        <f t="shared" si="66"/>
        <v>240</v>
      </c>
      <c r="L2125" s="11">
        <v>0.10000000149011599</v>
      </c>
      <c r="M2125" s="11">
        <v>28.799999999999997</v>
      </c>
      <c r="N2125" s="11">
        <f t="shared" si="67"/>
        <v>268.6999999985099</v>
      </c>
    </row>
    <row r="2126" spans="3:14" x14ac:dyDescent="0.3">
      <c r="C2126" s="6">
        <v>44441</v>
      </c>
      <c r="D2126" s="7" t="s">
        <v>116</v>
      </c>
      <c r="E2126" s="8">
        <v>2021</v>
      </c>
      <c r="F2126" s="9" t="s">
        <v>75</v>
      </c>
      <c r="G2126" s="9" t="s">
        <v>14</v>
      </c>
      <c r="H2126" s="10" t="s">
        <v>35</v>
      </c>
      <c r="I2126" s="7">
        <v>34</v>
      </c>
      <c r="J2126" s="11">
        <v>61</v>
      </c>
      <c r="K2126" s="11">
        <f t="shared" si="66"/>
        <v>2074</v>
      </c>
      <c r="L2126" s="11">
        <v>0.10000000149011599</v>
      </c>
      <c r="M2126" s="11">
        <v>248.88</v>
      </c>
      <c r="N2126" s="11">
        <f t="shared" si="67"/>
        <v>2322.77999999851</v>
      </c>
    </row>
    <row r="2127" spans="3:14" x14ac:dyDescent="0.3">
      <c r="C2127" s="6">
        <v>44441</v>
      </c>
      <c r="D2127" s="7" t="s">
        <v>116</v>
      </c>
      <c r="E2127" s="8">
        <v>2021</v>
      </c>
      <c r="F2127" s="9" t="s">
        <v>93</v>
      </c>
      <c r="G2127" s="9" t="s">
        <v>26</v>
      </c>
      <c r="H2127" s="10" t="s">
        <v>124</v>
      </c>
      <c r="I2127" s="7">
        <v>44</v>
      </c>
      <c r="J2127" s="11">
        <v>39</v>
      </c>
      <c r="K2127" s="11">
        <f t="shared" si="66"/>
        <v>1716</v>
      </c>
      <c r="L2127" s="11">
        <v>0.10000000149011599</v>
      </c>
      <c r="M2127" s="11">
        <v>205.92</v>
      </c>
      <c r="N2127" s="11">
        <f t="shared" si="67"/>
        <v>1921.81999999851</v>
      </c>
    </row>
    <row r="2128" spans="3:14" x14ac:dyDescent="0.3">
      <c r="C2128" s="6">
        <v>44441</v>
      </c>
      <c r="D2128" s="7" t="s">
        <v>116</v>
      </c>
      <c r="E2128" s="8">
        <v>2021</v>
      </c>
      <c r="F2128" s="9" t="s">
        <v>93</v>
      </c>
      <c r="G2128" s="9" t="s">
        <v>37</v>
      </c>
      <c r="H2128" s="10" t="s">
        <v>38</v>
      </c>
      <c r="I2128" s="7">
        <v>22</v>
      </c>
      <c r="J2128" s="11">
        <v>96</v>
      </c>
      <c r="K2128" s="11">
        <f t="shared" si="66"/>
        <v>2112</v>
      </c>
      <c r="L2128" s="11">
        <v>0.10000000149011599</v>
      </c>
      <c r="M2128" s="11">
        <v>253.44</v>
      </c>
      <c r="N2128" s="11">
        <f t="shared" si="67"/>
        <v>2365.3399999985099</v>
      </c>
    </row>
    <row r="2129" spans="3:14" x14ac:dyDescent="0.3">
      <c r="C2129" s="6">
        <v>44441</v>
      </c>
      <c r="D2129" s="7" t="s">
        <v>116</v>
      </c>
      <c r="E2129" s="8">
        <v>2021</v>
      </c>
      <c r="F2129" s="9" t="s">
        <v>93</v>
      </c>
      <c r="G2129" s="9" t="s">
        <v>42</v>
      </c>
      <c r="H2129" s="10" t="s">
        <v>109</v>
      </c>
      <c r="I2129" s="7">
        <v>58</v>
      </c>
      <c r="J2129" s="11">
        <v>27</v>
      </c>
      <c r="K2129" s="11">
        <f t="shared" si="66"/>
        <v>1566</v>
      </c>
      <c r="L2129" s="11">
        <v>0.10000000149011599</v>
      </c>
      <c r="M2129" s="11">
        <v>187.92</v>
      </c>
      <c r="N2129" s="11">
        <f t="shared" si="67"/>
        <v>1753.81999999851</v>
      </c>
    </row>
    <row r="2130" spans="3:14" x14ac:dyDescent="0.3">
      <c r="C2130" s="6">
        <v>44442</v>
      </c>
      <c r="D2130" s="7" t="s">
        <v>116</v>
      </c>
      <c r="E2130" s="8">
        <v>2021</v>
      </c>
      <c r="F2130" s="9" t="s">
        <v>108</v>
      </c>
      <c r="G2130" s="9" t="s">
        <v>24</v>
      </c>
      <c r="H2130" s="10" t="s">
        <v>25</v>
      </c>
      <c r="I2130" s="7">
        <v>88</v>
      </c>
      <c r="J2130" s="11">
        <v>74</v>
      </c>
      <c r="K2130" s="11">
        <f t="shared" si="66"/>
        <v>6512</v>
      </c>
      <c r="L2130" s="11">
        <v>0.20000000298023199</v>
      </c>
      <c r="M2130" s="11">
        <v>781.43999999999994</v>
      </c>
      <c r="N2130" s="11">
        <f t="shared" si="67"/>
        <v>7293.2399999970194</v>
      </c>
    </row>
    <row r="2131" spans="3:14" x14ac:dyDescent="0.3">
      <c r="C2131" s="6">
        <v>44443</v>
      </c>
      <c r="D2131" s="7" t="s">
        <v>116</v>
      </c>
      <c r="E2131" s="8">
        <v>2021</v>
      </c>
      <c r="F2131" s="9" t="s">
        <v>189</v>
      </c>
      <c r="G2131" s="9" t="s">
        <v>20</v>
      </c>
      <c r="H2131" s="10" t="s">
        <v>136</v>
      </c>
      <c r="I2131" s="7">
        <v>38</v>
      </c>
      <c r="J2131" s="11">
        <v>72</v>
      </c>
      <c r="K2131" s="11">
        <f t="shared" si="66"/>
        <v>2736</v>
      </c>
      <c r="L2131" s="11">
        <v>0.10000000149011599</v>
      </c>
      <c r="M2131" s="11">
        <v>328.32</v>
      </c>
      <c r="N2131" s="11">
        <f t="shared" si="67"/>
        <v>3064.21999999851</v>
      </c>
    </row>
    <row r="2132" spans="3:14" x14ac:dyDescent="0.3">
      <c r="C2132" s="6">
        <v>44443</v>
      </c>
      <c r="D2132" s="7" t="s">
        <v>116</v>
      </c>
      <c r="E2132" s="8">
        <v>2021</v>
      </c>
      <c r="F2132" s="9" t="s">
        <v>189</v>
      </c>
      <c r="G2132" s="9" t="s">
        <v>26</v>
      </c>
      <c r="H2132" s="10" t="s">
        <v>94</v>
      </c>
      <c r="I2132" s="7">
        <v>18</v>
      </c>
      <c r="J2132" s="11">
        <v>62</v>
      </c>
      <c r="K2132" s="11">
        <f t="shared" si="66"/>
        <v>1116</v>
      </c>
      <c r="L2132" s="11">
        <v>0.10000000149011599</v>
      </c>
      <c r="M2132" s="11">
        <v>133.91999999999999</v>
      </c>
      <c r="N2132" s="11">
        <f t="shared" si="67"/>
        <v>1249.81999999851</v>
      </c>
    </row>
    <row r="2133" spans="3:14" x14ac:dyDescent="0.3">
      <c r="C2133" s="6">
        <v>44443</v>
      </c>
      <c r="D2133" s="7" t="s">
        <v>116</v>
      </c>
      <c r="E2133" s="8">
        <v>2021</v>
      </c>
      <c r="F2133" s="9" t="s">
        <v>189</v>
      </c>
      <c r="G2133" s="9" t="s">
        <v>32</v>
      </c>
      <c r="H2133" s="10" t="s">
        <v>143</v>
      </c>
      <c r="I2133" s="7">
        <v>3</v>
      </c>
      <c r="J2133" s="11">
        <v>34</v>
      </c>
      <c r="K2133" s="11">
        <f t="shared" si="66"/>
        <v>102</v>
      </c>
      <c r="L2133" s="11">
        <v>0.10000000149011599</v>
      </c>
      <c r="M2133" s="11">
        <v>12.24</v>
      </c>
      <c r="N2133" s="11">
        <f t="shared" si="67"/>
        <v>114.13999999850988</v>
      </c>
    </row>
    <row r="2134" spans="3:14" x14ac:dyDescent="0.3">
      <c r="C2134" s="6">
        <v>44443</v>
      </c>
      <c r="D2134" s="7" t="s">
        <v>116</v>
      </c>
      <c r="E2134" s="8">
        <v>2021</v>
      </c>
      <c r="F2134" s="9" t="s">
        <v>135</v>
      </c>
      <c r="G2134" s="9" t="s">
        <v>26</v>
      </c>
      <c r="H2134" s="10" t="s">
        <v>102</v>
      </c>
      <c r="I2134" s="7">
        <v>100</v>
      </c>
      <c r="J2134" s="11">
        <v>18</v>
      </c>
      <c r="K2134" s="11">
        <f t="shared" si="66"/>
        <v>1800</v>
      </c>
      <c r="L2134" s="11">
        <v>0</v>
      </c>
      <c r="M2134" s="11">
        <v>216</v>
      </c>
      <c r="N2134" s="11">
        <f t="shared" si="67"/>
        <v>2016</v>
      </c>
    </row>
    <row r="2135" spans="3:14" x14ac:dyDescent="0.3">
      <c r="C2135" s="6">
        <v>44443</v>
      </c>
      <c r="D2135" s="7" t="s">
        <v>116</v>
      </c>
      <c r="E2135" s="8">
        <v>2021</v>
      </c>
      <c r="F2135" s="9" t="s">
        <v>135</v>
      </c>
      <c r="G2135" s="9" t="s">
        <v>24</v>
      </c>
      <c r="H2135" s="10" t="s">
        <v>25</v>
      </c>
      <c r="I2135" s="7">
        <v>11</v>
      </c>
      <c r="J2135" s="11">
        <v>65</v>
      </c>
      <c r="K2135" s="11">
        <f t="shared" si="66"/>
        <v>715</v>
      </c>
      <c r="L2135" s="11">
        <v>0</v>
      </c>
      <c r="M2135" s="11">
        <v>85.8</v>
      </c>
      <c r="N2135" s="11">
        <f t="shared" si="67"/>
        <v>800.8</v>
      </c>
    </row>
    <row r="2136" spans="3:14" x14ac:dyDescent="0.3">
      <c r="C2136" s="6">
        <v>44443</v>
      </c>
      <c r="D2136" s="7" t="s">
        <v>116</v>
      </c>
      <c r="E2136" s="8">
        <v>2021</v>
      </c>
      <c r="F2136" s="9" t="s">
        <v>135</v>
      </c>
      <c r="G2136" s="9" t="s">
        <v>24</v>
      </c>
      <c r="H2136" s="10" t="s">
        <v>107</v>
      </c>
      <c r="I2136" s="7">
        <v>81</v>
      </c>
      <c r="J2136" s="11">
        <v>65</v>
      </c>
      <c r="K2136" s="11">
        <f t="shared" si="66"/>
        <v>5265</v>
      </c>
      <c r="L2136" s="11">
        <v>0</v>
      </c>
      <c r="M2136" s="11">
        <v>631.79999999999995</v>
      </c>
      <c r="N2136" s="11">
        <f t="shared" si="67"/>
        <v>5896.8</v>
      </c>
    </row>
    <row r="2137" spans="3:14" x14ac:dyDescent="0.3">
      <c r="C2137" s="6">
        <v>44443</v>
      </c>
      <c r="D2137" s="7" t="s">
        <v>116</v>
      </c>
      <c r="E2137" s="8">
        <v>2021</v>
      </c>
      <c r="F2137" s="9" t="s">
        <v>135</v>
      </c>
      <c r="G2137" s="9" t="s">
        <v>32</v>
      </c>
      <c r="H2137" s="10" t="s">
        <v>143</v>
      </c>
      <c r="I2137" s="7">
        <v>73</v>
      </c>
      <c r="J2137" s="11">
        <v>71</v>
      </c>
      <c r="K2137" s="11">
        <f t="shared" si="66"/>
        <v>5183</v>
      </c>
      <c r="L2137" s="11">
        <v>0</v>
      </c>
      <c r="M2137" s="11">
        <v>621.95999999999992</v>
      </c>
      <c r="N2137" s="11">
        <f t="shared" si="67"/>
        <v>5804.96</v>
      </c>
    </row>
    <row r="2138" spans="3:14" x14ac:dyDescent="0.3">
      <c r="C2138" s="6">
        <v>44443</v>
      </c>
      <c r="D2138" s="7" t="s">
        <v>116</v>
      </c>
      <c r="E2138" s="8">
        <v>2021</v>
      </c>
      <c r="F2138" s="9" t="s">
        <v>135</v>
      </c>
      <c r="G2138" s="9" t="s">
        <v>16</v>
      </c>
      <c r="H2138" s="10" t="s">
        <v>68</v>
      </c>
      <c r="I2138" s="7">
        <v>67</v>
      </c>
      <c r="J2138" s="11">
        <v>12</v>
      </c>
      <c r="K2138" s="11">
        <f t="shared" si="66"/>
        <v>804</v>
      </c>
      <c r="L2138" s="11">
        <v>0</v>
      </c>
      <c r="M2138" s="11">
        <v>96.47999999999999</v>
      </c>
      <c r="N2138" s="11">
        <f t="shared" si="67"/>
        <v>900.48</v>
      </c>
    </row>
    <row r="2139" spans="3:14" x14ac:dyDescent="0.3">
      <c r="C2139" s="6">
        <v>44443</v>
      </c>
      <c r="D2139" s="7" t="s">
        <v>116</v>
      </c>
      <c r="E2139" s="8">
        <v>2021</v>
      </c>
      <c r="F2139" s="9" t="s">
        <v>135</v>
      </c>
      <c r="G2139" s="9" t="s">
        <v>14</v>
      </c>
      <c r="H2139" s="10" t="s">
        <v>35</v>
      </c>
      <c r="I2139" s="7">
        <v>3</v>
      </c>
      <c r="J2139" s="11">
        <v>73</v>
      </c>
      <c r="K2139" s="11">
        <f t="shared" si="66"/>
        <v>219</v>
      </c>
      <c r="L2139" s="11">
        <v>0</v>
      </c>
      <c r="M2139" s="11">
        <v>26.279999999999998</v>
      </c>
      <c r="N2139" s="11">
        <f t="shared" si="67"/>
        <v>245.28</v>
      </c>
    </row>
    <row r="2140" spans="3:14" x14ac:dyDescent="0.3">
      <c r="C2140" s="6">
        <v>44444</v>
      </c>
      <c r="D2140" s="7" t="s">
        <v>116</v>
      </c>
      <c r="E2140" s="8">
        <v>2021</v>
      </c>
      <c r="F2140" s="9" t="s">
        <v>84</v>
      </c>
      <c r="G2140" s="9" t="s">
        <v>32</v>
      </c>
      <c r="H2140" s="10" t="s">
        <v>59</v>
      </c>
      <c r="I2140" s="7">
        <v>82</v>
      </c>
      <c r="J2140" s="11">
        <v>95</v>
      </c>
      <c r="K2140" s="11">
        <f t="shared" si="66"/>
        <v>7790</v>
      </c>
      <c r="L2140" s="11">
        <v>0</v>
      </c>
      <c r="M2140" s="11">
        <v>934.8</v>
      </c>
      <c r="N2140" s="11">
        <f t="shared" si="67"/>
        <v>8724.7999999999993</v>
      </c>
    </row>
    <row r="2141" spans="3:14" x14ac:dyDescent="0.3">
      <c r="C2141" s="6">
        <v>44444</v>
      </c>
      <c r="D2141" s="7" t="s">
        <v>116</v>
      </c>
      <c r="E2141" s="8">
        <v>2021</v>
      </c>
      <c r="F2141" s="9" t="s">
        <v>84</v>
      </c>
      <c r="G2141" s="9" t="s">
        <v>24</v>
      </c>
      <c r="H2141" s="10" t="s">
        <v>76</v>
      </c>
      <c r="I2141" s="7">
        <v>99</v>
      </c>
      <c r="J2141" s="11">
        <v>96</v>
      </c>
      <c r="K2141" s="11">
        <f t="shared" si="66"/>
        <v>9504</v>
      </c>
      <c r="L2141" s="11">
        <v>5.0000000745058101E-2</v>
      </c>
      <c r="M2141" s="11">
        <v>1140.48</v>
      </c>
      <c r="N2141" s="11">
        <f t="shared" si="67"/>
        <v>10644.429999999255</v>
      </c>
    </row>
    <row r="2142" spans="3:14" x14ac:dyDescent="0.3">
      <c r="C2142" s="6">
        <v>44444</v>
      </c>
      <c r="D2142" s="7" t="s">
        <v>116</v>
      </c>
      <c r="E2142" s="8">
        <v>2021</v>
      </c>
      <c r="F2142" s="9" t="s">
        <v>84</v>
      </c>
      <c r="G2142" s="9" t="s">
        <v>14</v>
      </c>
      <c r="H2142" s="10" t="s">
        <v>35</v>
      </c>
      <c r="I2142" s="7">
        <v>84</v>
      </c>
      <c r="J2142" s="11">
        <v>49</v>
      </c>
      <c r="K2142" s="11">
        <f t="shared" si="66"/>
        <v>4116</v>
      </c>
      <c r="L2142" s="11">
        <v>5.0000000745058101E-2</v>
      </c>
      <c r="M2142" s="11">
        <v>493.91999999999996</v>
      </c>
      <c r="N2142" s="11">
        <f t="shared" si="67"/>
        <v>4609.869999999255</v>
      </c>
    </row>
    <row r="2143" spans="3:14" x14ac:dyDescent="0.3">
      <c r="C2143" s="6">
        <v>44444</v>
      </c>
      <c r="D2143" s="7" t="s">
        <v>116</v>
      </c>
      <c r="E2143" s="8">
        <v>2021</v>
      </c>
      <c r="F2143" s="9" t="s">
        <v>84</v>
      </c>
      <c r="G2143" s="9" t="s">
        <v>26</v>
      </c>
      <c r="H2143" s="10" t="s">
        <v>52</v>
      </c>
      <c r="I2143" s="7">
        <v>79</v>
      </c>
      <c r="J2143" s="11">
        <v>92</v>
      </c>
      <c r="K2143" s="11">
        <f t="shared" si="66"/>
        <v>7268</v>
      </c>
      <c r="L2143" s="11">
        <v>5.0000000745058101E-2</v>
      </c>
      <c r="M2143" s="11">
        <v>872.16</v>
      </c>
      <c r="N2143" s="11">
        <f t="shared" si="67"/>
        <v>8140.1099999992548</v>
      </c>
    </row>
    <row r="2144" spans="3:14" x14ac:dyDescent="0.3">
      <c r="C2144" s="6">
        <v>44444</v>
      </c>
      <c r="D2144" s="7" t="s">
        <v>116</v>
      </c>
      <c r="E2144" s="8">
        <v>2021</v>
      </c>
      <c r="F2144" s="9" t="s">
        <v>161</v>
      </c>
      <c r="G2144" s="9" t="s">
        <v>14</v>
      </c>
      <c r="H2144" s="10" t="s">
        <v>36</v>
      </c>
      <c r="I2144" s="7">
        <v>89</v>
      </c>
      <c r="J2144" s="11">
        <v>72</v>
      </c>
      <c r="K2144" s="11">
        <f t="shared" si="66"/>
        <v>6408</v>
      </c>
      <c r="L2144" s="11">
        <v>5.0000000745058101E-2</v>
      </c>
      <c r="M2144" s="11">
        <v>768.95999999999992</v>
      </c>
      <c r="N2144" s="11">
        <f t="shared" si="67"/>
        <v>7176.909999999255</v>
      </c>
    </row>
    <row r="2145" spans="3:14" x14ac:dyDescent="0.3">
      <c r="C2145" s="6">
        <v>44444</v>
      </c>
      <c r="D2145" s="7" t="s">
        <v>116</v>
      </c>
      <c r="E2145" s="8">
        <v>2021</v>
      </c>
      <c r="F2145" s="9" t="s">
        <v>161</v>
      </c>
      <c r="G2145" s="9" t="s">
        <v>24</v>
      </c>
      <c r="H2145" s="10" t="s">
        <v>76</v>
      </c>
      <c r="I2145" s="7">
        <v>86</v>
      </c>
      <c r="J2145" s="11">
        <v>71</v>
      </c>
      <c r="K2145" s="11">
        <f t="shared" si="66"/>
        <v>6106</v>
      </c>
      <c r="L2145" s="11">
        <v>5.0000000745058101E-2</v>
      </c>
      <c r="M2145" s="11">
        <v>732.72</v>
      </c>
      <c r="N2145" s="11">
        <f t="shared" si="67"/>
        <v>6838.6699999992552</v>
      </c>
    </row>
    <row r="2146" spans="3:14" x14ac:dyDescent="0.3">
      <c r="C2146" s="6">
        <v>44444</v>
      </c>
      <c r="D2146" s="7" t="s">
        <v>116</v>
      </c>
      <c r="E2146" s="8">
        <v>2021</v>
      </c>
      <c r="F2146" s="9" t="s">
        <v>161</v>
      </c>
      <c r="G2146" s="9" t="s">
        <v>37</v>
      </c>
      <c r="H2146" s="10" t="s">
        <v>63</v>
      </c>
      <c r="I2146" s="7">
        <v>49</v>
      </c>
      <c r="J2146" s="11">
        <v>21</v>
      </c>
      <c r="K2146" s="11">
        <f t="shared" si="66"/>
        <v>1029</v>
      </c>
      <c r="L2146" s="11">
        <v>5.0000000745058101E-2</v>
      </c>
      <c r="M2146" s="11">
        <v>123.47999999999999</v>
      </c>
      <c r="N2146" s="11">
        <f t="shared" si="67"/>
        <v>1152.429999999255</v>
      </c>
    </row>
    <row r="2147" spans="3:14" x14ac:dyDescent="0.3">
      <c r="C2147" s="6">
        <v>44447</v>
      </c>
      <c r="D2147" s="7" t="s">
        <v>116</v>
      </c>
      <c r="E2147" s="8">
        <v>2021</v>
      </c>
      <c r="F2147" s="9" t="s">
        <v>163</v>
      </c>
      <c r="G2147" s="9" t="s">
        <v>32</v>
      </c>
      <c r="H2147" s="10" t="s">
        <v>33</v>
      </c>
      <c r="I2147" s="7">
        <v>96</v>
      </c>
      <c r="J2147" s="11">
        <v>67</v>
      </c>
      <c r="K2147" s="11">
        <f t="shared" si="66"/>
        <v>6432</v>
      </c>
      <c r="L2147" s="11">
        <v>0</v>
      </c>
      <c r="M2147" s="11">
        <v>771.83999999999992</v>
      </c>
      <c r="N2147" s="11">
        <f t="shared" si="67"/>
        <v>7203.84</v>
      </c>
    </row>
    <row r="2148" spans="3:14" x14ac:dyDescent="0.3">
      <c r="C2148" s="6">
        <v>44448</v>
      </c>
      <c r="D2148" s="7" t="s">
        <v>116</v>
      </c>
      <c r="E2148" s="8">
        <v>2021</v>
      </c>
      <c r="F2148" s="9" t="s">
        <v>118</v>
      </c>
      <c r="G2148" s="9" t="s">
        <v>37</v>
      </c>
      <c r="H2148" s="10" t="s">
        <v>38</v>
      </c>
      <c r="I2148" s="7">
        <v>39</v>
      </c>
      <c r="J2148" s="11">
        <v>18</v>
      </c>
      <c r="K2148" s="11">
        <f t="shared" si="66"/>
        <v>702</v>
      </c>
      <c r="L2148" s="11">
        <v>0.20000000298023199</v>
      </c>
      <c r="M2148" s="11">
        <v>84.24</v>
      </c>
      <c r="N2148" s="11">
        <f t="shared" si="67"/>
        <v>786.03999999701978</v>
      </c>
    </row>
    <row r="2149" spans="3:14" x14ac:dyDescent="0.3">
      <c r="C2149" s="6">
        <v>44448</v>
      </c>
      <c r="D2149" s="7" t="s">
        <v>116</v>
      </c>
      <c r="E2149" s="8">
        <v>2021</v>
      </c>
      <c r="F2149" s="9" t="s">
        <v>118</v>
      </c>
      <c r="G2149" s="9" t="s">
        <v>24</v>
      </c>
      <c r="H2149" s="10" t="s">
        <v>128</v>
      </c>
      <c r="I2149" s="7">
        <v>66</v>
      </c>
      <c r="J2149" s="11">
        <v>11</v>
      </c>
      <c r="K2149" s="11">
        <f t="shared" si="66"/>
        <v>726</v>
      </c>
      <c r="L2149" s="11">
        <v>0.20000000298023199</v>
      </c>
      <c r="M2149" s="11">
        <v>87.11999999999999</v>
      </c>
      <c r="N2149" s="11">
        <f t="shared" si="67"/>
        <v>812.91999999701977</v>
      </c>
    </row>
    <row r="2150" spans="3:14" x14ac:dyDescent="0.3">
      <c r="C2150" s="6">
        <v>44448</v>
      </c>
      <c r="D2150" s="7" t="s">
        <v>116</v>
      </c>
      <c r="E2150" s="8">
        <v>2021</v>
      </c>
      <c r="F2150" s="9" t="s">
        <v>122</v>
      </c>
      <c r="G2150" s="9" t="s">
        <v>32</v>
      </c>
      <c r="H2150" s="10" t="s">
        <v>110</v>
      </c>
      <c r="I2150" s="7">
        <v>83</v>
      </c>
      <c r="J2150" s="11">
        <v>80</v>
      </c>
      <c r="K2150" s="11">
        <f t="shared" si="66"/>
        <v>6640</v>
      </c>
      <c r="L2150" s="11">
        <v>0</v>
      </c>
      <c r="M2150" s="11">
        <v>796.8</v>
      </c>
      <c r="N2150" s="11">
        <f t="shared" si="67"/>
        <v>7436.8</v>
      </c>
    </row>
    <row r="2151" spans="3:14" x14ac:dyDescent="0.3">
      <c r="C2151" s="6">
        <v>44449</v>
      </c>
      <c r="D2151" s="7" t="s">
        <v>116</v>
      </c>
      <c r="E2151" s="8">
        <v>2021</v>
      </c>
      <c r="F2151" s="9" t="s">
        <v>141</v>
      </c>
      <c r="G2151" s="9" t="s">
        <v>24</v>
      </c>
      <c r="H2151" s="10" t="s">
        <v>76</v>
      </c>
      <c r="I2151" s="7">
        <v>44</v>
      </c>
      <c r="J2151" s="11">
        <v>66</v>
      </c>
      <c r="K2151" s="11">
        <f t="shared" si="66"/>
        <v>2904</v>
      </c>
      <c r="L2151" s="11">
        <v>5.0000000745058101E-2</v>
      </c>
      <c r="M2151" s="11">
        <v>348.47999999999996</v>
      </c>
      <c r="N2151" s="11">
        <f t="shared" si="67"/>
        <v>3252.429999999255</v>
      </c>
    </row>
    <row r="2152" spans="3:14" x14ac:dyDescent="0.3">
      <c r="C2152" s="6">
        <v>44449</v>
      </c>
      <c r="D2152" s="7" t="s">
        <v>116</v>
      </c>
      <c r="E2152" s="8">
        <v>2021</v>
      </c>
      <c r="F2152" s="9" t="s">
        <v>141</v>
      </c>
      <c r="G2152" s="9" t="s">
        <v>16</v>
      </c>
      <c r="H2152" s="10" t="s">
        <v>17</v>
      </c>
      <c r="I2152" s="7">
        <v>7</v>
      </c>
      <c r="J2152" s="11">
        <v>91</v>
      </c>
      <c r="K2152" s="11">
        <f t="shared" si="66"/>
        <v>637</v>
      </c>
      <c r="L2152" s="11">
        <v>5.0000000745058101E-2</v>
      </c>
      <c r="M2152" s="11">
        <v>76.44</v>
      </c>
      <c r="N2152" s="11">
        <f t="shared" si="67"/>
        <v>713.389999999255</v>
      </c>
    </row>
    <row r="2153" spans="3:14" x14ac:dyDescent="0.3">
      <c r="C2153" s="6">
        <v>44449</v>
      </c>
      <c r="D2153" s="7" t="s">
        <v>116</v>
      </c>
      <c r="E2153" s="8">
        <v>2021</v>
      </c>
      <c r="F2153" s="9" t="s">
        <v>141</v>
      </c>
      <c r="G2153" s="9" t="s">
        <v>20</v>
      </c>
      <c r="H2153" s="10" t="s">
        <v>22</v>
      </c>
      <c r="I2153" s="7">
        <v>92</v>
      </c>
      <c r="J2153" s="11">
        <v>84</v>
      </c>
      <c r="K2153" s="11">
        <f t="shared" si="66"/>
        <v>7728</v>
      </c>
      <c r="L2153" s="11">
        <v>5.0000000745058101E-2</v>
      </c>
      <c r="M2153" s="11">
        <v>927.36</v>
      </c>
      <c r="N2153" s="11">
        <f t="shared" si="67"/>
        <v>8655.3099999992555</v>
      </c>
    </row>
    <row r="2154" spans="3:14" x14ac:dyDescent="0.3">
      <c r="C2154" s="6">
        <v>44449</v>
      </c>
      <c r="D2154" s="7" t="s">
        <v>116</v>
      </c>
      <c r="E2154" s="8">
        <v>2021</v>
      </c>
      <c r="F2154" s="9" t="s">
        <v>138</v>
      </c>
      <c r="G2154" s="9" t="s">
        <v>24</v>
      </c>
      <c r="H2154" s="10" t="s">
        <v>85</v>
      </c>
      <c r="I2154" s="7">
        <v>25</v>
      </c>
      <c r="J2154" s="11">
        <v>83</v>
      </c>
      <c r="K2154" s="11">
        <f t="shared" si="66"/>
        <v>2075</v>
      </c>
      <c r="L2154" s="11">
        <v>0.15000000596046401</v>
      </c>
      <c r="M2154" s="11">
        <v>249</v>
      </c>
      <c r="N2154" s="11">
        <f t="shared" si="67"/>
        <v>2323.8499999940395</v>
      </c>
    </row>
    <row r="2155" spans="3:14" x14ac:dyDescent="0.3">
      <c r="C2155" s="6">
        <v>44449</v>
      </c>
      <c r="D2155" s="7" t="s">
        <v>116</v>
      </c>
      <c r="E2155" s="8">
        <v>2021</v>
      </c>
      <c r="F2155" s="9" t="s">
        <v>138</v>
      </c>
      <c r="G2155" s="9" t="s">
        <v>16</v>
      </c>
      <c r="H2155" s="10" t="s">
        <v>68</v>
      </c>
      <c r="I2155" s="7">
        <v>14</v>
      </c>
      <c r="J2155" s="11">
        <v>80</v>
      </c>
      <c r="K2155" s="11">
        <f t="shared" si="66"/>
        <v>1120</v>
      </c>
      <c r="L2155" s="11">
        <v>0.15000000596046401</v>
      </c>
      <c r="M2155" s="11">
        <v>134.4</v>
      </c>
      <c r="N2155" s="11">
        <f t="shared" si="67"/>
        <v>1254.2499999940396</v>
      </c>
    </row>
    <row r="2156" spans="3:14" x14ac:dyDescent="0.3">
      <c r="C2156" s="6">
        <v>44449</v>
      </c>
      <c r="D2156" s="7" t="s">
        <v>116</v>
      </c>
      <c r="E2156" s="8">
        <v>2021</v>
      </c>
      <c r="F2156" s="9" t="s">
        <v>138</v>
      </c>
      <c r="G2156" s="9" t="s">
        <v>26</v>
      </c>
      <c r="H2156" s="10" t="s">
        <v>27</v>
      </c>
      <c r="I2156" s="7">
        <v>81</v>
      </c>
      <c r="J2156" s="11">
        <v>57</v>
      </c>
      <c r="K2156" s="11">
        <f t="shared" si="66"/>
        <v>4617</v>
      </c>
      <c r="L2156" s="11">
        <v>0.15000000596046401</v>
      </c>
      <c r="M2156" s="11">
        <v>554.04</v>
      </c>
      <c r="N2156" s="11">
        <f t="shared" si="67"/>
        <v>5170.8899999940395</v>
      </c>
    </row>
    <row r="2157" spans="3:14" x14ac:dyDescent="0.3">
      <c r="C2157" s="6">
        <v>44450</v>
      </c>
      <c r="D2157" s="7" t="s">
        <v>116</v>
      </c>
      <c r="E2157" s="8">
        <v>2021</v>
      </c>
      <c r="F2157" s="9" t="s">
        <v>122</v>
      </c>
      <c r="G2157" s="9" t="s">
        <v>20</v>
      </c>
      <c r="H2157" s="10" t="s">
        <v>22</v>
      </c>
      <c r="I2157" s="7">
        <v>89</v>
      </c>
      <c r="J2157" s="11">
        <v>69</v>
      </c>
      <c r="K2157" s="11">
        <f t="shared" si="66"/>
        <v>6141</v>
      </c>
      <c r="L2157" s="11">
        <v>0</v>
      </c>
      <c r="M2157" s="11">
        <v>736.92</v>
      </c>
      <c r="N2157" s="11">
        <f t="shared" si="67"/>
        <v>6877.92</v>
      </c>
    </row>
    <row r="2158" spans="3:14" x14ac:dyDescent="0.3">
      <c r="C2158" s="6">
        <v>44450</v>
      </c>
      <c r="D2158" s="7" t="s">
        <v>116</v>
      </c>
      <c r="E2158" s="8">
        <v>2021</v>
      </c>
      <c r="F2158" s="9" t="s">
        <v>122</v>
      </c>
      <c r="G2158" s="9" t="s">
        <v>14</v>
      </c>
      <c r="H2158" s="10" t="s">
        <v>49</v>
      </c>
      <c r="I2158" s="7">
        <v>59</v>
      </c>
      <c r="J2158" s="11">
        <v>23</v>
      </c>
      <c r="K2158" s="11">
        <f t="shared" si="66"/>
        <v>1357</v>
      </c>
      <c r="L2158" s="11">
        <v>0</v>
      </c>
      <c r="M2158" s="11">
        <v>162.84</v>
      </c>
      <c r="N2158" s="11">
        <f t="shared" si="67"/>
        <v>1519.84</v>
      </c>
    </row>
    <row r="2159" spans="3:14" x14ac:dyDescent="0.3">
      <c r="C2159" s="6">
        <v>44450</v>
      </c>
      <c r="D2159" s="7" t="s">
        <v>116</v>
      </c>
      <c r="E2159" s="8">
        <v>2021</v>
      </c>
      <c r="F2159" s="9" t="s">
        <v>122</v>
      </c>
      <c r="G2159" s="9" t="s">
        <v>37</v>
      </c>
      <c r="H2159" s="10" t="s">
        <v>77</v>
      </c>
      <c r="I2159" s="7">
        <v>80</v>
      </c>
      <c r="J2159" s="11">
        <v>89</v>
      </c>
      <c r="K2159" s="11">
        <f t="shared" si="66"/>
        <v>7120</v>
      </c>
      <c r="L2159" s="11">
        <v>0</v>
      </c>
      <c r="M2159" s="11">
        <v>854.4</v>
      </c>
      <c r="N2159" s="11">
        <f t="shared" si="67"/>
        <v>7974.4</v>
      </c>
    </row>
    <row r="2160" spans="3:14" x14ac:dyDescent="0.3">
      <c r="C2160" s="6">
        <v>44451</v>
      </c>
      <c r="D2160" s="7" t="s">
        <v>116</v>
      </c>
      <c r="E2160" s="8">
        <v>2021</v>
      </c>
      <c r="F2160" s="9" t="s">
        <v>45</v>
      </c>
      <c r="G2160" s="9" t="s">
        <v>42</v>
      </c>
      <c r="H2160" s="10" t="s">
        <v>79</v>
      </c>
      <c r="I2160" s="7">
        <v>47</v>
      </c>
      <c r="J2160" s="11">
        <v>55</v>
      </c>
      <c r="K2160" s="11">
        <f t="shared" si="66"/>
        <v>2585</v>
      </c>
      <c r="L2160" s="11">
        <v>0</v>
      </c>
      <c r="M2160" s="11">
        <v>310.2</v>
      </c>
      <c r="N2160" s="11">
        <f t="shared" si="67"/>
        <v>2895.2</v>
      </c>
    </row>
    <row r="2161" spans="3:14" x14ac:dyDescent="0.3">
      <c r="C2161" s="6">
        <v>44451</v>
      </c>
      <c r="D2161" s="7" t="s">
        <v>116</v>
      </c>
      <c r="E2161" s="8">
        <v>2021</v>
      </c>
      <c r="F2161" s="9" t="s">
        <v>45</v>
      </c>
      <c r="G2161" s="9" t="s">
        <v>26</v>
      </c>
      <c r="H2161" s="10" t="s">
        <v>27</v>
      </c>
      <c r="I2161" s="7">
        <v>66</v>
      </c>
      <c r="J2161" s="11">
        <v>100</v>
      </c>
      <c r="K2161" s="11">
        <f t="shared" si="66"/>
        <v>6600</v>
      </c>
      <c r="L2161" s="11">
        <v>0</v>
      </c>
      <c r="M2161" s="11">
        <v>792</v>
      </c>
      <c r="N2161" s="11">
        <f t="shared" si="67"/>
        <v>7392</v>
      </c>
    </row>
    <row r="2162" spans="3:14" x14ac:dyDescent="0.3">
      <c r="C2162" s="6">
        <v>44451</v>
      </c>
      <c r="D2162" s="7" t="s">
        <v>116</v>
      </c>
      <c r="E2162" s="8">
        <v>2021</v>
      </c>
      <c r="F2162" s="9" t="s">
        <v>55</v>
      </c>
      <c r="G2162" s="9" t="s">
        <v>14</v>
      </c>
      <c r="H2162" s="10" t="s">
        <v>117</v>
      </c>
      <c r="I2162" s="7">
        <v>21</v>
      </c>
      <c r="J2162" s="11">
        <v>60</v>
      </c>
      <c r="K2162" s="11">
        <f t="shared" si="66"/>
        <v>1260</v>
      </c>
      <c r="L2162" s="11">
        <v>0.20000000298023199</v>
      </c>
      <c r="M2162" s="11">
        <v>151.19999999999999</v>
      </c>
      <c r="N2162" s="11">
        <f t="shared" si="67"/>
        <v>1410.9999999970198</v>
      </c>
    </row>
    <row r="2163" spans="3:14" x14ac:dyDescent="0.3">
      <c r="C2163" s="6">
        <v>44451</v>
      </c>
      <c r="D2163" s="7" t="s">
        <v>116</v>
      </c>
      <c r="E2163" s="8">
        <v>2021</v>
      </c>
      <c r="F2163" s="9" t="s">
        <v>55</v>
      </c>
      <c r="G2163" s="9" t="s">
        <v>14</v>
      </c>
      <c r="H2163" s="10" t="s">
        <v>87</v>
      </c>
      <c r="I2163" s="7">
        <v>24</v>
      </c>
      <c r="J2163" s="11">
        <v>54</v>
      </c>
      <c r="K2163" s="11">
        <f t="shared" si="66"/>
        <v>1296</v>
      </c>
      <c r="L2163" s="11">
        <v>0.20000000298023199</v>
      </c>
      <c r="M2163" s="11">
        <v>155.51999999999998</v>
      </c>
      <c r="N2163" s="11">
        <f t="shared" si="67"/>
        <v>1451.3199999970197</v>
      </c>
    </row>
    <row r="2164" spans="3:14" x14ac:dyDescent="0.3">
      <c r="C2164" s="6">
        <v>44454</v>
      </c>
      <c r="D2164" s="7" t="s">
        <v>116</v>
      </c>
      <c r="E2164" s="8">
        <v>2021</v>
      </c>
      <c r="F2164" s="9" t="s">
        <v>120</v>
      </c>
      <c r="G2164" s="9" t="s">
        <v>14</v>
      </c>
      <c r="H2164" s="10" t="s">
        <v>36</v>
      </c>
      <c r="I2164" s="7">
        <v>34</v>
      </c>
      <c r="J2164" s="11">
        <v>14</v>
      </c>
      <c r="K2164" s="11">
        <f t="shared" si="66"/>
        <v>476</v>
      </c>
      <c r="L2164" s="11">
        <v>0.10000000149011599</v>
      </c>
      <c r="M2164" s="11">
        <v>57.12</v>
      </c>
      <c r="N2164" s="11">
        <f t="shared" si="67"/>
        <v>533.01999999850989</v>
      </c>
    </row>
    <row r="2165" spans="3:14" x14ac:dyDescent="0.3">
      <c r="C2165" s="6">
        <v>44454</v>
      </c>
      <c r="D2165" s="7" t="s">
        <v>116</v>
      </c>
      <c r="E2165" s="8">
        <v>2021</v>
      </c>
      <c r="F2165" s="9" t="s">
        <v>120</v>
      </c>
      <c r="G2165" s="9" t="s">
        <v>42</v>
      </c>
      <c r="H2165" s="10" t="s">
        <v>43</v>
      </c>
      <c r="I2165" s="7">
        <v>43</v>
      </c>
      <c r="J2165" s="11">
        <v>46</v>
      </c>
      <c r="K2165" s="11">
        <f t="shared" si="66"/>
        <v>1978</v>
      </c>
      <c r="L2165" s="11">
        <v>0.10000000149011599</v>
      </c>
      <c r="M2165" s="11">
        <v>237.35999999999999</v>
      </c>
      <c r="N2165" s="11">
        <f t="shared" si="67"/>
        <v>2215.25999999851</v>
      </c>
    </row>
    <row r="2166" spans="3:14" x14ac:dyDescent="0.3">
      <c r="C2166" s="6">
        <v>44454</v>
      </c>
      <c r="D2166" s="7" t="s">
        <v>116</v>
      </c>
      <c r="E2166" s="8">
        <v>2021</v>
      </c>
      <c r="F2166" s="9" t="s">
        <v>120</v>
      </c>
      <c r="G2166" s="9" t="s">
        <v>16</v>
      </c>
      <c r="H2166" s="10" t="s">
        <v>113</v>
      </c>
      <c r="I2166" s="7">
        <v>46</v>
      </c>
      <c r="J2166" s="11">
        <v>78</v>
      </c>
      <c r="K2166" s="11">
        <f t="shared" si="66"/>
        <v>3588</v>
      </c>
      <c r="L2166" s="11">
        <v>0.10000000149011599</v>
      </c>
      <c r="M2166" s="11">
        <v>430.56</v>
      </c>
      <c r="N2166" s="11">
        <f t="shared" si="67"/>
        <v>4018.4599999985098</v>
      </c>
    </row>
    <row r="2167" spans="3:14" x14ac:dyDescent="0.3">
      <c r="C2167" s="6">
        <v>44454</v>
      </c>
      <c r="D2167" s="7" t="s">
        <v>116</v>
      </c>
      <c r="E2167" s="8">
        <v>2021</v>
      </c>
      <c r="F2167" s="9" t="s">
        <v>146</v>
      </c>
      <c r="G2167" s="9" t="s">
        <v>24</v>
      </c>
      <c r="H2167" s="10" t="s">
        <v>48</v>
      </c>
      <c r="I2167" s="7">
        <v>82</v>
      </c>
      <c r="J2167" s="11">
        <v>96</v>
      </c>
      <c r="K2167" s="11">
        <f t="shared" si="66"/>
        <v>7872</v>
      </c>
      <c r="L2167" s="11">
        <v>0</v>
      </c>
      <c r="M2167" s="11">
        <v>944.64</v>
      </c>
      <c r="N2167" s="11">
        <f t="shared" si="67"/>
        <v>8816.64</v>
      </c>
    </row>
    <row r="2168" spans="3:14" x14ac:dyDescent="0.3">
      <c r="C2168" s="6">
        <v>44455</v>
      </c>
      <c r="D2168" s="7" t="s">
        <v>116</v>
      </c>
      <c r="E2168" s="8">
        <v>2021</v>
      </c>
      <c r="F2168" s="9" t="s">
        <v>75</v>
      </c>
      <c r="G2168" s="9" t="s">
        <v>16</v>
      </c>
      <c r="H2168" s="10" t="s">
        <v>145</v>
      </c>
      <c r="I2168" s="7">
        <v>31</v>
      </c>
      <c r="J2168" s="11">
        <v>69</v>
      </c>
      <c r="K2168" s="11">
        <f t="shared" si="66"/>
        <v>2139</v>
      </c>
      <c r="L2168" s="11">
        <v>0</v>
      </c>
      <c r="M2168" s="11">
        <v>256.68</v>
      </c>
      <c r="N2168" s="11">
        <f t="shared" si="67"/>
        <v>2395.6799999999998</v>
      </c>
    </row>
    <row r="2169" spans="3:14" x14ac:dyDescent="0.3">
      <c r="C2169" s="6">
        <v>44455</v>
      </c>
      <c r="D2169" s="7" t="s">
        <v>116</v>
      </c>
      <c r="E2169" s="8">
        <v>2021</v>
      </c>
      <c r="F2169" s="9" t="s">
        <v>75</v>
      </c>
      <c r="G2169" s="9" t="s">
        <v>24</v>
      </c>
      <c r="H2169" s="10" t="s">
        <v>107</v>
      </c>
      <c r="I2169" s="7">
        <v>25</v>
      </c>
      <c r="J2169" s="11">
        <v>78</v>
      </c>
      <c r="K2169" s="11">
        <f t="shared" si="66"/>
        <v>1950</v>
      </c>
      <c r="L2169" s="11">
        <v>0</v>
      </c>
      <c r="M2169" s="11">
        <v>234</v>
      </c>
      <c r="N2169" s="11">
        <f t="shared" si="67"/>
        <v>2184</v>
      </c>
    </row>
    <row r="2170" spans="3:14" x14ac:dyDescent="0.3">
      <c r="C2170" s="6">
        <v>44455</v>
      </c>
      <c r="D2170" s="7" t="s">
        <v>116</v>
      </c>
      <c r="E2170" s="8">
        <v>2021</v>
      </c>
      <c r="F2170" s="9" t="s">
        <v>75</v>
      </c>
      <c r="G2170" s="9" t="s">
        <v>37</v>
      </c>
      <c r="H2170" s="10" t="s">
        <v>103</v>
      </c>
      <c r="I2170" s="7">
        <v>69</v>
      </c>
      <c r="J2170" s="11">
        <v>40</v>
      </c>
      <c r="K2170" s="11">
        <f t="shared" si="66"/>
        <v>2760</v>
      </c>
      <c r="L2170" s="11">
        <v>0</v>
      </c>
      <c r="M2170" s="11">
        <v>331.2</v>
      </c>
      <c r="N2170" s="11">
        <f t="shared" si="67"/>
        <v>3091.2</v>
      </c>
    </row>
    <row r="2171" spans="3:14" x14ac:dyDescent="0.3">
      <c r="C2171" s="6">
        <v>44455</v>
      </c>
      <c r="D2171" s="7" t="s">
        <v>116</v>
      </c>
      <c r="E2171" s="8">
        <v>2021</v>
      </c>
      <c r="F2171" s="9" t="s">
        <v>75</v>
      </c>
      <c r="G2171" s="9" t="s">
        <v>24</v>
      </c>
      <c r="H2171" s="10" t="s">
        <v>96</v>
      </c>
      <c r="I2171" s="7">
        <v>42</v>
      </c>
      <c r="J2171" s="11">
        <v>24</v>
      </c>
      <c r="K2171" s="11">
        <f t="shared" si="66"/>
        <v>1008</v>
      </c>
      <c r="L2171" s="11">
        <v>0</v>
      </c>
      <c r="M2171" s="11">
        <v>120.96</v>
      </c>
      <c r="N2171" s="11">
        <f t="shared" si="67"/>
        <v>1128.96</v>
      </c>
    </row>
    <row r="2172" spans="3:14" x14ac:dyDescent="0.3">
      <c r="C2172" s="6">
        <v>44455</v>
      </c>
      <c r="D2172" s="7" t="s">
        <v>116</v>
      </c>
      <c r="E2172" s="8">
        <v>2021</v>
      </c>
      <c r="F2172" s="9" t="s">
        <v>75</v>
      </c>
      <c r="G2172" s="9" t="s">
        <v>37</v>
      </c>
      <c r="H2172" s="10" t="s">
        <v>98</v>
      </c>
      <c r="I2172" s="7">
        <v>76</v>
      </c>
      <c r="J2172" s="11">
        <v>73</v>
      </c>
      <c r="K2172" s="11">
        <f t="shared" si="66"/>
        <v>5548</v>
      </c>
      <c r="L2172" s="11">
        <v>0</v>
      </c>
      <c r="M2172" s="11">
        <v>665.76</v>
      </c>
      <c r="N2172" s="11">
        <f t="shared" si="67"/>
        <v>6213.76</v>
      </c>
    </row>
    <row r="2173" spans="3:14" x14ac:dyDescent="0.3">
      <c r="C2173" s="6">
        <v>44456</v>
      </c>
      <c r="D2173" s="7" t="s">
        <v>116</v>
      </c>
      <c r="E2173" s="8">
        <v>2021</v>
      </c>
      <c r="F2173" s="9" t="s">
        <v>196</v>
      </c>
      <c r="G2173" s="9" t="s">
        <v>32</v>
      </c>
      <c r="H2173" s="10" t="s">
        <v>47</v>
      </c>
      <c r="I2173" s="7">
        <v>61</v>
      </c>
      <c r="J2173" s="11">
        <v>78</v>
      </c>
      <c r="K2173" s="11">
        <f t="shared" si="66"/>
        <v>4758</v>
      </c>
      <c r="L2173" s="11">
        <v>0</v>
      </c>
      <c r="M2173" s="11">
        <v>570.95999999999992</v>
      </c>
      <c r="N2173" s="11">
        <f t="shared" si="67"/>
        <v>5328.96</v>
      </c>
    </row>
    <row r="2174" spans="3:14" x14ac:dyDescent="0.3">
      <c r="C2174" s="6">
        <v>44456</v>
      </c>
      <c r="D2174" s="7" t="s">
        <v>116</v>
      </c>
      <c r="E2174" s="8">
        <v>2021</v>
      </c>
      <c r="F2174" s="9" t="s">
        <v>196</v>
      </c>
      <c r="G2174" s="9" t="s">
        <v>32</v>
      </c>
      <c r="H2174" s="10" t="s">
        <v>62</v>
      </c>
      <c r="I2174" s="7">
        <v>1</v>
      </c>
      <c r="J2174" s="11">
        <v>79</v>
      </c>
      <c r="K2174" s="11">
        <f t="shared" si="66"/>
        <v>79</v>
      </c>
      <c r="L2174" s="11">
        <v>0</v>
      </c>
      <c r="M2174" s="11">
        <v>9.48</v>
      </c>
      <c r="N2174" s="11">
        <f t="shared" si="67"/>
        <v>88.48</v>
      </c>
    </row>
    <row r="2175" spans="3:14" x14ac:dyDescent="0.3">
      <c r="C2175" s="6">
        <v>44456</v>
      </c>
      <c r="D2175" s="7" t="s">
        <v>116</v>
      </c>
      <c r="E2175" s="8">
        <v>2021</v>
      </c>
      <c r="F2175" s="9" t="s">
        <v>196</v>
      </c>
      <c r="G2175" s="9" t="s">
        <v>26</v>
      </c>
      <c r="H2175" s="10" t="s">
        <v>27</v>
      </c>
      <c r="I2175" s="7">
        <v>38</v>
      </c>
      <c r="J2175" s="11">
        <v>11</v>
      </c>
      <c r="K2175" s="11">
        <f t="shared" si="66"/>
        <v>418</v>
      </c>
      <c r="L2175" s="11">
        <v>0</v>
      </c>
      <c r="M2175" s="11">
        <v>50.16</v>
      </c>
      <c r="N2175" s="11">
        <f t="shared" si="67"/>
        <v>468.15999999999997</v>
      </c>
    </row>
    <row r="2176" spans="3:14" x14ac:dyDescent="0.3">
      <c r="C2176" s="6">
        <v>44456</v>
      </c>
      <c r="D2176" s="7" t="s">
        <v>116</v>
      </c>
      <c r="E2176" s="8">
        <v>2021</v>
      </c>
      <c r="F2176" s="9" t="s">
        <v>93</v>
      </c>
      <c r="G2176" s="9" t="s">
        <v>37</v>
      </c>
      <c r="H2176" s="10" t="s">
        <v>139</v>
      </c>
      <c r="I2176" s="7">
        <v>62</v>
      </c>
      <c r="J2176" s="11">
        <v>26</v>
      </c>
      <c r="K2176" s="11">
        <f t="shared" si="66"/>
        <v>1612</v>
      </c>
      <c r="L2176" s="11">
        <v>0.10000000149011599</v>
      </c>
      <c r="M2176" s="11">
        <v>193.44</v>
      </c>
      <c r="N2176" s="11">
        <f t="shared" si="67"/>
        <v>1805.3399999985099</v>
      </c>
    </row>
    <row r="2177" spans="3:14" x14ac:dyDescent="0.3">
      <c r="C2177" s="6">
        <v>44456</v>
      </c>
      <c r="D2177" s="7" t="s">
        <v>116</v>
      </c>
      <c r="E2177" s="8">
        <v>2021</v>
      </c>
      <c r="F2177" s="9" t="s">
        <v>93</v>
      </c>
      <c r="G2177" s="9" t="s">
        <v>14</v>
      </c>
      <c r="H2177" s="10" t="s">
        <v>87</v>
      </c>
      <c r="I2177" s="7">
        <v>22</v>
      </c>
      <c r="J2177" s="11">
        <v>24</v>
      </c>
      <c r="K2177" s="11">
        <f t="shared" si="66"/>
        <v>528</v>
      </c>
      <c r="L2177" s="11">
        <v>0</v>
      </c>
      <c r="M2177" s="11">
        <v>63.36</v>
      </c>
      <c r="N2177" s="11">
        <f t="shared" si="67"/>
        <v>591.36</v>
      </c>
    </row>
    <row r="2178" spans="3:14" x14ac:dyDescent="0.3">
      <c r="C2178" s="6">
        <v>44457</v>
      </c>
      <c r="D2178" s="7" t="s">
        <v>116</v>
      </c>
      <c r="E2178" s="8">
        <v>2021</v>
      </c>
      <c r="F2178" s="9" t="s">
        <v>13</v>
      </c>
      <c r="G2178" s="9" t="s">
        <v>32</v>
      </c>
      <c r="H2178" s="10" t="s">
        <v>47</v>
      </c>
      <c r="I2178" s="7">
        <v>64</v>
      </c>
      <c r="J2178" s="11">
        <v>92</v>
      </c>
      <c r="K2178" s="11">
        <f t="shared" si="66"/>
        <v>5888</v>
      </c>
      <c r="L2178" s="11">
        <v>0</v>
      </c>
      <c r="M2178" s="11">
        <v>706.56</v>
      </c>
      <c r="N2178" s="11">
        <f t="shared" si="67"/>
        <v>6594.5599999999995</v>
      </c>
    </row>
    <row r="2179" spans="3:14" x14ac:dyDescent="0.3">
      <c r="C2179" s="6">
        <v>44457</v>
      </c>
      <c r="D2179" s="7" t="s">
        <v>116</v>
      </c>
      <c r="E2179" s="8">
        <v>2021</v>
      </c>
      <c r="F2179" s="9" t="s">
        <v>13</v>
      </c>
      <c r="G2179" s="9" t="s">
        <v>16</v>
      </c>
      <c r="H2179" s="10" t="s">
        <v>17</v>
      </c>
      <c r="I2179" s="7">
        <v>18</v>
      </c>
      <c r="J2179" s="11">
        <v>35</v>
      </c>
      <c r="K2179" s="11">
        <f t="shared" ref="K2179:K2242" si="68">J2179*I2179</f>
        <v>630</v>
      </c>
      <c r="L2179" s="11">
        <v>0</v>
      </c>
      <c r="M2179" s="11">
        <v>75.599999999999994</v>
      </c>
      <c r="N2179" s="11">
        <f t="shared" ref="N2179:N2242" si="69">K2179-L2179+M2179</f>
        <v>705.6</v>
      </c>
    </row>
    <row r="2180" spans="3:14" x14ac:dyDescent="0.3">
      <c r="C2180" s="6">
        <v>44457</v>
      </c>
      <c r="D2180" s="7" t="s">
        <v>116</v>
      </c>
      <c r="E2180" s="8">
        <v>2021</v>
      </c>
      <c r="F2180" s="9" t="s">
        <v>13</v>
      </c>
      <c r="G2180" s="9" t="s">
        <v>37</v>
      </c>
      <c r="H2180" s="10" t="s">
        <v>82</v>
      </c>
      <c r="I2180" s="7">
        <v>94</v>
      </c>
      <c r="J2180" s="11">
        <v>64</v>
      </c>
      <c r="K2180" s="11">
        <f t="shared" si="68"/>
        <v>6016</v>
      </c>
      <c r="L2180" s="11">
        <v>0</v>
      </c>
      <c r="M2180" s="11">
        <v>721.92</v>
      </c>
      <c r="N2180" s="11">
        <f t="shared" si="69"/>
        <v>6737.92</v>
      </c>
    </row>
    <row r="2181" spans="3:14" x14ac:dyDescent="0.3">
      <c r="C2181" s="6">
        <v>44457</v>
      </c>
      <c r="D2181" s="7" t="s">
        <v>116</v>
      </c>
      <c r="E2181" s="8">
        <v>2021</v>
      </c>
      <c r="F2181" s="9" t="s">
        <v>129</v>
      </c>
      <c r="G2181" s="9" t="s">
        <v>16</v>
      </c>
      <c r="H2181" s="10" t="s">
        <v>145</v>
      </c>
      <c r="I2181" s="7">
        <v>48</v>
      </c>
      <c r="J2181" s="11">
        <v>28</v>
      </c>
      <c r="K2181" s="11">
        <f t="shared" si="68"/>
        <v>1344</v>
      </c>
      <c r="L2181" s="11">
        <v>0</v>
      </c>
      <c r="M2181" s="11">
        <v>161.28</v>
      </c>
      <c r="N2181" s="11">
        <f t="shared" si="69"/>
        <v>1505.28</v>
      </c>
    </row>
    <row r="2182" spans="3:14" x14ac:dyDescent="0.3">
      <c r="C2182" s="6">
        <v>44458</v>
      </c>
      <c r="D2182" s="7" t="s">
        <v>116</v>
      </c>
      <c r="E2182" s="8">
        <v>2021</v>
      </c>
      <c r="F2182" s="9" t="s">
        <v>75</v>
      </c>
      <c r="G2182" s="9" t="s">
        <v>20</v>
      </c>
      <c r="H2182" s="10" t="s">
        <v>136</v>
      </c>
      <c r="I2182" s="7">
        <v>55</v>
      </c>
      <c r="J2182" s="11">
        <v>27</v>
      </c>
      <c r="K2182" s="11">
        <f t="shared" si="68"/>
        <v>1485</v>
      </c>
      <c r="L2182" s="11">
        <v>0</v>
      </c>
      <c r="M2182" s="11">
        <v>178.2</v>
      </c>
      <c r="N2182" s="11">
        <f t="shared" si="69"/>
        <v>1663.2</v>
      </c>
    </row>
    <row r="2183" spans="3:14" x14ac:dyDescent="0.3">
      <c r="C2183" s="6">
        <v>44458</v>
      </c>
      <c r="D2183" s="7" t="s">
        <v>116</v>
      </c>
      <c r="E2183" s="8">
        <v>2021</v>
      </c>
      <c r="F2183" s="9" t="s">
        <v>75</v>
      </c>
      <c r="G2183" s="9" t="s">
        <v>42</v>
      </c>
      <c r="H2183" s="10" t="s">
        <v>51</v>
      </c>
      <c r="I2183" s="7">
        <v>58</v>
      </c>
      <c r="J2183" s="11">
        <v>94</v>
      </c>
      <c r="K2183" s="11">
        <f t="shared" si="68"/>
        <v>5452</v>
      </c>
      <c r="L2183" s="11">
        <v>0</v>
      </c>
      <c r="M2183" s="11">
        <v>654.24</v>
      </c>
      <c r="N2183" s="11">
        <f t="shared" si="69"/>
        <v>6106.24</v>
      </c>
    </row>
    <row r="2184" spans="3:14" x14ac:dyDescent="0.3">
      <c r="C2184" s="6">
        <v>44458</v>
      </c>
      <c r="D2184" s="7" t="s">
        <v>116</v>
      </c>
      <c r="E2184" s="8">
        <v>2021</v>
      </c>
      <c r="F2184" s="9" t="s">
        <v>75</v>
      </c>
      <c r="G2184" s="9" t="s">
        <v>24</v>
      </c>
      <c r="H2184" s="10" t="s">
        <v>128</v>
      </c>
      <c r="I2184" s="7">
        <v>41</v>
      </c>
      <c r="J2184" s="11">
        <v>38</v>
      </c>
      <c r="K2184" s="11">
        <f t="shared" si="68"/>
        <v>1558</v>
      </c>
      <c r="L2184" s="11">
        <v>0</v>
      </c>
      <c r="M2184" s="11">
        <v>186.95999999999998</v>
      </c>
      <c r="N2184" s="11">
        <f t="shared" si="69"/>
        <v>1744.96</v>
      </c>
    </row>
    <row r="2185" spans="3:14" x14ac:dyDescent="0.3">
      <c r="C2185" s="6">
        <v>44461</v>
      </c>
      <c r="D2185" s="7" t="s">
        <v>116</v>
      </c>
      <c r="E2185" s="8">
        <v>2021</v>
      </c>
      <c r="F2185" s="9" t="s">
        <v>89</v>
      </c>
      <c r="G2185" s="9" t="s">
        <v>24</v>
      </c>
      <c r="H2185" s="10" t="s">
        <v>85</v>
      </c>
      <c r="I2185" s="7">
        <v>95</v>
      </c>
      <c r="J2185" s="11">
        <v>58</v>
      </c>
      <c r="K2185" s="11">
        <f t="shared" si="68"/>
        <v>5510</v>
      </c>
      <c r="L2185" s="11">
        <v>0</v>
      </c>
      <c r="M2185" s="11">
        <v>661.19999999999993</v>
      </c>
      <c r="N2185" s="11">
        <f t="shared" si="69"/>
        <v>6171.2</v>
      </c>
    </row>
    <row r="2186" spans="3:14" x14ac:dyDescent="0.3">
      <c r="C2186" s="6">
        <v>44461</v>
      </c>
      <c r="D2186" s="7" t="s">
        <v>116</v>
      </c>
      <c r="E2186" s="8">
        <v>2021</v>
      </c>
      <c r="F2186" s="9" t="s">
        <v>89</v>
      </c>
      <c r="G2186" s="9" t="s">
        <v>32</v>
      </c>
      <c r="H2186" s="10" t="s">
        <v>100</v>
      </c>
      <c r="I2186" s="7">
        <v>68</v>
      </c>
      <c r="J2186" s="11">
        <v>98</v>
      </c>
      <c r="K2186" s="11">
        <f t="shared" si="68"/>
        <v>6664</v>
      </c>
      <c r="L2186" s="11">
        <v>0</v>
      </c>
      <c r="M2186" s="11">
        <v>799.68</v>
      </c>
      <c r="N2186" s="11">
        <f t="shared" si="69"/>
        <v>7463.68</v>
      </c>
    </row>
    <row r="2187" spans="3:14" x14ac:dyDescent="0.3">
      <c r="C2187" s="6">
        <v>44461</v>
      </c>
      <c r="D2187" s="7" t="s">
        <v>116</v>
      </c>
      <c r="E2187" s="8">
        <v>2021</v>
      </c>
      <c r="F2187" s="9" t="s">
        <v>89</v>
      </c>
      <c r="G2187" s="9" t="s">
        <v>26</v>
      </c>
      <c r="H2187" s="10" t="s">
        <v>94</v>
      </c>
      <c r="I2187" s="7">
        <v>5</v>
      </c>
      <c r="J2187" s="11">
        <v>48</v>
      </c>
      <c r="K2187" s="11">
        <f t="shared" si="68"/>
        <v>240</v>
      </c>
      <c r="L2187" s="11">
        <v>0</v>
      </c>
      <c r="M2187" s="11">
        <v>28.799999999999997</v>
      </c>
      <c r="N2187" s="11">
        <f t="shared" si="69"/>
        <v>268.8</v>
      </c>
    </row>
    <row r="2188" spans="3:14" x14ac:dyDescent="0.3">
      <c r="C2188" s="6">
        <v>44461</v>
      </c>
      <c r="D2188" s="7" t="s">
        <v>116</v>
      </c>
      <c r="E2188" s="8">
        <v>2021</v>
      </c>
      <c r="F2188" s="9" t="s">
        <v>157</v>
      </c>
      <c r="G2188" s="9" t="s">
        <v>32</v>
      </c>
      <c r="H2188" s="10" t="s">
        <v>140</v>
      </c>
      <c r="I2188" s="7">
        <v>86</v>
      </c>
      <c r="J2188" s="11">
        <v>86</v>
      </c>
      <c r="K2188" s="11">
        <f t="shared" si="68"/>
        <v>7396</v>
      </c>
      <c r="L2188" s="11">
        <v>0.15000000596046401</v>
      </c>
      <c r="M2188" s="11">
        <v>887.52</v>
      </c>
      <c r="N2188" s="11">
        <f t="shared" si="69"/>
        <v>8283.36999999404</v>
      </c>
    </row>
    <row r="2189" spans="3:14" x14ac:dyDescent="0.3">
      <c r="C2189" s="6">
        <v>44461</v>
      </c>
      <c r="D2189" s="7" t="s">
        <v>116</v>
      </c>
      <c r="E2189" s="8">
        <v>2021</v>
      </c>
      <c r="F2189" s="9" t="s">
        <v>157</v>
      </c>
      <c r="G2189" s="9" t="s">
        <v>14</v>
      </c>
      <c r="H2189" s="10" t="s">
        <v>34</v>
      </c>
      <c r="I2189" s="7">
        <v>54</v>
      </c>
      <c r="J2189" s="11">
        <v>91</v>
      </c>
      <c r="K2189" s="11">
        <f t="shared" si="68"/>
        <v>4914</v>
      </c>
      <c r="L2189" s="11">
        <v>0.15000000596046401</v>
      </c>
      <c r="M2189" s="11">
        <v>589.67999999999995</v>
      </c>
      <c r="N2189" s="11">
        <f t="shared" si="69"/>
        <v>5503.5299999940398</v>
      </c>
    </row>
    <row r="2190" spans="3:14" x14ac:dyDescent="0.3">
      <c r="C2190" s="6">
        <v>44462</v>
      </c>
      <c r="D2190" s="7" t="s">
        <v>116</v>
      </c>
      <c r="E2190" s="8">
        <v>2021</v>
      </c>
      <c r="F2190" s="9" t="s">
        <v>135</v>
      </c>
      <c r="G2190" s="9" t="s">
        <v>14</v>
      </c>
      <c r="H2190" s="10" t="s">
        <v>74</v>
      </c>
      <c r="I2190" s="7">
        <v>48</v>
      </c>
      <c r="J2190" s="11">
        <v>18</v>
      </c>
      <c r="K2190" s="11">
        <f t="shared" si="68"/>
        <v>864</v>
      </c>
      <c r="L2190" s="11">
        <v>0</v>
      </c>
      <c r="M2190" s="11">
        <v>103.67999999999999</v>
      </c>
      <c r="N2190" s="11">
        <f t="shared" si="69"/>
        <v>967.68</v>
      </c>
    </row>
    <row r="2191" spans="3:14" x14ac:dyDescent="0.3">
      <c r="C2191" s="6">
        <v>44462</v>
      </c>
      <c r="D2191" s="7" t="s">
        <v>116</v>
      </c>
      <c r="E2191" s="8">
        <v>2021</v>
      </c>
      <c r="F2191" s="9" t="s">
        <v>135</v>
      </c>
      <c r="G2191" s="9" t="s">
        <v>14</v>
      </c>
      <c r="H2191" s="10" t="s">
        <v>34</v>
      </c>
      <c r="I2191" s="7">
        <v>33</v>
      </c>
      <c r="J2191" s="11">
        <v>32</v>
      </c>
      <c r="K2191" s="11">
        <f t="shared" si="68"/>
        <v>1056</v>
      </c>
      <c r="L2191" s="11">
        <v>0</v>
      </c>
      <c r="M2191" s="11">
        <v>126.72</v>
      </c>
      <c r="N2191" s="11">
        <f t="shared" si="69"/>
        <v>1182.72</v>
      </c>
    </row>
    <row r="2192" spans="3:14" x14ac:dyDescent="0.3">
      <c r="C2192" s="6">
        <v>44462</v>
      </c>
      <c r="D2192" s="7" t="s">
        <v>116</v>
      </c>
      <c r="E2192" s="8">
        <v>2021</v>
      </c>
      <c r="F2192" s="9" t="s">
        <v>135</v>
      </c>
      <c r="G2192" s="9" t="s">
        <v>24</v>
      </c>
      <c r="H2192" s="10" t="s">
        <v>25</v>
      </c>
      <c r="I2192" s="7">
        <v>78</v>
      </c>
      <c r="J2192" s="11">
        <v>63</v>
      </c>
      <c r="K2192" s="11">
        <f t="shared" si="68"/>
        <v>4914</v>
      </c>
      <c r="L2192" s="11">
        <v>0</v>
      </c>
      <c r="M2192" s="11">
        <v>589.67999999999995</v>
      </c>
      <c r="N2192" s="11">
        <f t="shared" si="69"/>
        <v>5503.68</v>
      </c>
    </row>
    <row r="2193" spans="3:14" x14ac:dyDescent="0.3">
      <c r="C2193" s="6">
        <v>44462</v>
      </c>
      <c r="D2193" s="7" t="s">
        <v>116</v>
      </c>
      <c r="E2193" s="8">
        <v>2021</v>
      </c>
      <c r="F2193" s="9" t="s">
        <v>135</v>
      </c>
      <c r="G2193" s="9" t="s">
        <v>42</v>
      </c>
      <c r="H2193" s="10" t="s">
        <v>109</v>
      </c>
      <c r="I2193" s="7">
        <v>76</v>
      </c>
      <c r="J2193" s="11">
        <v>78</v>
      </c>
      <c r="K2193" s="11">
        <f t="shared" si="68"/>
        <v>5928</v>
      </c>
      <c r="L2193" s="11">
        <v>0</v>
      </c>
      <c r="M2193" s="11">
        <v>711.36</v>
      </c>
      <c r="N2193" s="11">
        <f t="shared" si="69"/>
        <v>6639.36</v>
      </c>
    </row>
    <row r="2194" spans="3:14" x14ac:dyDescent="0.3">
      <c r="C2194" s="6">
        <v>44462</v>
      </c>
      <c r="D2194" s="7" t="s">
        <v>116</v>
      </c>
      <c r="E2194" s="8">
        <v>2021</v>
      </c>
      <c r="F2194" s="9" t="s">
        <v>71</v>
      </c>
      <c r="G2194" s="9" t="s">
        <v>14</v>
      </c>
      <c r="H2194" s="10" t="s">
        <v>49</v>
      </c>
      <c r="I2194" s="7">
        <v>99</v>
      </c>
      <c r="J2194" s="11">
        <v>12</v>
      </c>
      <c r="K2194" s="11">
        <f t="shared" si="68"/>
        <v>1188</v>
      </c>
      <c r="L2194" s="11">
        <v>0</v>
      </c>
      <c r="M2194" s="11">
        <v>142.56</v>
      </c>
      <c r="N2194" s="11">
        <f t="shared" si="69"/>
        <v>1330.56</v>
      </c>
    </row>
    <row r="2195" spans="3:14" x14ac:dyDescent="0.3">
      <c r="C2195" s="6">
        <v>44463</v>
      </c>
      <c r="D2195" s="7" t="s">
        <v>116</v>
      </c>
      <c r="E2195" s="8">
        <v>2021</v>
      </c>
      <c r="F2195" s="9" t="s">
        <v>61</v>
      </c>
      <c r="G2195" s="9" t="s">
        <v>32</v>
      </c>
      <c r="H2195" s="10" t="s">
        <v>47</v>
      </c>
      <c r="I2195" s="7">
        <v>55</v>
      </c>
      <c r="J2195" s="11">
        <v>37</v>
      </c>
      <c r="K2195" s="11">
        <f t="shared" si="68"/>
        <v>2035</v>
      </c>
      <c r="L2195" s="11">
        <v>0.25</v>
      </c>
      <c r="M2195" s="11">
        <v>244.2</v>
      </c>
      <c r="N2195" s="11">
        <f t="shared" si="69"/>
        <v>2278.9499999999998</v>
      </c>
    </row>
    <row r="2196" spans="3:14" x14ac:dyDescent="0.3">
      <c r="C2196" s="6">
        <v>44463</v>
      </c>
      <c r="D2196" s="7" t="s">
        <v>116</v>
      </c>
      <c r="E2196" s="8">
        <v>2021</v>
      </c>
      <c r="F2196" s="9" t="s">
        <v>61</v>
      </c>
      <c r="G2196" s="9" t="s">
        <v>14</v>
      </c>
      <c r="H2196" s="10" t="s">
        <v>36</v>
      </c>
      <c r="I2196" s="7">
        <v>33</v>
      </c>
      <c r="J2196" s="11">
        <v>57</v>
      </c>
      <c r="K2196" s="11">
        <f t="shared" si="68"/>
        <v>1881</v>
      </c>
      <c r="L2196" s="11">
        <v>0.25</v>
      </c>
      <c r="M2196" s="11">
        <v>225.72</v>
      </c>
      <c r="N2196" s="11">
        <f t="shared" si="69"/>
        <v>2106.4699999999998</v>
      </c>
    </row>
    <row r="2197" spans="3:14" x14ac:dyDescent="0.3">
      <c r="C2197" s="6">
        <v>44463</v>
      </c>
      <c r="D2197" s="7" t="s">
        <v>116</v>
      </c>
      <c r="E2197" s="8">
        <v>2021</v>
      </c>
      <c r="F2197" s="9" t="s">
        <v>61</v>
      </c>
      <c r="G2197" s="9" t="s">
        <v>16</v>
      </c>
      <c r="H2197" s="10" t="s">
        <v>17</v>
      </c>
      <c r="I2197" s="7">
        <v>17</v>
      </c>
      <c r="J2197" s="11">
        <v>63</v>
      </c>
      <c r="K2197" s="11">
        <f t="shared" si="68"/>
        <v>1071</v>
      </c>
      <c r="L2197" s="11">
        <v>0.25</v>
      </c>
      <c r="M2197" s="11">
        <v>128.51999999999998</v>
      </c>
      <c r="N2197" s="11">
        <f t="shared" si="69"/>
        <v>1199.27</v>
      </c>
    </row>
    <row r="2198" spans="3:14" x14ac:dyDescent="0.3">
      <c r="C2198" s="6">
        <v>44464</v>
      </c>
      <c r="D2198" s="7" t="s">
        <v>116</v>
      </c>
      <c r="E2198" s="8">
        <v>2021</v>
      </c>
      <c r="F2198" s="9" t="s">
        <v>189</v>
      </c>
      <c r="G2198" s="9" t="s">
        <v>32</v>
      </c>
      <c r="H2198" s="10" t="s">
        <v>100</v>
      </c>
      <c r="I2198" s="7">
        <v>5</v>
      </c>
      <c r="J2198" s="11">
        <v>37</v>
      </c>
      <c r="K2198" s="11">
        <f t="shared" si="68"/>
        <v>185</v>
      </c>
      <c r="L2198" s="11">
        <v>0.10000000149011599</v>
      </c>
      <c r="M2198" s="11">
        <v>22.2</v>
      </c>
      <c r="N2198" s="11">
        <f t="shared" si="69"/>
        <v>207.09999999850987</v>
      </c>
    </row>
    <row r="2199" spans="3:14" x14ac:dyDescent="0.3">
      <c r="C2199" s="6">
        <v>44464</v>
      </c>
      <c r="D2199" s="7" t="s">
        <v>116</v>
      </c>
      <c r="E2199" s="8">
        <v>2021</v>
      </c>
      <c r="F2199" s="9" t="s">
        <v>189</v>
      </c>
      <c r="G2199" s="9" t="s">
        <v>32</v>
      </c>
      <c r="H2199" s="10" t="s">
        <v>59</v>
      </c>
      <c r="I2199" s="7">
        <v>27</v>
      </c>
      <c r="J2199" s="11">
        <v>96</v>
      </c>
      <c r="K2199" s="11">
        <f t="shared" si="68"/>
        <v>2592</v>
      </c>
      <c r="L2199" s="11">
        <v>0.10000000149011599</v>
      </c>
      <c r="M2199" s="11">
        <v>311.03999999999996</v>
      </c>
      <c r="N2199" s="11">
        <f t="shared" si="69"/>
        <v>2902.9399999985098</v>
      </c>
    </row>
    <row r="2200" spans="3:14" x14ac:dyDescent="0.3">
      <c r="C2200" s="6">
        <v>44464</v>
      </c>
      <c r="D2200" s="7" t="s">
        <v>116</v>
      </c>
      <c r="E2200" s="8">
        <v>2021</v>
      </c>
      <c r="F2200" s="9" t="s">
        <v>189</v>
      </c>
      <c r="G2200" s="9" t="s">
        <v>16</v>
      </c>
      <c r="H2200" s="10" t="s">
        <v>113</v>
      </c>
      <c r="I2200" s="7">
        <v>35</v>
      </c>
      <c r="J2200" s="11">
        <v>18</v>
      </c>
      <c r="K2200" s="11">
        <f t="shared" si="68"/>
        <v>630</v>
      </c>
      <c r="L2200" s="11">
        <v>0</v>
      </c>
      <c r="M2200" s="11">
        <v>75.599999999999994</v>
      </c>
      <c r="N2200" s="11">
        <f t="shared" si="69"/>
        <v>705.6</v>
      </c>
    </row>
    <row r="2201" spans="3:14" x14ac:dyDescent="0.3">
      <c r="C2201" s="6">
        <v>44464</v>
      </c>
      <c r="D2201" s="7" t="s">
        <v>116</v>
      </c>
      <c r="E2201" s="8">
        <v>2021</v>
      </c>
      <c r="F2201" s="9" t="s">
        <v>157</v>
      </c>
      <c r="G2201" s="9" t="s">
        <v>14</v>
      </c>
      <c r="H2201" s="10" t="s">
        <v>34</v>
      </c>
      <c r="I2201" s="7">
        <v>6</v>
      </c>
      <c r="J2201" s="11">
        <v>44</v>
      </c>
      <c r="K2201" s="11">
        <f t="shared" si="68"/>
        <v>264</v>
      </c>
      <c r="L2201" s="11">
        <v>0</v>
      </c>
      <c r="M2201" s="11">
        <v>31.68</v>
      </c>
      <c r="N2201" s="11">
        <f t="shared" si="69"/>
        <v>295.68</v>
      </c>
    </row>
    <row r="2202" spans="3:14" x14ac:dyDescent="0.3">
      <c r="C2202" s="6">
        <v>44464</v>
      </c>
      <c r="D2202" s="7" t="s">
        <v>116</v>
      </c>
      <c r="E2202" s="8">
        <v>2021</v>
      </c>
      <c r="F2202" s="9" t="s">
        <v>157</v>
      </c>
      <c r="G2202" s="9" t="s">
        <v>26</v>
      </c>
      <c r="H2202" s="10" t="s">
        <v>119</v>
      </c>
      <c r="I2202" s="7">
        <v>72</v>
      </c>
      <c r="J2202" s="11">
        <v>76</v>
      </c>
      <c r="K2202" s="11">
        <f t="shared" si="68"/>
        <v>5472</v>
      </c>
      <c r="L2202" s="11">
        <v>0</v>
      </c>
      <c r="M2202" s="11">
        <v>656.64</v>
      </c>
      <c r="N2202" s="11">
        <f t="shared" si="69"/>
        <v>6128.64</v>
      </c>
    </row>
    <row r="2203" spans="3:14" x14ac:dyDescent="0.3">
      <c r="C2203" s="6">
        <v>44464</v>
      </c>
      <c r="D2203" s="7" t="s">
        <v>116</v>
      </c>
      <c r="E2203" s="8">
        <v>2021</v>
      </c>
      <c r="F2203" s="9" t="s">
        <v>157</v>
      </c>
      <c r="G2203" s="9" t="s">
        <v>37</v>
      </c>
      <c r="H2203" s="10" t="s">
        <v>98</v>
      </c>
      <c r="I2203" s="7">
        <v>97</v>
      </c>
      <c r="J2203" s="11">
        <v>23</v>
      </c>
      <c r="K2203" s="11">
        <f t="shared" si="68"/>
        <v>2231</v>
      </c>
      <c r="L2203" s="11">
        <v>0</v>
      </c>
      <c r="M2203" s="11">
        <v>267.71999999999997</v>
      </c>
      <c r="N2203" s="11">
        <f t="shared" si="69"/>
        <v>2498.7199999999998</v>
      </c>
    </row>
    <row r="2204" spans="3:14" x14ac:dyDescent="0.3">
      <c r="C2204" s="6">
        <v>44465</v>
      </c>
      <c r="D2204" s="7" t="s">
        <v>116</v>
      </c>
      <c r="E2204" s="8">
        <v>2021</v>
      </c>
      <c r="F2204" s="9" t="s">
        <v>127</v>
      </c>
      <c r="G2204" s="9" t="s">
        <v>16</v>
      </c>
      <c r="H2204" s="10" t="s">
        <v>132</v>
      </c>
      <c r="I2204" s="7">
        <v>10</v>
      </c>
      <c r="J2204" s="11">
        <v>53</v>
      </c>
      <c r="K2204" s="11">
        <f t="shared" si="68"/>
        <v>530</v>
      </c>
      <c r="L2204" s="11">
        <v>0</v>
      </c>
      <c r="M2204" s="11">
        <v>63.599999999999994</v>
      </c>
      <c r="N2204" s="11">
        <f t="shared" si="69"/>
        <v>593.6</v>
      </c>
    </row>
    <row r="2205" spans="3:14" x14ac:dyDescent="0.3">
      <c r="C2205" s="6">
        <v>44465</v>
      </c>
      <c r="D2205" s="7" t="s">
        <v>116</v>
      </c>
      <c r="E2205" s="8">
        <v>2021</v>
      </c>
      <c r="F2205" s="9" t="s">
        <v>170</v>
      </c>
      <c r="G2205" s="9" t="s">
        <v>24</v>
      </c>
      <c r="H2205" s="10" t="s">
        <v>76</v>
      </c>
      <c r="I2205" s="7">
        <v>98</v>
      </c>
      <c r="J2205" s="11">
        <v>70</v>
      </c>
      <c r="K2205" s="11">
        <f t="shared" si="68"/>
        <v>6860</v>
      </c>
      <c r="L2205" s="11">
        <v>0</v>
      </c>
      <c r="M2205" s="11">
        <v>823.19999999999993</v>
      </c>
      <c r="N2205" s="11">
        <f t="shared" si="69"/>
        <v>7683.2</v>
      </c>
    </row>
    <row r="2206" spans="3:14" x14ac:dyDescent="0.3">
      <c r="C2206" s="6">
        <v>44465</v>
      </c>
      <c r="D2206" s="7" t="s">
        <v>116</v>
      </c>
      <c r="E2206" s="8">
        <v>2021</v>
      </c>
      <c r="F2206" s="9" t="s">
        <v>170</v>
      </c>
      <c r="G2206" s="9" t="s">
        <v>32</v>
      </c>
      <c r="H2206" s="10" t="s">
        <v>143</v>
      </c>
      <c r="I2206" s="7">
        <v>92</v>
      </c>
      <c r="J2206" s="11">
        <v>64</v>
      </c>
      <c r="K2206" s="11">
        <f t="shared" si="68"/>
        <v>5888</v>
      </c>
      <c r="L2206" s="11">
        <v>0</v>
      </c>
      <c r="M2206" s="11">
        <v>706.56</v>
      </c>
      <c r="N2206" s="11">
        <f t="shared" si="69"/>
        <v>6594.5599999999995</v>
      </c>
    </row>
    <row r="2207" spans="3:14" x14ac:dyDescent="0.3">
      <c r="C2207" s="6">
        <v>44465</v>
      </c>
      <c r="D2207" s="7" t="s">
        <v>116</v>
      </c>
      <c r="E2207" s="8">
        <v>2021</v>
      </c>
      <c r="F2207" s="9" t="s">
        <v>170</v>
      </c>
      <c r="G2207" s="9" t="s">
        <v>14</v>
      </c>
      <c r="H2207" s="10" t="s">
        <v>35</v>
      </c>
      <c r="I2207" s="7">
        <v>59</v>
      </c>
      <c r="J2207" s="11">
        <v>72</v>
      </c>
      <c r="K2207" s="11">
        <f t="shared" si="68"/>
        <v>4248</v>
      </c>
      <c r="L2207" s="11">
        <v>0</v>
      </c>
      <c r="M2207" s="11">
        <v>509.76</v>
      </c>
      <c r="N2207" s="11">
        <f t="shared" si="69"/>
        <v>4757.76</v>
      </c>
    </row>
    <row r="2208" spans="3:14" x14ac:dyDescent="0.3">
      <c r="C2208" s="6">
        <v>44468</v>
      </c>
      <c r="D2208" s="7" t="s">
        <v>116</v>
      </c>
      <c r="E2208" s="8">
        <v>2021</v>
      </c>
      <c r="F2208" s="9" t="s">
        <v>176</v>
      </c>
      <c r="G2208" s="9" t="s">
        <v>24</v>
      </c>
      <c r="H2208" s="10" t="s">
        <v>85</v>
      </c>
      <c r="I2208" s="7">
        <v>95</v>
      </c>
      <c r="J2208" s="11">
        <v>94</v>
      </c>
      <c r="K2208" s="11">
        <f t="shared" si="68"/>
        <v>8930</v>
      </c>
      <c r="L2208" s="11">
        <v>0</v>
      </c>
      <c r="M2208" s="11">
        <v>1071.5999999999999</v>
      </c>
      <c r="N2208" s="11">
        <f t="shared" si="69"/>
        <v>10001.6</v>
      </c>
    </row>
    <row r="2209" spans="3:14" x14ac:dyDescent="0.3">
      <c r="C2209" s="6">
        <v>44468</v>
      </c>
      <c r="D2209" s="7" t="s">
        <v>116</v>
      </c>
      <c r="E2209" s="8">
        <v>2021</v>
      </c>
      <c r="F2209" s="9" t="s">
        <v>176</v>
      </c>
      <c r="G2209" s="9" t="s">
        <v>24</v>
      </c>
      <c r="H2209" s="10" t="s">
        <v>25</v>
      </c>
      <c r="I2209" s="7">
        <v>9</v>
      </c>
      <c r="J2209" s="11">
        <v>47</v>
      </c>
      <c r="K2209" s="11">
        <f t="shared" si="68"/>
        <v>423</v>
      </c>
      <c r="L2209" s="11">
        <v>0</v>
      </c>
      <c r="M2209" s="11">
        <v>50.76</v>
      </c>
      <c r="N2209" s="11">
        <f t="shared" si="69"/>
        <v>473.76</v>
      </c>
    </row>
    <row r="2210" spans="3:14" x14ac:dyDescent="0.3">
      <c r="C2210" s="6">
        <v>44468</v>
      </c>
      <c r="D2210" s="7" t="s">
        <v>116</v>
      </c>
      <c r="E2210" s="8">
        <v>2021</v>
      </c>
      <c r="F2210" s="9" t="s">
        <v>176</v>
      </c>
      <c r="G2210" s="9" t="s">
        <v>32</v>
      </c>
      <c r="H2210" s="10" t="s">
        <v>143</v>
      </c>
      <c r="I2210" s="7">
        <v>66</v>
      </c>
      <c r="J2210" s="11">
        <v>67</v>
      </c>
      <c r="K2210" s="11">
        <f t="shared" si="68"/>
        <v>4422</v>
      </c>
      <c r="L2210" s="11">
        <v>0</v>
      </c>
      <c r="M2210" s="11">
        <v>530.64</v>
      </c>
      <c r="N2210" s="11">
        <f t="shared" si="69"/>
        <v>4952.6400000000003</v>
      </c>
    </row>
    <row r="2211" spans="3:14" x14ac:dyDescent="0.3">
      <c r="C2211" s="6">
        <v>44469</v>
      </c>
      <c r="D2211" s="7" t="s">
        <v>116</v>
      </c>
      <c r="E2211" s="8">
        <v>2021</v>
      </c>
      <c r="F2211" s="9" t="s">
        <v>152</v>
      </c>
      <c r="G2211" s="9" t="s">
        <v>42</v>
      </c>
      <c r="H2211" s="10" t="s">
        <v>72</v>
      </c>
      <c r="I2211" s="7">
        <v>16</v>
      </c>
      <c r="J2211" s="11">
        <v>64</v>
      </c>
      <c r="K2211" s="11">
        <f t="shared" si="68"/>
        <v>1024</v>
      </c>
      <c r="L2211" s="11">
        <v>0.20000000298023199</v>
      </c>
      <c r="M2211" s="11">
        <v>122.88</v>
      </c>
      <c r="N2211" s="11">
        <f t="shared" si="69"/>
        <v>1146.6799999970199</v>
      </c>
    </row>
    <row r="2212" spans="3:14" x14ac:dyDescent="0.3">
      <c r="C2212" s="6">
        <v>44469</v>
      </c>
      <c r="D2212" s="7" t="s">
        <v>116</v>
      </c>
      <c r="E2212" s="8">
        <v>2021</v>
      </c>
      <c r="F2212" s="9" t="s">
        <v>152</v>
      </c>
      <c r="G2212" s="9" t="s">
        <v>32</v>
      </c>
      <c r="H2212" s="10" t="s">
        <v>140</v>
      </c>
      <c r="I2212" s="7">
        <v>5</v>
      </c>
      <c r="J2212" s="11">
        <v>21</v>
      </c>
      <c r="K2212" s="11">
        <f t="shared" si="68"/>
        <v>105</v>
      </c>
      <c r="L2212" s="11">
        <v>0</v>
      </c>
      <c r="M2212" s="11">
        <v>12.6</v>
      </c>
      <c r="N2212" s="11">
        <f t="shared" si="69"/>
        <v>117.6</v>
      </c>
    </row>
    <row r="2213" spans="3:14" x14ac:dyDescent="0.3">
      <c r="C2213" s="6">
        <v>44469</v>
      </c>
      <c r="D2213" s="7" t="s">
        <v>116</v>
      </c>
      <c r="E2213" s="8">
        <v>2021</v>
      </c>
      <c r="F2213" s="9" t="s">
        <v>118</v>
      </c>
      <c r="G2213" s="9" t="s">
        <v>42</v>
      </c>
      <c r="H2213" s="10" t="s">
        <v>174</v>
      </c>
      <c r="I2213" s="7">
        <v>59</v>
      </c>
      <c r="J2213" s="11">
        <v>69</v>
      </c>
      <c r="K2213" s="11">
        <f t="shared" si="68"/>
        <v>4071</v>
      </c>
      <c r="L2213" s="11">
        <v>0.25</v>
      </c>
      <c r="M2213" s="11">
        <v>488.52</v>
      </c>
      <c r="N2213" s="11">
        <f t="shared" si="69"/>
        <v>4559.2700000000004</v>
      </c>
    </row>
    <row r="2214" spans="3:14" x14ac:dyDescent="0.3">
      <c r="C2214" s="6">
        <v>44469</v>
      </c>
      <c r="D2214" s="7" t="s">
        <v>116</v>
      </c>
      <c r="E2214" s="8">
        <v>2021</v>
      </c>
      <c r="F2214" s="9" t="s">
        <v>118</v>
      </c>
      <c r="G2214" s="9" t="s">
        <v>42</v>
      </c>
      <c r="H2214" s="10" t="s">
        <v>79</v>
      </c>
      <c r="I2214" s="7">
        <v>40</v>
      </c>
      <c r="J2214" s="11">
        <v>24</v>
      </c>
      <c r="K2214" s="11">
        <f t="shared" si="68"/>
        <v>960</v>
      </c>
      <c r="L2214" s="11">
        <v>0</v>
      </c>
      <c r="M2214" s="11">
        <v>115.19999999999999</v>
      </c>
      <c r="N2214" s="11">
        <f t="shared" si="69"/>
        <v>1075.2</v>
      </c>
    </row>
    <row r="2215" spans="3:14" x14ac:dyDescent="0.3">
      <c r="C2215" s="6">
        <v>44469</v>
      </c>
      <c r="D2215" s="7" t="s">
        <v>116</v>
      </c>
      <c r="E2215" s="8">
        <v>2021</v>
      </c>
      <c r="F2215" s="9" t="s">
        <v>118</v>
      </c>
      <c r="G2215" s="9" t="s">
        <v>24</v>
      </c>
      <c r="H2215" s="10" t="s">
        <v>48</v>
      </c>
      <c r="I2215" s="7">
        <v>19</v>
      </c>
      <c r="J2215" s="11">
        <v>14</v>
      </c>
      <c r="K2215" s="11">
        <f t="shared" si="68"/>
        <v>266</v>
      </c>
      <c r="L2215" s="11">
        <v>0.25</v>
      </c>
      <c r="M2215" s="11">
        <v>31.919999999999998</v>
      </c>
      <c r="N2215" s="11">
        <f t="shared" si="69"/>
        <v>297.67</v>
      </c>
    </row>
    <row r="2216" spans="3:14" x14ac:dyDescent="0.3">
      <c r="C2216" s="6">
        <v>44470</v>
      </c>
      <c r="D2216" s="7" t="s">
        <v>130</v>
      </c>
      <c r="E2216" s="8">
        <v>2021</v>
      </c>
      <c r="F2216" s="9" t="s">
        <v>159</v>
      </c>
      <c r="G2216" s="9" t="s">
        <v>24</v>
      </c>
      <c r="H2216" s="10" t="s">
        <v>85</v>
      </c>
      <c r="I2216" s="7">
        <v>48</v>
      </c>
      <c r="J2216" s="11">
        <v>68</v>
      </c>
      <c r="K2216" s="11">
        <f t="shared" si="68"/>
        <v>3264</v>
      </c>
      <c r="L2216" s="11">
        <v>0.10000000149011599</v>
      </c>
      <c r="M2216" s="11">
        <v>391.68</v>
      </c>
      <c r="N2216" s="11">
        <f t="shared" si="69"/>
        <v>3655.5799999985097</v>
      </c>
    </row>
    <row r="2217" spans="3:14" x14ac:dyDescent="0.3">
      <c r="C2217" s="6">
        <v>44470</v>
      </c>
      <c r="D2217" s="7" t="s">
        <v>130</v>
      </c>
      <c r="E2217" s="8">
        <v>2021</v>
      </c>
      <c r="F2217" s="9" t="s">
        <v>159</v>
      </c>
      <c r="G2217" s="9" t="s">
        <v>20</v>
      </c>
      <c r="H2217" s="10" t="s">
        <v>92</v>
      </c>
      <c r="I2217" s="7">
        <v>77</v>
      </c>
      <c r="J2217" s="11">
        <v>33</v>
      </c>
      <c r="K2217" s="11">
        <f t="shared" si="68"/>
        <v>2541</v>
      </c>
      <c r="L2217" s="11">
        <v>0.10000000149011599</v>
      </c>
      <c r="M2217" s="11">
        <v>304.92</v>
      </c>
      <c r="N2217" s="11">
        <f t="shared" si="69"/>
        <v>2845.81999999851</v>
      </c>
    </row>
    <row r="2218" spans="3:14" x14ac:dyDescent="0.3">
      <c r="C2218" s="6">
        <v>44470</v>
      </c>
      <c r="D2218" s="7" t="s">
        <v>130</v>
      </c>
      <c r="E2218" s="8">
        <v>2021</v>
      </c>
      <c r="F2218" s="9" t="s">
        <v>159</v>
      </c>
      <c r="G2218" s="9" t="s">
        <v>37</v>
      </c>
      <c r="H2218" s="10" t="s">
        <v>106</v>
      </c>
      <c r="I2218" s="7">
        <v>11</v>
      </c>
      <c r="J2218" s="11">
        <v>95</v>
      </c>
      <c r="K2218" s="11">
        <f t="shared" si="68"/>
        <v>1045</v>
      </c>
      <c r="L2218" s="11">
        <v>0</v>
      </c>
      <c r="M2218" s="11">
        <v>125.39999999999999</v>
      </c>
      <c r="N2218" s="11">
        <f t="shared" si="69"/>
        <v>1170.4000000000001</v>
      </c>
    </row>
    <row r="2219" spans="3:14" x14ac:dyDescent="0.3">
      <c r="C2219" s="6">
        <v>44470</v>
      </c>
      <c r="D2219" s="7" t="s">
        <v>130</v>
      </c>
      <c r="E2219" s="8">
        <v>2021</v>
      </c>
      <c r="F2219" s="9" t="s">
        <v>93</v>
      </c>
      <c r="G2219" s="9" t="s">
        <v>37</v>
      </c>
      <c r="H2219" s="10" t="s">
        <v>104</v>
      </c>
      <c r="I2219" s="7">
        <v>67</v>
      </c>
      <c r="J2219" s="11">
        <v>13</v>
      </c>
      <c r="K2219" s="11">
        <f t="shared" si="68"/>
        <v>871</v>
      </c>
      <c r="L2219" s="11">
        <v>0.25</v>
      </c>
      <c r="M2219" s="11">
        <v>104.52</v>
      </c>
      <c r="N2219" s="11">
        <f t="shared" si="69"/>
        <v>975.27</v>
      </c>
    </row>
    <row r="2220" spans="3:14" x14ac:dyDescent="0.3">
      <c r="C2220" s="6">
        <v>44471</v>
      </c>
      <c r="D2220" s="7" t="s">
        <v>130</v>
      </c>
      <c r="E2220" s="8">
        <v>2021</v>
      </c>
      <c r="F2220" s="9" t="s">
        <v>23</v>
      </c>
      <c r="G2220" s="9" t="s">
        <v>16</v>
      </c>
      <c r="H2220" s="10" t="s">
        <v>68</v>
      </c>
      <c r="I2220" s="7">
        <v>5</v>
      </c>
      <c r="J2220" s="11">
        <v>39</v>
      </c>
      <c r="K2220" s="11">
        <f t="shared" si="68"/>
        <v>195</v>
      </c>
      <c r="L2220" s="11">
        <v>0.25</v>
      </c>
      <c r="M2220" s="11">
        <v>23.4</v>
      </c>
      <c r="N2220" s="11">
        <f t="shared" si="69"/>
        <v>218.15</v>
      </c>
    </row>
    <row r="2221" spans="3:14" x14ac:dyDescent="0.3">
      <c r="C2221" s="6">
        <v>44471</v>
      </c>
      <c r="D2221" s="7" t="s">
        <v>130</v>
      </c>
      <c r="E2221" s="8">
        <v>2021</v>
      </c>
      <c r="F2221" s="9" t="s">
        <v>23</v>
      </c>
      <c r="G2221" s="9" t="s">
        <v>26</v>
      </c>
      <c r="H2221" s="10" t="s">
        <v>52</v>
      </c>
      <c r="I2221" s="7">
        <v>11</v>
      </c>
      <c r="J2221" s="11">
        <v>75</v>
      </c>
      <c r="K2221" s="11">
        <f t="shared" si="68"/>
        <v>825</v>
      </c>
      <c r="L2221" s="11">
        <v>0.25</v>
      </c>
      <c r="M2221" s="11">
        <v>99</v>
      </c>
      <c r="N2221" s="11">
        <f t="shared" si="69"/>
        <v>923.75</v>
      </c>
    </row>
    <row r="2222" spans="3:14" x14ac:dyDescent="0.3">
      <c r="C2222" s="6">
        <v>44472</v>
      </c>
      <c r="D2222" s="7" t="s">
        <v>130</v>
      </c>
      <c r="E2222" s="8">
        <v>2021</v>
      </c>
      <c r="F2222" s="9" t="s">
        <v>84</v>
      </c>
      <c r="G2222" s="9" t="s">
        <v>37</v>
      </c>
      <c r="H2222" s="10" t="s">
        <v>104</v>
      </c>
      <c r="I2222" s="7">
        <v>27</v>
      </c>
      <c r="J2222" s="11">
        <v>22</v>
      </c>
      <c r="K2222" s="11">
        <f t="shared" si="68"/>
        <v>594</v>
      </c>
      <c r="L2222" s="11">
        <v>0</v>
      </c>
      <c r="M2222" s="11">
        <v>71.28</v>
      </c>
      <c r="N2222" s="11">
        <f t="shared" si="69"/>
        <v>665.28</v>
      </c>
    </row>
    <row r="2223" spans="3:14" x14ac:dyDescent="0.3">
      <c r="C2223" s="6">
        <v>44472</v>
      </c>
      <c r="D2223" s="7" t="s">
        <v>130</v>
      </c>
      <c r="E2223" s="8">
        <v>2021</v>
      </c>
      <c r="F2223" s="9" t="s">
        <v>84</v>
      </c>
      <c r="G2223" s="9" t="s">
        <v>42</v>
      </c>
      <c r="H2223" s="10" t="s">
        <v>79</v>
      </c>
      <c r="I2223" s="7">
        <v>72</v>
      </c>
      <c r="J2223" s="11">
        <v>65</v>
      </c>
      <c r="K2223" s="11">
        <f t="shared" si="68"/>
        <v>4680</v>
      </c>
      <c r="L2223" s="11">
        <v>0</v>
      </c>
      <c r="M2223" s="11">
        <v>561.6</v>
      </c>
      <c r="N2223" s="11">
        <f t="shared" si="69"/>
        <v>5241.6000000000004</v>
      </c>
    </row>
    <row r="2224" spans="3:14" x14ac:dyDescent="0.3">
      <c r="C2224" s="6">
        <v>44472</v>
      </c>
      <c r="D2224" s="7" t="s">
        <v>130</v>
      </c>
      <c r="E2224" s="8">
        <v>2021</v>
      </c>
      <c r="F2224" s="9" t="s">
        <v>84</v>
      </c>
      <c r="G2224" s="9" t="s">
        <v>37</v>
      </c>
      <c r="H2224" s="10" t="s">
        <v>82</v>
      </c>
      <c r="I2224" s="7">
        <v>54</v>
      </c>
      <c r="J2224" s="11">
        <v>22</v>
      </c>
      <c r="K2224" s="11">
        <f t="shared" si="68"/>
        <v>1188</v>
      </c>
      <c r="L2224" s="11">
        <v>0</v>
      </c>
      <c r="M2224" s="11">
        <v>142.56</v>
      </c>
      <c r="N2224" s="11">
        <f t="shared" si="69"/>
        <v>1330.56</v>
      </c>
    </row>
    <row r="2225" spans="3:14" x14ac:dyDescent="0.3">
      <c r="C2225" s="6">
        <v>44472</v>
      </c>
      <c r="D2225" s="7" t="s">
        <v>130</v>
      </c>
      <c r="E2225" s="8">
        <v>2021</v>
      </c>
      <c r="F2225" s="9" t="s">
        <v>84</v>
      </c>
      <c r="G2225" s="9" t="s">
        <v>26</v>
      </c>
      <c r="H2225" s="10" t="s">
        <v>94</v>
      </c>
      <c r="I2225" s="7">
        <v>90</v>
      </c>
      <c r="J2225" s="11">
        <v>10</v>
      </c>
      <c r="K2225" s="11">
        <f t="shared" si="68"/>
        <v>900</v>
      </c>
      <c r="L2225" s="11">
        <v>0</v>
      </c>
      <c r="M2225" s="11">
        <v>108</v>
      </c>
      <c r="N2225" s="11">
        <f t="shared" si="69"/>
        <v>1008</v>
      </c>
    </row>
    <row r="2226" spans="3:14" x14ac:dyDescent="0.3">
      <c r="C2226" s="6">
        <v>44472</v>
      </c>
      <c r="D2226" s="7" t="s">
        <v>130</v>
      </c>
      <c r="E2226" s="8">
        <v>2021</v>
      </c>
      <c r="F2226" s="9" t="s">
        <v>84</v>
      </c>
      <c r="G2226" s="9" t="s">
        <v>32</v>
      </c>
      <c r="H2226" s="10" t="s">
        <v>62</v>
      </c>
      <c r="I2226" s="7">
        <v>24</v>
      </c>
      <c r="J2226" s="11">
        <v>88</v>
      </c>
      <c r="K2226" s="11">
        <f t="shared" si="68"/>
        <v>2112</v>
      </c>
      <c r="L2226" s="11">
        <v>0</v>
      </c>
      <c r="M2226" s="11">
        <v>253.44</v>
      </c>
      <c r="N2226" s="11">
        <f t="shared" si="69"/>
        <v>2365.44</v>
      </c>
    </row>
    <row r="2227" spans="3:14" x14ac:dyDescent="0.3">
      <c r="C2227" s="6">
        <v>44472</v>
      </c>
      <c r="D2227" s="7" t="s">
        <v>130</v>
      </c>
      <c r="E2227" s="8">
        <v>2021</v>
      </c>
      <c r="F2227" s="9" t="s">
        <v>195</v>
      </c>
      <c r="G2227" s="9" t="s">
        <v>26</v>
      </c>
      <c r="H2227" s="10" t="s">
        <v>95</v>
      </c>
      <c r="I2227" s="7">
        <v>27</v>
      </c>
      <c r="J2227" s="11">
        <v>54</v>
      </c>
      <c r="K2227" s="11">
        <f t="shared" si="68"/>
        <v>1458</v>
      </c>
      <c r="L2227" s="11">
        <v>0</v>
      </c>
      <c r="M2227" s="11">
        <v>174.95999999999998</v>
      </c>
      <c r="N2227" s="11">
        <f t="shared" si="69"/>
        <v>1632.96</v>
      </c>
    </row>
    <row r="2228" spans="3:14" x14ac:dyDescent="0.3">
      <c r="C2228" s="6">
        <v>44475</v>
      </c>
      <c r="D2228" s="7" t="s">
        <v>130</v>
      </c>
      <c r="E2228" s="8">
        <v>2021</v>
      </c>
      <c r="F2228" s="9" t="s">
        <v>80</v>
      </c>
      <c r="G2228" s="9" t="s">
        <v>42</v>
      </c>
      <c r="H2228" s="10" t="s">
        <v>174</v>
      </c>
      <c r="I2228" s="7">
        <v>46</v>
      </c>
      <c r="J2228" s="11">
        <v>31</v>
      </c>
      <c r="K2228" s="11">
        <f t="shared" si="68"/>
        <v>1426</v>
      </c>
      <c r="L2228" s="11">
        <v>0</v>
      </c>
      <c r="M2228" s="11">
        <v>171.12</v>
      </c>
      <c r="N2228" s="11">
        <f t="shared" si="69"/>
        <v>1597.12</v>
      </c>
    </row>
    <row r="2229" spans="3:14" x14ac:dyDescent="0.3">
      <c r="C2229" s="6">
        <v>44475</v>
      </c>
      <c r="D2229" s="7" t="s">
        <v>130</v>
      </c>
      <c r="E2229" s="8">
        <v>2021</v>
      </c>
      <c r="F2229" s="9" t="s">
        <v>80</v>
      </c>
      <c r="G2229" s="9" t="s">
        <v>42</v>
      </c>
      <c r="H2229" s="10" t="s">
        <v>109</v>
      </c>
      <c r="I2229" s="7">
        <v>52</v>
      </c>
      <c r="J2229" s="11">
        <v>47</v>
      </c>
      <c r="K2229" s="11">
        <f t="shared" si="68"/>
        <v>2444</v>
      </c>
      <c r="L2229" s="11">
        <v>0.15000000596046401</v>
      </c>
      <c r="M2229" s="11">
        <v>293.27999999999997</v>
      </c>
      <c r="N2229" s="11">
        <f t="shared" si="69"/>
        <v>2737.1299999940393</v>
      </c>
    </row>
    <row r="2230" spans="3:14" x14ac:dyDescent="0.3">
      <c r="C2230" s="6">
        <v>44475</v>
      </c>
      <c r="D2230" s="7" t="s">
        <v>130</v>
      </c>
      <c r="E2230" s="8">
        <v>2021</v>
      </c>
      <c r="F2230" s="9" t="s">
        <v>80</v>
      </c>
      <c r="G2230" s="9" t="s">
        <v>14</v>
      </c>
      <c r="H2230" s="10" t="s">
        <v>117</v>
      </c>
      <c r="I2230" s="7">
        <v>88</v>
      </c>
      <c r="J2230" s="11">
        <v>85</v>
      </c>
      <c r="K2230" s="11">
        <f t="shared" si="68"/>
        <v>7480</v>
      </c>
      <c r="L2230" s="11">
        <v>0.15000000596046401</v>
      </c>
      <c r="M2230" s="11">
        <v>897.6</v>
      </c>
      <c r="N2230" s="11">
        <f t="shared" si="69"/>
        <v>8377.4499999940399</v>
      </c>
    </row>
    <row r="2231" spans="3:14" x14ac:dyDescent="0.3">
      <c r="C2231" s="6">
        <v>44475</v>
      </c>
      <c r="D2231" s="7" t="s">
        <v>130</v>
      </c>
      <c r="E2231" s="8">
        <v>2021</v>
      </c>
      <c r="F2231" s="9" t="s">
        <v>80</v>
      </c>
      <c r="G2231" s="9" t="s">
        <v>24</v>
      </c>
      <c r="H2231" s="10" t="s">
        <v>96</v>
      </c>
      <c r="I2231" s="7">
        <v>75</v>
      </c>
      <c r="J2231" s="11">
        <v>70</v>
      </c>
      <c r="K2231" s="11">
        <f t="shared" si="68"/>
        <v>5250</v>
      </c>
      <c r="L2231" s="11">
        <v>0.15000000596046401</v>
      </c>
      <c r="M2231" s="11">
        <v>630</v>
      </c>
      <c r="N2231" s="11">
        <f t="shared" si="69"/>
        <v>5879.8499999940395</v>
      </c>
    </row>
    <row r="2232" spans="3:14" x14ac:dyDescent="0.3">
      <c r="C2232" s="6">
        <v>44475</v>
      </c>
      <c r="D2232" s="7" t="s">
        <v>130</v>
      </c>
      <c r="E2232" s="8">
        <v>2021</v>
      </c>
      <c r="F2232" s="9" t="s">
        <v>84</v>
      </c>
      <c r="G2232" s="9" t="s">
        <v>20</v>
      </c>
      <c r="H2232" s="10" t="s">
        <v>67</v>
      </c>
      <c r="I2232" s="7">
        <v>23</v>
      </c>
      <c r="J2232" s="11">
        <v>60</v>
      </c>
      <c r="K2232" s="11">
        <f t="shared" si="68"/>
        <v>1380</v>
      </c>
      <c r="L2232" s="11">
        <v>0</v>
      </c>
      <c r="M2232" s="11">
        <v>165.6</v>
      </c>
      <c r="N2232" s="11">
        <f t="shared" si="69"/>
        <v>1545.6</v>
      </c>
    </row>
    <row r="2233" spans="3:14" x14ac:dyDescent="0.3">
      <c r="C2233" s="6">
        <v>44475</v>
      </c>
      <c r="D2233" s="7" t="s">
        <v>130</v>
      </c>
      <c r="E2233" s="8">
        <v>2021</v>
      </c>
      <c r="F2233" s="9" t="s">
        <v>84</v>
      </c>
      <c r="G2233" s="9" t="s">
        <v>14</v>
      </c>
      <c r="H2233" s="10" t="s">
        <v>49</v>
      </c>
      <c r="I2233" s="7">
        <v>70</v>
      </c>
      <c r="J2233" s="11">
        <v>47</v>
      </c>
      <c r="K2233" s="11">
        <f t="shared" si="68"/>
        <v>3290</v>
      </c>
      <c r="L2233" s="11">
        <v>0</v>
      </c>
      <c r="M2233" s="11">
        <v>394.8</v>
      </c>
      <c r="N2233" s="11">
        <f t="shared" si="69"/>
        <v>3684.8</v>
      </c>
    </row>
    <row r="2234" spans="3:14" x14ac:dyDescent="0.3">
      <c r="C2234" s="6">
        <v>44475</v>
      </c>
      <c r="D2234" s="7" t="s">
        <v>130</v>
      </c>
      <c r="E2234" s="8">
        <v>2021</v>
      </c>
      <c r="F2234" s="9" t="s">
        <v>84</v>
      </c>
      <c r="G2234" s="9" t="s">
        <v>37</v>
      </c>
      <c r="H2234" s="10" t="s">
        <v>63</v>
      </c>
      <c r="I2234" s="7">
        <v>5</v>
      </c>
      <c r="J2234" s="11">
        <v>78</v>
      </c>
      <c r="K2234" s="11">
        <f t="shared" si="68"/>
        <v>390</v>
      </c>
      <c r="L2234" s="11">
        <v>0</v>
      </c>
      <c r="M2234" s="11">
        <v>46.8</v>
      </c>
      <c r="N2234" s="11">
        <f t="shared" si="69"/>
        <v>436.8</v>
      </c>
    </row>
    <row r="2235" spans="3:14" x14ac:dyDescent="0.3">
      <c r="C2235" s="6">
        <v>44476</v>
      </c>
      <c r="D2235" s="7" t="s">
        <v>130</v>
      </c>
      <c r="E2235" s="8">
        <v>2021</v>
      </c>
      <c r="F2235" s="9" t="s">
        <v>13</v>
      </c>
      <c r="G2235" s="9" t="s">
        <v>26</v>
      </c>
      <c r="H2235" s="10" t="s">
        <v>148</v>
      </c>
      <c r="I2235" s="7">
        <v>54</v>
      </c>
      <c r="J2235" s="11">
        <v>87</v>
      </c>
      <c r="K2235" s="11">
        <f t="shared" si="68"/>
        <v>4698</v>
      </c>
      <c r="L2235" s="11">
        <v>0</v>
      </c>
      <c r="M2235" s="11">
        <v>563.76</v>
      </c>
      <c r="N2235" s="11">
        <f t="shared" si="69"/>
        <v>5261.76</v>
      </c>
    </row>
    <row r="2236" spans="3:14" x14ac:dyDescent="0.3">
      <c r="C2236" s="6">
        <v>44476</v>
      </c>
      <c r="D2236" s="7" t="s">
        <v>130</v>
      </c>
      <c r="E2236" s="8">
        <v>2021</v>
      </c>
      <c r="F2236" s="9" t="s">
        <v>13</v>
      </c>
      <c r="G2236" s="9" t="s">
        <v>14</v>
      </c>
      <c r="H2236" s="10" t="s">
        <v>74</v>
      </c>
      <c r="I2236" s="7">
        <v>46</v>
      </c>
      <c r="J2236" s="11">
        <v>59</v>
      </c>
      <c r="K2236" s="11">
        <f t="shared" si="68"/>
        <v>2714</v>
      </c>
      <c r="L2236" s="11">
        <v>0</v>
      </c>
      <c r="M2236" s="11">
        <v>325.68</v>
      </c>
      <c r="N2236" s="11">
        <f t="shared" si="69"/>
        <v>3039.68</v>
      </c>
    </row>
    <row r="2237" spans="3:14" x14ac:dyDescent="0.3">
      <c r="C2237" s="6">
        <v>44476</v>
      </c>
      <c r="D2237" s="7" t="s">
        <v>130</v>
      </c>
      <c r="E2237" s="8">
        <v>2021</v>
      </c>
      <c r="F2237" s="9" t="s">
        <v>13</v>
      </c>
      <c r="G2237" s="9" t="s">
        <v>37</v>
      </c>
      <c r="H2237" s="10" t="s">
        <v>41</v>
      </c>
      <c r="I2237" s="7">
        <v>48</v>
      </c>
      <c r="J2237" s="11">
        <v>13</v>
      </c>
      <c r="K2237" s="11">
        <f t="shared" si="68"/>
        <v>624</v>
      </c>
      <c r="L2237" s="11">
        <v>0</v>
      </c>
      <c r="M2237" s="11">
        <v>74.88</v>
      </c>
      <c r="N2237" s="11">
        <f t="shared" si="69"/>
        <v>698.88</v>
      </c>
    </row>
    <row r="2238" spans="3:14" x14ac:dyDescent="0.3">
      <c r="C2238" s="6">
        <v>44477</v>
      </c>
      <c r="D2238" s="7" t="s">
        <v>130</v>
      </c>
      <c r="E2238" s="8">
        <v>2021</v>
      </c>
      <c r="F2238" s="9" t="s">
        <v>80</v>
      </c>
      <c r="G2238" s="9" t="s">
        <v>42</v>
      </c>
      <c r="H2238" s="10" t="s">
        <v>72</v>
      </c>
      <c r="I2238" s="7">
        <v>56</v>
      </c>
      <c r="J2238" s="11">
        <v>88</v>
      </c>
      <c r="K2238" s="11">
        <f t="shared" si="68"/>
        <v>4928</v>
      </c>
      <c r="L2238" s="11">
        <v>0</v>
      </c>
      <c r="M2238" s="11">
        <v>591.36</v>
      </c>
      <c r="N2238" s="11">
        <f t="shared" si="69"/>
        <v>5519.36</v>
      </c>
    </row>
    <row r="2239" spans="3:14" x14ac:dyDescent="0.3">
      <c r="C2239" s="6">
        <v>44477</v>
      </c>
      <c r="D2239" s="7" t="s">
        <v>130</v>
      </c>
      <c r="E2239" s="8">
        <v>2021</v>
      </c>
      <c r="F2239" s="9" t="s">
        <v>80</v>
      </c>
      <c r="G2239" s="9" t="s">
        <v>24</v>
      </c>
      <c r="H2239" s="10" t="s">
        <v>107</v>
      </c>
      <c r="I2239" s="7">
        <v>64</v>
      </c>
      <c r="J2239" s="11">
        <v>60</v>
      </c>
      <c r="K2239" s="11">
        <f t="shared" si="68"/>
        <v>3840</v>
      </c>
      <c r="L2239" s="11">
        <v>0</v>
      </c>
      <c r="M2239" s="11">
        <v>460.79999999999995</v>
      </c>
      <c r="N2239" s="11">
        <f t="shared" si="69"/>
        <v>4300.8</v>
      </c>
    </row>
    <row r="2240" spans="3:14" x14ac:dyDescent="0.3">
      <c r="C2240" s="6">
        <v>44477</v>
      </c>
      <c r="D2240" s="7" t="s">
        <v>130</v>
      </c>
      <c r="E2240" s="8">
        <v>2021</v>
      </c>
      <c r="F2240" s="9" t="s">
        <v>169</v>
      </c>
      <c r="G2240" s="9" t="s">
        <v>32</v>
      </c>
      <c r="H2240" s="10" t="s">
        <v>100</v>
      </c>
      <c r="I2240" s="7">
        <v>58</v>
      </c>
      <c r="J2240" s="11">
        <v>49</v>
      </c>
      <c r="K2240" s="11">
        <f t="shared" si="68"/>
        <v>2842</v>
      </c>
      <c r="L2240" s="11">
        <v>0.25</v>
      </c>
      <c r="M2240" s="11">
        <v>341.03999999999996</v>
      </c>
      <c r="N2240" s="11">
        <f t="shared" si="69"/>
        <v>3182.79</v>
      </c>
    </row>
    <row r="2241" spans="3:14" x14ac:dyDescent="0.3">
      <c r="C2241" s="6">
        <v>44477</v>
      </c>
      <c r="D2241" s="7" t="s">
        <v>130</v>
      </c>
      <c r="E2241" s="8">
        <v>2021</v>
      </c>
      <c r="F2241" s="9" t="s">
        <v>169</v>
      </c>
      <c r="G2241" s="9" t="s">
        <v>37</v>
      </c>
      <c r="H2241" s="10" t="s">
        <v>65</v>
      </c>
      <c r="I2241" s="7">
        <v>89</v>
      </c>
      <c r="J2241" s="11">
        <v>94</v>
      </c>
      <c r="K2241" s="11">
        <f t="shared" si="68"/>
        <v>8366</v>
      </c>
      <c r="L2241" s="11">
        <v>0.25</v>
      </c>
      <c r="M2241" s="11">
        <v>1003.92</v>
      </c>
      <c r="N2241" s="11">
        <f t="shared" si="69"/>
        <v>9369.67</v>
      </c>
    </row>
    <row r="2242" spans="3:14" x14ac:dyDescent="0.3">
      <c r="C2242" s="6">
        <v>44477</v>
      </c>
      <c r="D2242" s="7" t="s">
        <v>130</v>
      </c>
      <c r="E2242" s="8">
        <v>2021</v>
      </c>
      <c r="F2242" s="9" t="s">
        <v>169</v>
      </c>
      <c r="G2242" s="9" t="s">
        <v>24</v>
      </c>
      <c r="H2242" s="10" t="s">
        <v>128</v>
      </c>
      <c r="I2242" s="7">
        <v>78</v>
      </c>
      <c r="J2242" s="11">
        <v>12</v>
      </c>
      <c r="K2242" s="11">
        <f t="shared" si="68"/>
        <v>936</v>
      </c>
      <c r="L2242" s="11">
        <v>0.25</v>
      </c>
      <c r="M2242" s="11">
        <v>112.32</v>
      </c>
      <c r="N2242" s="11">
        <f t="shared" si="69"/>
        <v>1048.07</v>
      </c>
    </row>
    <row r="2243" spans="3:14" x14ac:dyDescent="0.3">
      <c r="C2243" s="6">
        <v>44477</v>
      </c>
      <c r="D2243" s="7" t="s">
        <v>130</v>
      </c>
      <c r="E2243" s="8">
        <v>2021</v>
      </c>
      <c r="F2243" s="9" t="s">
        <v>169</v>
      </c>
      <c r="G2243" s="9" t="s">
        <v>37</v>
      </c>
      <c r="H2243" s="10" t="s">
        <v>63</v>
      </c>
      <c r="I2243" s="7">
        <v>25</v>
      </c>
      <c r="J2243" s="11">
        <v>98</v>
      </c>
      <c r="K2243" s="11">
        <f t="shared" ref="K2243:K2306" si="70">J2243*I2243</f>
        <v>2450</v>
      </c>
      <c r="L2243" s="11">
        <v>0.25</v>
      </c>
      <c r="M2243" s="11">
        <v>294</v>
      </c>
      <c r="N2243" s="11">
        <f t="shared" ref="N2243:N2306" si="71">K2243-L2243+M2243</f>
        <v>2743.75</v>
      </c>
    </row>
    <row r="2244" spans="3:14" x14ac:dyDescent="0.3">
      <c r="C2244" s="6">
        <v>44478</v>
      </c>
      <c r="D2244" s="7" t="s">
        <v>130</v>
      </c>
      <c r="E2244" s="8">
        <v>2021</v>
      </c>
      <c r="F2244" s="9" t="s">
        <v>55</v>
      </c>
      <c r="G2244" s="9" t="s">
        <v>14</v>
      </c>
      <c r="H2244" s="10" t="s">
        <v>15</v>
      </c>
      <c r="I2244" s="7">
        <v>81</v>
      </c>
      <c r="J2244" s="11">
        <v>84</v>
      </c>
      <c r="K2244" s="11">
        <f t="shared" si="70"/>
        <v>6804</v>
      </c>
      <c r="L2244" s="11">
        <v>0</v>
      </c>
      <c r="M2244" s="11">
        <v>816.48</v>
      </c>
      <c r="N2244" s="11">
        <f t="shared" si="71"/>
        <v>7620.48</v>
      </c>
    </row>
    <row r="2245" spans="3:14" x14ac:dyDescent="0.3">
      <c r="C2245" s="6">
        <v>44478</v>
      </c>
      <c r="D2245" s="7" t="s">
        <v>130</v>
      </c>
      <c r="E2245" s="8">
        <v>2021</v>
      </c>
      <c r="F2245" s="9" t="s">
        <v>55</v>
      </c>
      <c r="G2245" s="9" t="s">
        <v>42</v>
      </c>
      <c r="H2245" s="10" t="s">
        <v>72</v>
      </c>
      <c r="I2245" s="7">
        <v>39</v>
      </c>
      <c r="J2245" s="11">
        <v>17</v>
      </c>
      <c r="K2245" s="11">
        <f t="shared" si="70"/>
        <v>663</v>
      </c>
      <c r="L2245" s="11">
        <v>5.0000000745058101E-2</v>
      </c>
      <c r="M2245" s="11">
        <v>79.56</v>
      </c>
      <c r="N2245" s="11">
        <f t="shared" si="71"/>
        <v>742.50999999925489</v>
      </c>
    </row>
    <row r="2246" spans="3:14" x14ac:dyDescent="0.3">
      <c r="C2246" s="6">
        <v>44478</v>
      </c>
      <c r="D2246" s="7" t="s">
        <v>130</v>
      </c>
      <c r="E2246" s="8">
        <v>2021</v>
      </c>
      <c r="F2246" s="9" t="s">
        <v>55</v>
      </c>
      <c r="G2246" s="9" t="s">
        <v>42</v>
      </c>
      <c r="H2246" s="10" t="s">
        <v>79</v>
      </c>
      <c r="I2246" s="7">
        <v>89</v>
      </c>
      <c r="J2246" s="11">
        <v>64</v>
      </c>
      <c r="K2246" s="11">
        <f t="shared" si="70"/>
        <v>5696</v>
      </c>
      <c r="L2246" s="11">
        <v>5.0000000745058101E-2</v>
      </c>
      <c r="M2246" s="11">
        <v>683.52</v>
      </c>
      <c r="N2246" s="11">
        <f t="shared" si="71"/>
        <v>6379.4699999992554</v>
      </c>
    </row>
    <row r="2247" spans="3:14" x14ac:dyDescent="0.3">
      <c r="C2247" s="6">
        <v>44478</v>
      </c>
      <c r="D2247" s="7" t="s">
        <v>130</v>
      </c>
      <c r="E2247" s="8">
        <v>2021</v>
      </c>
      <c r="F2247" s="9" t="s">
        <v>55</v>
      </c>
      <c r="G2247" s="9" t="s">
        <v>26</v>
      </c>
      <c r="H2247" s="10" t="s">
        <v>27</v>
      </c>
      <c r="I2247" s="7">
        <v>30</v>
      </c>
      <c r="J2247" s="11">
        <v>54</v>
      </c>
      <c r="K2247" s="11">
        <f t="shared" si="70"/>
        <v>1620</v>
      </c>
      <c r="L2247" s="11">
        <v>5.0000000745058101E-2</v>
      </c>
      <c r="M2247" s="11">
        <v>194.4</v>
      </c>
      <c r="N2247" s="11">
        <f t="shared" si="71"/>
        <v>1814.349999999255</v>
      </c>
    </row>
    <row r="2248" spans="3:14" x14ac:dyDescent="0.3">
      <c r="C2248" s="6">
        <v>44478</v>
      </c>
      <c r="D2248" s="7" t="s">
        <v>130</v>
      </c>
      <c r="E2248" s="8">
        <v>2021</v>
      </c>
      <c r="F2248" s="9" t="s">
        <v>55</v>
      </c>
      <c r="G2248" s="9" t="s">
        <v>37</v>
      </c>
      <c r="H2248" s="10" t="s">
        <v>63</v>
      </c>
      <c r="I2248" s="7">
        <v>9</v>
      </c>
      <c r="J2248" s="11">
        <v>88</v>
      </c>
      <c r="K2248" s="11">
        <f t="shared" si="70"/>
        <v>792</v>
      </c>
      <c r="L2248" s="11">
        <v>5.0000000745058101E-2</v>
      </c>
      <c r="M2248" s="11">
        <v>95.039999999999992</v>
      </c>
      <c r="N2248" s="11">
        <f t="shared" si="71"/>
        <v>886.98999999925491</v>
      </c>
    </row>
    <row r="2249" spans="3:14" x14ac:dyDescent="0.3">
      <c r="C2249" s="6">
        <v>44478</v>
      </c>
      <c r="D2249" s="7" t="s">
        <v>130</v>
      </c>
      <c r="E2249" s="8">
        <v>2021</v>
      </c>
      <c r="F2249" s="9" t="s">
        <v>91</v>
      </c>
      <c r="G2249" s="9" t="s">
        <v>32</v>
      </c>
      <c r="H2249" s="10" t="s">
        <v>143</v>
      </c>
      <c r="I2249" s="7">
        <v>70</v>
      </c>
      <c r="J2249" s="11">
        <v>17</v>
      </c>
      <c r="K2249" s="11">
        <f t="shared" si="70"/>
        <v>1190</v>
      </c>
      <c r="L2249" s="11">
        <v>0</v>
      </c>
      <c r="M2249" s="11">
        <v>142.79999999999998</v>
      </c>
      <c r="N2249" s="11">
        <f t="shared" si="71"/>
        <v>1332.8</v>
      </c>
    </row>
    <row r="2250" spans="3:14" x14ac:dyDescent="0.3">
      <c r="C2250" s="6">
        <v>44479</v>
      </c>
      <c r="D2250" s="7" t="s">
        <v>130</v>
      </c>
      <c r="E2250" s="8">
        <v>2021</v>
      </c>
      <c r="F2250" s="9" t="s">
        <v>135</v>
      </c>
      <c r="G2250" s="9" t="s">
        <v>37</v>
      </c>
      <c r="H2250" s="10" t="s">
        <v>104</v>
      </c>
      <c r="I2250" s="7">
        <v>49</v>
      </c>
      <c r="J2250" s="11">
        <v>52</v>
      </c>
      <c r="K2250" s="11">
        <f t="shared" si="70"/>
        <v>2548</v>
      </c>
      <c r="L2250" s="11">
        <v>0.20000000298023199</v>
      </c>
      <c r="M2250" s="11">
        <v>305.76</v>
      </c>
      <c r="N2250" s="11">
        <f t="shared" si="71"/>
        <v>2853.55999999702</v>
      </c>
    </row>
    <row r="2251" spans="3:14" x14ac:dyDescent="0.3">
      <c r="C2251" s="6">
        <v>44479</v>
      </c>
      <c r="D2251" s="7" t="s">
        <v>130</v>
      </c>
      <c r="E2251" s="8">
        <v>2021</v>
      </c>
      <c r="F2251" s="9" t="s">
        <v>135</v>
      </c>
      <c r="G2251" s="9" t="s">
        <v>37</v>
      </c>
      <c r="H2251" s="10" t="s">
        <v>106</v>
      </c>
      <c r="I2251" s="7">
        <v>68</v>
      </c>
      <c r="J2251" s="11">
        <v>21</v>
      </c>
      <c r="K2251" s="11">
        <f t="shared" si="70"/>
        <v>1428</v>
      </c>
      <c r="L2251" s="11">
        <v>0.20000000298023199</v>
      </c>
      <c r="M2251" s="11">
        <v>171.35999999999999</v>
      </c>
      <c r="N2251" s="11">
        <f t="shared" si="71"/>
        <v>1599.1599999970197</v>
      </c>
    </row>
    <row r="2252" spans="3:14" x14ac:dyDescent="0.3">
      <c r="C2252" s="6">
        <v>44479</v>
      </c>
      <c r="D2252" s="7" t="s">
        <v>130</v>
      </c>
      <c r="E2252" s="8">
        <v>2021</v>
      </c>
      <c r="F2252" s="9" t="s">
        <v>135</v>
      </c>
      <c r="G2252" s="9" t="s">
        <v>32</v>
      </c>
      <c r="H2252" s="10" t="s">
        <v>110</v>
      </c>
      <c r="I2252" s="7">
        <v>100</v>
      </c>
      <c r="J2252" s="11">
        <v>74</v>
      </c>
      <c r="K2252" s="11">
        <f t="shared" si="70"/>
        <v>7400</v>
      </c>
      <c r="L2252" s="11">
        <v>0.20000000298023199</v>
      </c>
      <c r="M2252" s="11">
        <v>888</v>
      </c>
      <c r="N2252" s="11">
        <f t="shared" si="71"/>
        <v>8287.7999999970198</v>
      </c>
    </row>
    <row r="2253" spans="3:14" x14ac:dyDescent="0.3">
      <c r="C2253" s="6">
        <v>44479</v>
      </c>
      <c r="D2253" s="7" t="s">
        <v>130</v>
      </c>
      <c r="E2253" s="8">
        <v>2021</v>
      </c>
      <c r="F2253" s="9" t="s">
        <v>135</v>
      </c>
      <c r="G2253" s="9" t="s">
        <v>14</v>
      </c>
      <c r="H2253" s="10" t="s">
        <v>87</v>
      </c>
      <c r="I2253" s="7">
        <v>5</v>
      </c>
      <c r="J2253" s="11">
        <v>26</v>
      </c>
      <c r="K2253" s="11">
        <f t="shared" si="70"/>
        <v>130</v>
      </c>
      <c r="L2253" s="11">
        <v>0.20000000298023199</v>
      </c>
      <c r="M2253" s="11">
        <v>15.6</v>
      </c>
      <c r="N2253" s="11">
        <f t="shared" si="71"/>
        <v>145.39999999701976</v>
      </c>
    </row>
    <row r="2254" spans="3:14" x14ac:dyDescent="0.3">
      <c r="C2254" s="6">
        <v>44482</v>
      </c>
      <c r="D2254" s="7" t="s">
        <v>130</v>
      </c>
      <c r="E2254" s="8">
        <v>2021</v>
      </c>
      <c r="F2254" s="9" t="s">
        <v>118</v>
      </c>
      <c r="G2254" s="9" t="s">
        <v>14</v>
      </c>
      <c r="H2254" s="10" t="s">
        <v>49</v>
      </c>
      <c r="I2254" s="7">
        <v>27</v>
      </c>
      <c r="J2254" s="11">
        <v>37</v>
      </c>
      <c r="K2254" s="11">
        <f t="shared" si="70"/>
        <v>999</v>
      </c>
      <c r="L2254" s="11">
        <v>0.15000000596046401</v>
      </c>
      <c r="M2254" s="11">
        <v>119.88</v>
      </c>
      <c r="N2254" s="11">
        <f t="shared" si="71"/>
        <v>1118.7299999940396</v>
      </c>
    </row>
    <row r="2255" spans="3:14" x14ac:dyDescent="0.3">
      <c r="C2255" s="6">
        <v>44482</v>
      </c>
      <c r="D2255" s="7" t="s">
        <v>130</v>
      </c>
      <c r="E2255" s="8">
        <v>2021</v>
      </c>
      <c r="F2255" s="9" t="s">
        <v>118</v>
      </c>
      <c r="G2255" s="9" t="s">
        <v>14</v>
      </c>
      <c r="H2255" s="10" t="s">
        <v>87</v>
      </c>
      <c r="I2255" s="7">
        <v>19</v>
      </c>
      <c r="J2255" s="11">
        <v>74</v>
      </c>
      <c r="K2255" s="11">
        <f t="shared" si="70"/>
        <v>1406</v>
      </c>
      <c r="L2255" s="11">
        <v>0.15000000596046401</v>
      </c>
      <c r="M2255" s="11">
        <v>168.72</v>
      </c>
      <c r="N2255" s="11">
        <f t="shared" si="71"/>
        <v>1574.5699999940396</v>
      </c>
    </row>
    <row r="2256" spans="3:14" x14ac:dyDescent="0.3">
      <c r="C2256" s="6">
        <v>44482</v>
      </c>
      <c r="D2256" s="7" t="s">
        <v>130</v>
      </c>
      <c r="E2256" s="8">
        <v>2021</v>
      </c>
      <c r="F2256" s="9" t="s">
        <v>118</v>
      </c>
      <c r="G2256" s="9" t="s">
        <v>37</v>
      </c>
      <c r="H2256" s="10" t="s">
        <v>77</v>
      </c>
      <c r="I2256" s="7">
        <v>37</v>
      </c>
      <c r="J2256" s="11">
        <v>29</v>
      </c>
      <c r="K2256" s="11">
        <f t="shared" si="70"/>
        <v>1073</v>
      </c>
      <c r="L2256" s="11">
        <v>0.15000000596046401</v>
      </c>
      <c r="M2256" s="11">
        <v>128.76</v>
      </c>
      <c r="N2256" s="11">
        <f t="shared" si="71"/>
        <v>1201.6099999940395</v>
      </c>
    </row>
    <row r="2257" spans="3:14" x14ac:dyDescent="0.3">
      <c r="C2257" s="6">
        <v>44482</v>
      </c>
      <c r="D2257" s="7" t="s">
        <v>130</v>
      </c>
      <c r="E2257" s="8">
        <v>2021</v>
      </c>
      <c r="F2257" s="9" t="s">
        <v>195</v>
      </c>
      <c r="G2257" s="9" t="s">
        <v>26</v>
      </c>
      <c r="H2257" s="10" t="s">
        <v>112</v>
      </c>
      <c r="I2257" s="7">
        <v>59</v>
      </c>
      <c r="J2257" s="11">
        <v>19</v>
      </c>
      <c r="K2257" s="11">
        <f t="shared" si="70"/>
        <v>1121</v>
      </c>
      <c r="L2257" s="11">
        <v>0</v>
      </c>
      <c r="M2257" s="11">
        <v>134.51999999999998</v>
      </c>
      <c r="N2257" s="11">
        <f t="shared" si="71"/>
        <v>1255.52</v>
      </c>
    </row>
    <row r="2258" spans="3:14" x14ac:dyDescent="0.3">
      <c r="C2258" s="6">
        <v>44482</v>
      </c>
      <c r="D2258" s="7" t="s">
        <v>130</v>
      </c>
      <c r="E2258" s="8">
        <v>2021</v>
      </c>
      <c r="F2258" s="9" t="s">
        <v>195</v>
      </c>
      <c r="G2258" s="9" t="s">
        <v>37</v>
      </c>
      <c r="H2258" s="10" t="s">
        <v>77</v>
      </c>
      <c r="I2258" s="7">
        <v>7</v>
      </c>
      <c r="J2258" s="11">
        <v>74</v>
      </c>
      <c r="K2258" s="11">
        <f t="shared" si="70"/>
        <v>518</v>
      </c>
      <c r="L2258" s="11">
        <v>0</v>
      </c>
      <c r="M2258" s="11">
        <v>62.16</v>
      </c>
      <c r="N2258" s="11">
        <f t="shared" si="71"/>
        <v>580.16</v>
      </c>
    </row>
    <row r="2259" spans="3:14" x14ac:dyDescent="0.3">
      <c r="C2259" s="6">
        <v>44483</v>
      </c>
      <c r="D2259" s="7" t="s">
        <v>130</v>
      </c>
      <c r="E2259" s="8">
        <v>2021</v>
      </c>
      <c r="F2259" s="9" t="s">
        <v>70</v>
      </c>
      <c r="G2259" s="9" t="s">
        <v>37</v>
      </c>
      <c r="H2259" s="10" t="s">
        <v>46</v>
      </c>
      <c r="I2259" s="7">
        <v>45</v>
      </c>
      <c r="J2259" s="11">
        <v>83</v>
      </c>
      <c r="K2259" s="11">
        <f t="shared" si="70"/>
        <v>3735</v>
      </c>
      <c r="L2259" s="11">
        <v>0</v>
      </c>
      <c r="M2259" s="11">
        <v>448.2</v>
      </c>
      <c r="N2259" s="11">
        <f t="shared" si="71"/>
        <v>4183.2</v>
      </c>
    </row>
    <row r="2260" spans="3:14" x14ac:dyDescent="0.3">
      <c r="C2260" s="6">
        <v>44483</v>
      </c>
      <c r="D2260" s="7" t="s">
        <v>130</v>
      </c>
      <c r="E2260" s="8">
        <v>2021</v>
      </c>
      <c r="F2260" s="9" t="s">
        <v>70</v>
      </c>
      <c r="G2260" s="9" t="s">
        <v>14</v>
      </c>
      <c r="H2260" s="10" t="s">
        <v>49</v>
      </c>
      <c r="I2260" s="7">
        <v>99</v>
      </c>
      <c r="J2260" s="11">
        <v>44</v>
      </c>
      <c r="K2260" s="11">
        <f t="shared" si="70"/>
        <v>4356</v>
      </c>
      <c r="L2260" s="11">
        <v>0</v>
      </c>
      <c r="M2260" s="11">
        <v>522.72</v>
      </c>
      <c r="N2260" s="11">
        <f t="shared" si="71"/>
        <v>4878.72</v>
      </c>
    </row>
    <row r="2261" spans="3:14" x14ac:dyDescent="0.3">
      <c r="C2261" s="6">
        <v>44483</v>
      </c>
      <c r="D2261" s="7" t="s">
        <v>130</v>
      </c>
      <c r="E2261" s="8">
        <v>2021</v>
      </c>
      <c r="F2261" s="9" t="s">
        <v>70</v>
      </c>
      <c r="G2261" s="9" t="s">
        <v>24</v>
      </c>
      <c r="H2261" s="10" t="s">
        <v>96</v>
      </c>
      <c r="I2261" s="7">
        <v>76</v>
      </c>
      <c r="J2261" s="11">
        <v>51</v>
      </c>
      <c r="K2261" s="11">
        <f t="shared" si="70"/>
        <v>3876</v>
      </c>
      <c r="L2261" s="11">
        <v>0</v>
      </c>
      <c r="M2261" s="11">
        <v>465.12</v>
      </c>
      <c r="N2261" s="11">
        <f t="shared" si="71"/>
        <v>4341.12</v>
      </c>
    </row>
    <row r="2262" spans="3:14" x14ac:dyDescent="0.3">
      <c r="C2262" s="6">
        <v>44483</v>
      </c>
      <c r="D2262" s="7" t="s">
        <v>130</v>
      </c>
      <c r="E2262" s="8">
        <v>2021</v>
      </c>
      <c r="F2262" s="9" t="s">
        <v>161</v>
      </c>
      <c r="G2262" s="9" t="s">
        <v>26</v>
      </c>
      <c r="H2262" s="10" t="s">
        <v>124</v>
      </c>
      <c r="I2262" s="7">
        <v>95</v>
      </c>
      <c r="J2262" s="11">
        <v>84</v>
      </c>
      <c r="K2262" s="11">
        <f t="shared" si="70"/>
        <v>7980</v>
      </c>
      <c r="L2262" s="11">
        <v>0</v>
      </c>
      <c r="M2262" s="11">
        <v>957.59999999999991</v>
      </c>
      <c r="N2262" s="11">
        <f t="shared" si="71"/>
        <v>8937.6</v>
      </c>
    </row>
    <row r="2263" spans="3:14" x14ac:dyDescent="0.3">
      <c r="C2263" s="6">
        <v>44483</v>
      </c>
      <c r="D2263" s="7" t="s">
        <v>130</v>
      </c>
      <c r="E2263" s="8">
        <v>2021</v>
      </c>
      <c r="F2263" s="9" t="s">
        <v>161</v>
      </c>
      <c r="G2263" s="9" t="s">
        <v>37</v>
      </c>
      <c r="H2263" s="10" t="s">
        <v>41</v>
      </c>
      <c r="I2263" s="7">
        <v>96</v>
      </c>
      <c r="J2263" s="11">
        <v>90</v>
      </c>
      <c r="K2263" s="11">
        <f t="shared" si="70"/>
        <v>8640</v>
      </c>
      <c r="L2263" s="11">
        <v>0</v>
      </c>
      <c r="M2263" s="11">
        <v>1036.8</v>
      </c>
      <c r="N2263" s="11">
        <f t="shared" si="71"/>
        <v>9676.7999999999993</v>
      </c>
    </row>
    <row r="2264" spans="3:14" x14ac:dyDescent="0.3">
      <c r="C2264" s="6">
        <v>44483</v>
      </c>
      <c r="D2264" s="7" t="s">
        <v>130</v>
      </c>
      <c r="E2264" s="8">
        <v>2021</v>
      </c>
      <c r="F2264" s="9" t="s">
        <v>161</v>
      </c>
      <c r="G2264" s="9" t="s">
        <v>32</v>
      </c>
      <c r="H2264" s="10" t="s">
        <v>168</v>
      </c>
      <c r="I2264" s="7">
        <v>62</v>
      </c>
      <c r="J2264" s="11">
        <v>21</v>
      </c>
      <c r="K2264" s="11">
        <f t="shared" si="70"/>
        <v>1302</v>
      </c>
      <c r="L2264" s="11">
        <v>0</v>
      </c>
      <c r="M2264" s="11">
        <v>156.23999999999998</v>
      </c>
      <c r="N2264" s="11">
        <f t="shared" si="71"/>
        <v>1458.24</v>
      </c>
    </row>
    <row r="2265" spans="3:14" x14ac:dyDescent="0.3">
      <c r="C2265" s="6">
        <v>44484</v>
      </c>
      <c r="D2265" s="7" t="s">
        <v>130</v>
      </c>
      <c r="E2265" s="8">
        <v>2021</v>
      </c>
      <c r="F2265" s="9" t="s">
        <v>53</v>
      </c>
      <c r="G2265" s="9" t="s">
        <v>14</v>
      </c>
      <c r="H2265" s="10" t="s">
        <v>36</v>
      </c>
      <c r="I2265" s="7">
        <v>34</v>
      </c>
      <c r="J2265" s="11">
        <v>42</v>
      </c>
      <c r="K2265" s="11">
        <f t="shared" si="70"/>
        <v>1428</v>
      </c>
      <c r="L2265" s="11">
        <v>0</v>
      </c>
      <c r="M2265" s="11">
        <v>171.35999999999999</v>
      </c>
      <c r="N2265" s="11">
        <f t="shared" si="71"/>
        <v>1599.36</v>
      </c>
    </row>
    <row r="2266" spans="3:14" x14ac:dyDescent="0.3">
      <c r="C2266" s="6">
        <v>44484</v>
      </c>
      <c r="D2266" s="7" t="s">
        <v>130</v>
      </c>
      <c r="E2266" s="8">
        <v>2021</v>
      </c>
      <c r="F2266" s="9" t="s">
        <v>53</v>
      </c>
      <c r="G2266" s="9" t="s">
        <v>14</v>
      </c>
      <c r="H2266" s="10" t="s">
        <v>57</v>
      </c>
      <c r="I2266" s="7">
        <v>87</v>
      </c>
      <c r="J2266" s="11">
        <v>65</v>
      </c>
      <c r="K2266" s="11">
        <f t="shared" si="70"/>
        <v>5655</v>
      </c>
      <c r="L2266" s="11">
        <v>0</v>
      </c>
      <c r="M2266" s="11">
        <v>678.6</v>
      </c>
      <c r="N2266" s="11">
        <f t="shared" si="71"/>
        <v>6333.6</v>
      </c>
    </row>
    <row r="2267" spans="3:14" x14ac:dyDescent="0.3">
      <c r="C2267" s="6">
        <v>44485</v>
      </c>
      <c r="D2267" s="7" t="s">
        <v>130</v>
      </c>
      <c r="E2267" s="8">
        <v>2021</v>
      </c>
      <c r="F2267" s="9" t="s">
        <v>61</v>
      </c>
      <c r="G2267" s="9" t="s">
        <v>32</v>
      </c>
      <c r="H2267" s="10" t="s">
        <v>47</v>
      </c>
      <c r="I2267" s="7">
        <v>57</v>
      </c>
      <c r="J2267" s="11">
        <v>54</v>
      </c>
      <c r="K2267" s="11">
        <f t="shared" si="70"/>
        <v>3078</v>
      </c>
      <c r="L2267" s="11">
        <v>0</v>
      </c>
      <c r="M2267" s="11">
        <v>369.36</v>
      </c>
      <c r="N2267" s="11">
        <f t="shared" si="71"/>
        <v>3447.36</v>
      </c>
    </row>
    <row r="2268" spans="3:14" x14ac:dyDescent="0.3">
      <c r="C2268" s="6">
        <v>44485</v>
      </c>
      <c r="D2268" s="7" t="s">
        <v>130</v>
      </c>
      <c r="E2268" s="8">
        <v>2021</v>
      </c>
      <c r="F2268" s="9" t="s">
        <v>61</v>
      </c>
      <c r="G2268" s="9" t="s">
        <v>37</v>
      </c>
      <c r="H2268" s="10" t="s">
        <v>82</v>
      </c>
      <c r="I2268" s="7">
        <v>40</v>
      </c>
      <c r="J2268" s="11">
        <v>16</v>
      </c>
      <c r="K2268" s="11">
        <f t="shared" si="70"/>
        <v>640</v>
      </c>
      <c r="L2268" s="11">
        <v>0</v>
      </c>
      <c r="M2268" s="11">
        <v>76.8</v>
      </c>
      <c r="N2268" s="11">
        <f t="shared" si="71"/>
        <v>716.8</v>
      </c>
    </row>
    <row r="2269" spans="3:14" x14ac:dyDescent="0.3">
      <c r="C2269" s="6">
        <v>44485</v>
      </c>
      <c r="D2269" s="7" t="s">
        <v>130</v>
      </c>
      <c r="E2269" s="8">
        <v>2021</v>
      </c>
      <c r="F2269" s="9" t="s">
        <v>61</v>
      </c>
      <c r="G2269" s="9" t="s">
        <v>14</v>
      </c>
      <c r="H2269" s="10" t="s">
        <v>49</v>
      </c>
      <c r="I2269" s="7">
        <v>5</v>
      </c>
      <c r="J2269" s="11">
        <v>95</v>
      </c>
      <c r="K2269" s="11">
        <f t="shared" si="70"/>
        <v>475</v>
      </c>
      <c r="L2269" s="11">
        <v>0</v>
      </c>
      <c r="M2269" s="11">
        <v>57</v>
      </c>
      <c r="N2269" s="11">
        <f t="shared" si="71"/>
        <v>532</v>
      </c>
    </row>
    <row r="2270" spans="3:14" x14ac:dyDescent="0.3">
      <c r="C2270" s="6">
        <v>44485</v>
      </c>
      <c r="D2270" s="7" t="s">
        <v>130</v>
      </c>
      <c r="E2270" s="8">
        <v>2021</v>
      </c>
      <c r="F2270" s="9" t="s">
        <v>153</v>
      </c>
      <c r="G2270" s="9" t="s">
        <v>42</v>
      </c>
      <c r="H2270" s="10" t="s">
        <v>43</v>
      </c>
      <c r="I2270" s="7">
        <v>72</v>
      </c>
      <c r="J2270" s="11">
        <v>14</v>
      </c>
      <c r="K2270" s="11">
        <f t="shared" si="70"/>
        <v>1008</v>
      </c>
      <c r="L2270" s="11">
        <v>0</v>
      </c>
      <c r="M2270" s="11">
        <v>120.96</v>
      </c>
      <c r="N2270" s="11">
        <f t="shared" si="71"/>
        <v>1128.96</v>
      </c>
    </row>
    <row r="2271" spans="3:14" x14ac:dyDescent="0.3">
      <c r="C2271" s="6">
        <v>44485</v>
      </c>
      <c r="D2271" s="7" t="s">
        <v>130</v>
      </c>
      <c r="E2271" s="8">
        <v>2021</v>
      </c>
      <c r="F2271" s="9" t="s">
        <v>153</v>
      </c>
      <c r="G2271" s="9" t="s">
        <v>16</v>
      </c>
      <c r="H2271" s="10" t="s">
        <v>30</v>
      </c>
      <c r="I2271" s="7">
        <v>37</v>
      </c>
      <c r="J2271" s="11">
        <v>82</v>
      </c>
      <c r="K2271" s="11">
        <f t="shared" si="70"/>
        <v>3034</v>
      </c>
      <c r="L2271" s="11">
        <v>0</v>
      </c>
      <c r="M2271" s="11">
        <v>364.08</v>
      </c>
      <c r="N2271" s="11">
        <f t="shared" si="71"/>
        <v>3398.08</v>
      </c>
    </row>
    <row r="2272" spans="3:14" x14ac:dyDescent="0.3">
      <c r="C2272" s="6">
        <v>44485</v>
      </c>
      <c r="D2272" s="7" t="s">
        <v>130</v>
      </c>
      <c r="E2272" s="8">
        <v>2021</v>
      </c>
      <c r="F2272" s="9" t="s">
        <v>153</v>
      </c>
      <c r="G2272" s="9" t="s">
        <v>37</v>
      </c>
      <c r="H2272" s="10" t="s">
        <v>63</v>
      </c>
      <c r="I2272" s="7">
        <v>8</v>
      </c>
      <c r="J2272" s="11">
        <v>89</v>
      </c>
      <c r="K2272" s="11">
        <f t="shared" si="70"/>
        <v>712</v>
      </c>
      <c r="L2272" s="11">
        <v>0.15000000596046401</v>
      </c>
      <c r="M2272" s="11">
        <v>85.44</v>
      </c>
      <c r="N2272" s="11">
        <f t="shared" si="71"/>
        <v>797.28999999403959</v>
      </c>
    </row>
    <row r="2273" spans="3:14" x14ac:dyDescent="0.3">
      <c r="C2273" s="6">
        <v>44486</v>
      </c>
      <c r="D2273" s="7" t="s">
        <v>130</v>
      </c>
      <c r="E2273" s="8">
        <v>2021</v>
      </c>
      <c r="F2273" s="9" t="s">
        <v>126</v>
      </c>
      <c r="G2273" s="9" t="s">
        <v>26</v>
      </c>
      <c r="H2273" s="10" t="s">
        <v>56</v>
      </c>
      <c r="I2273" s="7">
        <v>2</v>
      </c>
      <c r="J2273" s="11">
        <v>36</v>
      </c>
      <c r="K2273" s="11">
        <f t="shared" si="70"/>
        <v>72</v>
      </c>
      <c r="L2273" s="11">
        <v>0</v>
      </c>
      <c r="M2273" s="11">
        <v>8.64</v>
      </c>
      <c r="N2273" s="11">
        <f t="shared" si="71"/>
        <v>80.64</v>
      </c>
    </row>
    <row r="2274" spans="3:14" x14ac:dyDescent="0.3">
      <c r="C2274" s="6">
        <v>44486</v>
      </c>
      <c r="D2274" s="7" t="s">
        <v>130</v>
      </c>
      <c r="E2274" s="8">
        <v>2021</v>
      </c>
      <c r="F2274" s="9" t="s">
        <v>126</v>
      </c>
      <c r="G2274" s="9" t="s">
        <v>24</v>
      </c>
      <c r="H2274" s="10" t="s">
        <v>48</v>
      </c>
      <c r="I2274" s="7">
        <v>72</v>
      </c>
      <c r="J2274" s="11">
        <v>72</v>
      </c>
      <c r="K2274" s="11">
        <f t="shared" si="70"/>
        <v>5184</v>
      </c>
      <c r="L2274" s="11">
        <v>0</v>
      </c>
      <c r="M2274" s="11">
        <v>622.07999999999993</v>
      </c>
      <c r="N2274" s="11">
        <f t="shared" si="71"/>
        <v>5806.08</v>
      </c>
    </row>
    <row r="2275" spans="3:14" x14ac:dyDescent="0.3">
      <c r="C2275" s="6">
        <v>44486</v>
      </c>
      <c r="D2275" s="7" t="s">
        <v>130</v>
      </c>
      <c r="E2275" s="8">
        <v>2021</v>
      </c>
      <c r="F2275" s="9" t="s">
        <v>176</v>
      </c>
      <c r="G2275" s="9" t="s">
        <v>26</v>
      </c>
      <c r="H2275" s="10" t="s">
        <v>148</v>
      </c>
      <c r="I2275" s="7">
        <v>96</v>
      </c>
      <c r="J2275" s="11">
        <v>71</v>
      </c>
      <c r="K2275" s="11">
        <f t="shared" si="70"/>
        <v>6816</v>
      </c>
      <c r="L2275" s="11">
        <v>0</v>
      </c>
      <c r="M2275" s="11">
        <v>817.92</v>
      </c>
      <c r="N2275" s="11">
        <f t="shared" si="71"/>
        <v>7633.92</v>
      </c>
    </row>
    <row r="2276" spans="3:14" x14ac:dyDescent="0.3">
      <c r="C2276" s="6">
        <v>44486</v>
      </c>
      <c r="D2276" s="7" t="s">
        <v>130</v>
      </c>
      <c r="E2276" s="8">
        <v>2021</v>
      </c>
      <c r="F2276" s="9" t="s">
        <v>176</v>
      </c>
      <c r="G2276" s="9" t="s">
        <v>20</v>
      </c>
      <c r="H2276" s="10" t="s">
        <v>22</v>
      </c>
      <c r="I2276" s="7">
        <v>94</v>
      </c>
      <c r="J2276" s="11">
        <v>98</v>
      </c>
      <c r="K2276" s="11">
        <f t="shared" si="70"/>
        <v>9212</v>
      </c>
      <c r="L2276" s="11">
        <v>0</v>
      </c>
      <c r="M2276" s="11">
        <v>1105.44</v>
      </c>
      <c r="N2276" s="11">
        <f t="shared" si="71"/>
        <v>10317.44</v>
      </c>
    </row>
    <row r="2277" spans="3:14" x14ac:dyDescent="0.3">
      <c r="C2277" s="6">
        <v>44486</v>
      </c>
      <c r="D2277" s="7" t="s">
        <v>130</v>
      </c>
      <c r="E2277" s="8">
        <v>2021</v>
      </c>
      <c r="F2277" s="9" t="s">
        <v>176</v>
      </c>
      <c r="G2277" s="9" t="s">
        <v>14</v>
      </c>
      <c r="H2277" s="10" t="s">
        <v>35</v>
      </c>
      <c r="I2277" s="7">
        <v>78</v>
      </c>
      <c r="J2277" s="11">
        <v>30</v>
      </c>
      <c r="K2277" s="11">
        <f t="shared" si="70"/>
        <v>2340</v>
      </c>
      <c r="L2277" s="11">
        <v>0</v>
      </c>
      <c r="M2277" s="11">
        <v>280.8</v>
      </c>
      <c r="N2277" s="11">
        <f t="shared" si="71"/>
        <v>2620.8000000000002</v>
      </c>
    </row>
    <row r="2278" spans="3:14" x14ac:dyDescent="0.3">
      <c r="C2278" s="6">
        <v>44489</v>
      </c>
      <c r="D2278" s="7" t="s">
        <v>130</v>
      </c>
      <c r="E2278" s="8">
        <v>2021</v>
      </c>
      <c r="F2278" s="9" t="s">
        <v>175</v>
      </c>
      <c r="G2278" s="9" t="s">
        <v>32</v>
      </c>
      <c r="H2278" s="10" t="s">
        <v>100</v>
      </c>
      <c r="I2278" s="7">
        <v>41</v>
      </c>
      <c r="J2278" s="11">
        <v>16</v>
      </c>
      <c r="K2278" s="11">
        <f t="shared" si="70"/>
        <v>656</v>
      </c>
      <c r="L2278" s="11">
        <v>0</v>
      </c>
      <c r="M2278" s="11">
        <v>78.72</v>
      </c>
      <c r="N2278" s="11">
        <f t="shared" si="71"/>
        <v>734.72</v>
      </c>
    </row>
    <row r="2279" spans="3:14" x14ac:dyDescent="0.3">
      <c r="C2279" s="6">
        <v>44489</v>
      </c>
      <c r="D2279" s="7" t="s">
        <v>130</v>
      </c>
      <c r="E2279" s="8">
        <v>2021</v>
      </c>
      <c r="F2279" s="9" t="s">
        <v>175</v>
      </c>
      <c r="G2279" s="9" t="s">
        <v>32</v>
      </c>
      <c r="H2279" s="10" t="s">
        <v>143</v>
      </c>
      <c r="I2279" s="7">
        <v>87</v>
      </c>
      <c r="J2279" s="11">
        <v>30</v>
      </c>
      <c r="K2279" s="11">
        <f t="shared" si="70"/>
        <v>2610</v>
      </c>
      <c r="L2279" s="11">
        <v>0</v>
      </c>
      <c r="M2279" s="11">
        <v>313.2</v>
      </c>
      <c r="N2279" s="11">
        <f t="shared" si="71"/>
        <v>2923.2</v>
      </c>
    </row>
    <row r="2280" spans="3:14" x14ac:dyDescent="0.3">
      <c r="C2280" s="6">
        <v>44490</v>
      </c>
      <c r="D2280" s="7" t="s">
        <v>130</v>
      </c>
      <c r="E2280" s="8">
        <v>2021</v>
      </c>
      <c r="F2280" s="9" t="s">
        <v>135</v>
      </c>
      <c r="G2280" s="9" t="s">
        <v>32</v>
      </c>
      <c r="H2280" s="10" t="s">
        <v>100</v>
      </c>
      <c r="I2280" s="7">
        <v>27</v>
      </c>
      <c r="J2280" s="11">
        <v>97</v>
      </c>
      <c r="K2280" s="11">
        <f t="shared" si="70"/>
        <v>2619</v>
      </c>
      <c r="L2280" s="11">
        <v>0</v>
      </c>
      <c r="M2280" s="11">
        <v>314.27999999999997</v>
      </c>
      <c r="N2280" s="11">
        <f t="shared" si="71"/>
        <v>2933.2799999999997</v>
      </c>
    </row>
    <row r="2281" spans="3:14" x14ac:dyDescent="0.3">
      <c r="C2281" s="6">
        <v>44490</v>
      </c>
      <c r="D2281" s="7" t="s">
        <v>130</v>
      </c>
      <c r="E2281" s="8">
        <v>2021</v>
      </c>
      <c r="F2281" s="9" t="s">
        <v>135</v>
      </c>
      <c r="G2281" s="9" t="s">
        <v>24</v>
      </c>
      <c r="H2281" s="10" t="s">
        <v>25</v>
      </c>
      <c r="I2281" s="7">
        <v>8</v>
      </c>
      <c r="J2281" s="11">
        <v>88</v>
      </c>
      <c r="K2281" s="11">
        <f t="shared" si="70"/>
        <v>704</v>
      </c>
      <c r="L2281" s="11">
        <v>0</v>
      </c>
      <c r="M2281" s="11">
        <v>84.47999999999999</v>
      </c>
      <c r="N2281" s="11">
        <f t="shared" si="71"/>
        <v>788.48</v>
      </c>
    </row>
    <row r="2282" spans="3:14" x14ac:dyDescent="0.3">
      <c r="C2282" s="6">
        <v>44490</v>
      </c>
      <c r="D2282" s="7" t="s">
        <v>130</v>
      </c>
      <c r="E2282" s="8">
        <v>2021</v>
      </c>
      <c r="F2282" s="9" t="s">
        <v>135</v>
      </c>
      <c r="G2282" s="9" t="s">
        <v>42</v>
      </c>
      <c r="H2282" s="10" t="s">
        <v>51</v>
      </c>
      <c r="I2282" s="7">
        <v>55</v>
      </c>
      <c r="J2282" s="11">
        <v>29</v>
      </c>
      <c r="K2282" s="11">
        <f t="shared" si="70"/>
        <v>1595</v>
      </c>
      <c r="L2282" s="11">
        <v>0</v>
      </c>
      <c r="M2282" s="11">
        <v>191.4</v>
      </c>
      <c r="N2282" s="11">
        <f t="shared" si="71"/>
        <v>1786.4</v>
      </c>
    </row>
    <row r="2283" spans="3:14" x14ac:dyDescent="0.3">
      <c r="C2283" s="6">
        <v>44490</v>
      </c>
      <c r="D2283" s="7" t="s">
        <v>130</v>
      </c>
      <c r="E2283" s="8">
        <v>2021</v>
      </c>
      <c r="F2283" s="9" t="s">
        <v>118</v>
      </c>
      <c r="G2283" s="9" t="s">
        <v>42</v>
      </c>
      <c r="H2283" s="10" t="s">
        <v>51</v>
      </c>
      <c r="I2283" s="7">
        <v>78</v>
      </c>
      <c r="J2283" s="11">
        <v>47</v>
      </c>
      <c r="K2283" s="11">
        <f t="shared" si="70"/>
        <v>3666</v>
      </c>
      <c r="L2283" s="11">
        <v>5.0000000745058101E-2</v>
      </c>
      <c r="M2283" s="11">
        <v>439.91999999999996</v>
      </c>
      <c r="N2283" s="11">
        <f t="shared" si="71"/>
        <v>4105.869999999255</v>
      </c>
    </row>
    <row r="2284" spans="3:14" x14ac:dyDescent="0.3">
      <c r="C2284" s="6">
        <v>44490</v>
      </c>
      <c r="D2284" s="7" t="s">
        <v>130</v>
      </c>
      <c r="E2284" s="8">
        <v>2021</v>
      </c>
      <c r="F2284" s="9" t="s">
        <v>118</v>
      </c>
      <c r="G2284" s="9" t="s">
        <v>16</v>
      </c>
      <c r="H2284" s="10" t="s">
        <v>68</v>
      </c>
      <c r="I2284" s="7">
        <v>28</v>
      </c>
      <c r="J2284" s="11">
        <v>64</v>
      </c>
      <c r="K2284" s="11">
        <f t="shared" si="70"/>
        <v>1792</v>
      </c>
      <c r="L2284" s="11">
        <v>0</v>
      </c>
      <c r="M2284" s="11">
        <v>215.04</v>
      </c>
      <c r="N2284" s="11">
        <f t="shared" si="71"/>
        <v>2007.04</v>
      </c>
    </row>
    <row r="2285" spans="3:14" x14ac:dyDescent="0.3">
      <c r="C2285" s="6">
        <v>44491</v>
      </c>
      <c r="D2285" s="7" t="s">
        <v>130</v>
      </c>
      <c r="E2285" s="8">
        <v>2021</v>
      </c>
      <c r="F2285" s="9" t="s">
        <v>135</v>
      </c>
      <c r="G2285" s="9" t="s">
        <v>24</v>
      </c>
      <c r="H2285" s="10" t="s">
        <v>85</v>
      </c>
      <c r="I2285" s="7">
        <v>2</v>
      </c>
      <c r="J2285" s="11">
        <v>23</v>
      </c>
      <c r="K2285" s="11">
        <f t="shared" si="70"/>
        <v>46</v>
      </c>
      <c r="L2285" s="11">
        <v>0</v>
      </c>
      <c r="M2285" s="11">
        <v>5.52</v>
      </c>
      <c r="N2285" s="11">
        <f t="shared" si="71"/>
        <v>51.519999999999996</v>
      </c>
    </row>
    <row r="2286" spans="3:14" x14ac:dyDescent="0.3">
      <c r="C2286" s="6">
        <v>44491</v>
      </c>
      <c r="D2286" s="7" t="s">
        <v>130</v>
      </c>
      <c r="E2286" s="8">
        <v>2021</v>
      </c>
      <c r="F2286" s="9" t="s">
        <v>135</v>
      </c>
      <c r="G2286" s="9" t="s">
        <v>32</v>
      </c>
      <c r="H2286" s="10" t="s">
        <v>140</v>
      </c>
      <c r="I2286" s="7">
        <v>33</v>
      </c>
      <c r="J2286" s="11">
        <v>85</v>
      </c>
      <c r="K2286" s="11">
        <f t="shared" si="70"/>
        <v>2805</v>
      </c>
      <c r="L2286" s="11">
        <v>0</v>
      </c>
      <c r="M2286" s="11">
        <v>336.59999999999997</v>
      </c>
      <c r="N2286" s="11">
        <f t="shared" si="71"/>
        <v>3141.6</v>
      </c>
    </row>
    <row r="2287" spans="3:14" x14ac:dyDescent="0.3">
      <c r="C2287" s="6">
        <v>44491</v>
      </c>
      <c r="D2287" s="7" t="s">
        <v>130</v>
      </c>
      <c r="E2287" s="8">
        <v>2021</v>
      </c>
      <c r="F2287" s="9" t="s">
        <v>135</v>
      </c>
      <c r="G2287" s="9" t="s">
        <v>24</v>
      </c>
      <c r="H2287" s="10" t="s">
        <v>165</v>
      </c>
      <c r="I2287" s="7">
        <v>23</v>
      </c>
      <c r="J2287" s="11">
        <v>64</v>
      </c>
      <c r="K2287" s="11">
        <f t="shared" si="70"/>
        <v>1472</v>
      </c>
      <c r="L2287" s="11">
        <v>0</v>
      </c>
      <c r="M2287" s="11">
        <v>176.64</v>
      </c>
      <c r="N2287" s="11">
        <f t="shared" si="71"/>
        <v>1648.6399999999999</v>
      </c>
    </row>
    <row r="2288" spans="3:14" x14ac:dyDescent="0.3">
      <c r="C2288" s="6">
        <v>44491</v>
      </c>
      <c r="D2288" s="7" t="s">
        <v>130</v>
      </c>
      <c r="E2288" s="8">
        <v>2021</v>
      </c>
      <c r="F2288" s="9" t="s">
        <v>135</v>
      </c>
      <c r="G2288" s="9" t="s">
        <v>24</v>
      </c>
      <c r="H2288" s="10" t="s">
        <v>107</v>
      </c>
      <c r="I2288" s="7">
        <v>5</v>
      </c>
      <c r="J2288" s="11">
        <v>73</v>
      </c>
      <c r="K2288" s="11">
        <f t="shared" si="70"/>
        <v>365</v>
      </c>
      <c r="L2288" s="11">
        <v>0</v>
      </c>
      <c r="M2288" s="11">
        <v>43.8</v>
      </c>
      <c r="N2288" s="11">
        <f t="shared" si="71"/>
        <v>408.8</v>
      </c>
    </row>
    <row r="2289" spans="3:14" x14ac:dyDescent="0.3">
      <c r="C2289" s="6">
        <v>44491</v>
      </c>
      <c r="D2289" s="7" t="s">
        <v>130</v>
      </c>
      <c r="E2289" s="8">
        <v>2021</v>
      </c>
      <c r="F2289" s="9" t="s">
        <v>135</v>
      </c>
      <c r="G2289" s="9" t="s">
        <v>37</v>
      </c>
      <c r="H2289" s="10" t="s">
        <v>46</v>
      </c>
      <c r="I2289" s="7">
        <v>4</v>
      </c>
      <c r="J2289" s="11">
        <v>48</v>
      </c>
      <c r="K2289" s="11">
        <f t="shared" si="70"/>
        <v>192</v>
      </c>
      <c r="L2289" s="11">
        <v>0.25</v>
      </c>
      <c r="M2289" s="11">
        <v>23.04</v>
      </c>
      <c r="N2289" s="11">
        <f t="shared" si="71"/>
        <v>214.79</v>
      </c>
    </row>
    <row r="2290" spans="3:14" x14ac:dyDescent="0.3">
      <c r="C2290" s="6">
        <v>44491</v>
      </c>
      <c r="D2290" s="7" t="s">
        <v>130</v>
      </c>
      <c r="E2290" s="8">
        <v>2021</v>
      </c>
      <c r="F2290" s="9" t="s">
        <v>135</v>
      </c>
      <c r="G2290" s="9" t="s">
        <v>42</v>
      </c>
      <c r="H2290" s="10" t="s">
        <v>72</v>
      </c>
      <c r="I2290" s="7">
        <v>77</v>
      </c>
      <c r="J2290" s="11">
        <v>71</v>
      </c>
      <c r="K2290" s="11">
        <f t="shared" si="70"/>
        <v>5467</v>
      </c>
      <c r="L2290" s="11">
        <v>0.25</v>
      </c>
      <c r="M2290" s="11">
        <v>656.04</v>
      </c>
      <c r="N2290" s="11">
        <f t="shared" si="71"/>
        <v>6122.79</v>
      </c>
    </row>
    <row r="2291" spans="3:14" x14ac:dyDescent="0.3">
      <c r="C2291" s="6">
        <v>44491</v>
      </c>
      <c r="D2291" s="7" t="s">
        <v>130</v>
      </c>
      <c r="E2291" s="8">
        <v>2021</v>
      </c>
      <c r="F2291" s="9" t="s">
        <v>135</v>
      </c>
      <c r="G2291" s="9" t="s">
        <v>32</v>
      </c>
      <c r="H2291" s="10" t="s">
        <v>143</v>
      </c>
      <c r="I2291" s="7">
        <v>52</v>
      </c>
      <c r="J2291" s="11">
        <v>88</v>
      </c>
      <c r="K2291" s="11">
        <f t="shared" si="70"/>
        <v>4576</v>
      </c>
      <c r="L2291" s="11">
        <v>0.25</v>
      </c>
      <c r="M2291" s="11">
        <v>549.12</v>
      </c>
      <c r="N2291" s="11">
        <f t="shared" si="71"/>
        <v>5124.87</v>
      </c>
    </row>
    <row r="2292" spans="3:14" x14ac:dyDescent="0.3">
      <c r="C2292" s="6">
        <v>44491</v>
      </c>
      <c r="D2292" s="7" t="s">
        <v>130</v>
      </c>
      <c r="E2292" s="8">
        <v>2021</v>
      </c>
      <c r="F2292" s="9" t="s">
        <v>135</v>
      </c>
      <c r="G2292" s="9" t="s">
        <v>16</v>
      </c>
      <c r="H2292" s="10" t="s">
        <v>68</v>
      </c>
      <c r="I2292" s="7">
        <v>62</v>
      </c>
      <c r="J2292" s="11">
        <v>21</v>
      </c>
      <c r="K2292" s="11">
        <f t="shared" si="70"/>
        <v>1302</v>
      </c>
      <c r="L2292" s="11">
        <v>0.25</v>
      </c>
      <c r="M2292" s="11">
        <v>156.23999999999998</v>
      </c>
      <c r="N2292" s="11">
        <f t="shared" si="71"/>
        <v>1457.99</v>
      </c>
    </row>
    <row r="2293" spans="3:14" x14ac:dyDescent="0.3">
      <c r="C2293" s="6">
        <v>44491</v>
      </c>
      <c r="D2293" s="7" t="s">
        <v>130</v>
      </c>
      <c r="E2293" s="8">
        <v>2021</v>
      </c>
      <c r="F2293" s="9" t="s">
        <v>135</v>
      </c>
      <c r="G2293" s="9" t="s">
        <v>24</v>
      </c>
      <c r="H2293" s="10" t="s">
        <v>128</v>
      </c>
      <c r="I2293" s="7">
        <v>39</v>
      </c>
      <c r="J2293" s="11">
        <v>66</v>
      </c>
      <c r="K2293" s="11">
        <f t="shared" si="70"/>
        <v>2574</v>
      </c>
      <c r="L2293" s="11">
        <v>0.25</v>
      </c>
      <c r="M2293" s="11">
        <v>308.88</v>
      </c>
      <c r="N2293" s="11">
        <f t="shared" si="71"/>
        <v>2882.63</v>
      </c>
    </row>
    <row r="2294" spans="3:14" x14ac:dyDescent="0.3">
      <c r="C2294" s="6">
        <v>44492</v>
      </c>
      <c r="D2294" s="7" t="s">
        <v>130</v>
      </c>
      <c r="E2294" s="8">
        <v>2021</v>
      </c>
      <c r="F2294" s="9" t="s">
        <v>141</v>
      </c>
      <c r="G2294" s="9" t="s">
        <v>24</v>
      </c>
      <c r="H2294" s="10" t="s">
        <v>85</v>
      </c>
      <c r="I2294" s="7">
        <v>9</v>
      </c>
      <c r="J2294" s="11">
        <v>34</v>
      </c>
      <c r="K2294" s="11">
        <f t="shared" si="70"/>
        <v>306</v>
      </c>
      <c r="L2294" s="11">
        <v>0</v>
      </c>
      <c r="M2294" s="11">
        <v>36.72</v>
      </c>
      <c r="N2294" s="11">
        <f t="shared" si="71"/>
        <v>342.72</v>
      </c>
    </row>
    <row r="2295" spans="3:14" x14ac:dyDescent="0.3">
      <c r="C2295" s="6">
        <v>44492</v>
      </c>
      <c r="D2295" s="7" t="s">
        <v>130</v>
      </c>
      <c r="E2295" s="8">
        <v>2021</v>
      </c>
      <c r="F2295" s="9" t="s">
        <v>141</v>
      </c>
      <c r="G2295" s="9" t="s">
        <v>14</v>
      </c>
      <c r="H2295" s="10" t="s">
        <v>87</v>
      </c>
      <c r="I2295" s="7">
        <v>2</v>
      </c>
      <c r="J2295" s="11">
        <v>66</v>
      </c>
      <c r="K2295" s="11">
        <f t="shared" si="70"/>
        <v>132</v>
      </c>
      <c r="L2295" s="11">
        <v>0</v>
      </c>
      <c r="M2295" s="11">
        <v>15.84</v>
      </c>
      <c r="N2295" s="11">
        <f t="shared" si="71"/>
        <v>147.84</v>
      </c>
    </row>
    <row r="2296" spans="3:14" x14ac:dyDescent="0.3">
      <c r="C2296" s="6">
        <v>44493</v>
      </c>
      <c r="D2296" s="7" t="s">
        <v>130</v>
      </c>
      <c r="E2296" s="8">
        <v>2021</v>
      </c>
      <c r="F2296" s="9" t="s">
        <v>180</v>
      </c>
      <c r="G2296" s="9" t="s">
        <v>32</v>
      </c>
      <c r="H2296" s="10" t="s">
        <v>59</v>
      </c>
      <c r="I2296" s="7">
        <v>57</v>
      </c>
      <c r="J2296" s="11">
        <v>37</v>
      </c>
      <c r="K2296" s="11">
        <f t="shared" si="70"/>
        <v>2109</v>
      </c>
      <c r="L2296" s="11">
        <v>0</v>
      </c>
      <c r="M2296" s="11">
        <v>253.07999999999998</v>
      </c>
      <c r="N2296" s="11">
        <f t="shared" si="71"/>
        <v>2362.08</v>
      </c>
    </row>
    <row r="2297" spans="3:14" x14ac:dyDescent="0.3">
      <c r="C2297" s="6">
        <v>44493</v>
      </c>
      <c r="D2297" s="7" t="s">
        <v>130</v>
      </c>
      <c r="E2297" s="8">
        <v>2021</v>
      </c>
      <c r="F2297" s="9" t="s">
        <v>180</v>
      </c>
      <c r="G2297" s="9" t="s">
        <v>20</v>
      </c>
      <c r="H2297" s="10" t="s">
        <v>22</v>
      </c>
      <c r="I2297" s="7">
        <v>52</v>
      </c>
      <c r="J2297" s="11">
        <v>57</v>
      </c>
      <c r="K2297" s="11">
        <f t="shared" si="70"/>
        <v>2964</v>
      </c>
      <c r="L2297" s="11">
        <v>0</v>
      </c>
      <c r="M2297" s="11">
        <v>355.68</v>
      </c>
      <c r="N2297" s="11">
        <f t="shared" si="71"/>
        <v>3319.68</v>
      </c>
    </row>
    <row r="2298" spans="3:14" x14ac:dyDescent="0.3">
      <c r="C2298" s="6">
        <v>44493</v>
      </c>
      <c r="D2298" s="7" t="s">
        <v>130</v>
      </c>
      <c r="E2298" s="8">
        <v>2021</v>
      </c>
      <c r="F2298" s="9" t="s">
        <v>180</v>
      </c>
      <c r="G2298" s="9" t="s">
        <v>26</v>
      </c>
      <c r="H2298" s="10" t="s">
        <v>173</v>
      </c>
      <c r="I2298" s="7">
        <v>61</v>
      </c>
      <c r="J2298" s="11">
        <v>16</v>
      </c>
      <c r="K2298" s="11">
        <f t="shared" si="70"/>
        <v>976</v>
      </c>
      <c r="L2298" s="11">
        <v>0</v>
      </c>
      <c r="M2298" s="11">
        <v>117.11999999999999</v>
      </c>
      <c r="N2298" s="11">
        <f t="shared" si="71"/>
        <v>1093.1199999999999</v>
      </c>
    </row>
    <row r="2299" spans="3:14" x14ac:dyDescent="0.3">
      <c r="C2299" s="6">
        <v>44493</v>
      </c>
      <c r="D2299" s="7" t="s">
        <v>130</v>
      </c>
      <c r="E2299" s="8">
        <v>2021</v>
      </c>
      <c r="F2299" s="9" t="s">
        <v>75</v>
      </c>
      <c r="G2299" s="9" t="s">
        <v>32</v>
      </c>
      <c r="H2299" s="10" t="s">
        <v>59</v>
      </c>
      <c r="I2299" s="7">
        <v>11</v>
      </c>
      <c r="J2299" s="11">
        <v>88</v>
      </c>
      <c r="K2299" s="11">
        <f t="shared" si="70"/>
        <v>968</v>
      </c>
      <c r="L2299" s="11">
        <v>5.0000000745058101E-2</v>
      </c>
      <c r="M2299" s="11">
        <v>116.16</v>
      </c>
      <c r="N2299" s="11">
        <f t="shared" si="71"/>
        <v>1084.109999999255</v>
      </c>
    </row>
    <row r="2300" spans="3:14" x14ac:dyDescent="0.3">
      <c r="C2300" s="6">
        <v>44493</v>
      </c>
      <c r="D2300" s="7" t="s">
        <v>130</v>
      </c>
      <c r="E2300" s="8">
        <v>2021</v>
      </c>
      <c r="F2300" s="9" t="s">
        <v>75</v>
      </c>
      <c r="G2300" s="9" t="s">
        <v>42</v>
      </c>
      <c r="H2300" s="10" t="s">
        <v>109</v>
      </c>
      <c r="I2300" s="7">
        <v>41</v>
      </c>
      <c r="J2300" s="11">
        <v>46</v>
      </c>
      <c r="K2300" s="11">
        <f t="shared" si="70"/>
        <v>1886</v>
      </c>
      <c r="L2300" s="11">
        <v>0</v>
      </c>
      <c r="M2300" s="11">
        <v>226.32</v>
      </c>
      <c r="N2300" s="11">
        <f t="shared" si="71"/>
        <v>2112.3200000000002</v>
      </c>
    </row>
    <row r="2301" spans="3:14" x14ac:dyDescent="0.3">
      <c r="C2301" s="6">
        <v>44493</v>
      </c>
      <c r="D2301" s="7" t="s">
        <v>130</v>
      </c>
      <c r="E2301" s="8">
        <v>2021</v>
      </c>
      <c r="F2301" s="9" t="s">
        <v>75</v>
      </c>
      <c r="G2301" s="9" t="s">
        <v>14</v>
      </c>
      <c r="H2301" s="10" t="s">
        <v>117</v>
      </c>
      <c r="I2301" s="7">
        <v>59</v>
      </c>
      <c r="J2301" s="11">
        <v>61</v>
      </c>
      <c r="K2301" s="11">
        <f t="shared" si="70"/>
        <v>3599</v>
      </c>
      <c r="L2301" s="11">
        <v>5.0000000745058101E-2</v>
      </c>
      <c r="M2301" s="11">
        <v>431.88</v>
      </c>
      <c r="N2301" s="11">
        <f t="shared" si="71"/>
        <v>4030.8299999992551</v>
      </c>
    </row>
    <row r="2302" spans="3:14" x14ac:dyDescent="0.3">
      <c r="C2302" s="6">
        <v>44496</v>
      </c>
      <c r="D2302" s="7" t="s">
        <v>130</v>
      </c>
      <c r="E2302" s="8">
        <v>2021</v>
      </c>
      <c r="F2302" s="9" t="s">
        <v>133</v>
      </c>
      <c r="G2302" s="9" t="s">
        <v>14</v>
      </c>
      <c r="H2302" s="10" t="s">
        <v>74</v>
      </c>
      <c r="I2302" s="7">
        <v>19</v>
      </c>
      <c r="J2302" s="11">
        <v>100</v>
      </c>
      <c r="K2302" s="11">
        <f t="shared" si="70"/>
        <v>1900</v>
      </c>
      <c r="L2302" s="11">
        <v>0</v>
      </c>
      <c r="M2302" s="11">
        <v>228</v>
      </c>
      <c r="N2302" s="11">
        <f t="shared" si="71"/>
        <v>2128</v>
      </c>
    </row>
    <row r="2303" spans="3:14" x14ac:dyDescent="0.3">
      <c r="C2303" s="6">
        <v>44496</v>
      </c>
      <c r="D2303" s="7" t="s">
        <v>130</v>
      </c>
      <c r="E2303" s="8">
        <v>2021</v>
      </c>
      <c r="F2303" s="9" t="s">
        <v>133</v>
      </c>
      <c r="G2303" s="9" t="s">
        <v>32</v>
      </c>
      <c r="H2303" s="10" t="s">
        <v>47</v>
      </c>
      <c r="I2303" s="7">
        <v>50</v>
      </c>
      <c r="J2303" s="11">
        <v>34</v>
      </c>
      <c r="K2303" s="11">
        <f t="shared" si="70"/>
        <v>1700</v>
      </c>
      <c r="L2303" s="11">
        <v>0</v>
      </c>
      <c r="M2303" s="11">
        <v>204</v>
      </c>
      <c r="N2303" s="11">
        <f t="shared" si="71"/>
        <v>1904</v>
      </c>
    </row>
    <row r="2304" spans="3:14" x14ac:dyDescent="0.3">
      <c r="C2304" s="6">
        <v>44496</v>
      </c>
      <c r="D2304" s="7" t="s">
        <v>130</v>
      </c>
      <c r="E2304" s="8">
        <v>2021</v>
      </c>
      <c r="F2304" s="9" t="s">
        <v>133</v>
      </c>
      <c r="G2304" s="9" t="s">
        <v>24</v>
      </c>
      <c r="H2304" s="10" t="s">
        <v>48</v>
      </c>
      <c r="I2304" s="7">
        <v>45</v>
      </c>
      <c r="J2304" s="11">
        <v>10</v>
      </c>
      <c r="K2304" s="11">
        <f t="shared" si="70"/>
        <v>450</v>
      </c>
      <c r="L2304" s="11">
        <v>0</v>
      </c>
      <c r="M2304" s="11">
        <v>54</v>
      </c>
      <c r="N2304" s="11">
        <f t="shared" si="71"/>
        <v>504</v>
      </c>
    </row>
    <row r="2305" spans="3:14" x14ac:dyDescent="0.3">
      <c r="C2305" s="6">
        <v>44496</v>
      </c>
      <c r="D2305" s="7" t="s">
        <v>130</v>
      </c>
      <c r="E2305" s="8">
        <v>2021</v>
      </c>
      <c r="F2305" s="9" t="s">
        <v>133</v>
      </c>
      <c r="G2305" s="9" t="s">
        <v>32</v>
      </c>
      <c r="H2305" s="10" t="s">
        <v>62</v>
      </c>
      <c r="I2305" s="7">
        <v>78</v>
      </c>
      <c r="J2305" s="11">
        <v>87</v>
      </c>
      <c r="K2305" s="11">
        <f t="shared" si="70"/>
        <v>6786</v>
      </c>
      <c r="L2305" s="11">
        <v>0</v>
      </c>
      <c r="M2305" s="11">
        <v>814.31999999999994</v>
      </c>
      <c r="N2305" s="11">
        <f t="shared" si="71"/>
        <v>7600.32</v>
      </c>
    </row>
    <row r="2306" spans="3:14" x14ac:dyDescent="0.3">
      <c r="C2306" s="6">
        <v>44496</v>
      </c>
      <c r="D2306" s="7" t="s">
        <v>130</v>
      </c>
      <c r="E2306" s="8">
        <v>2021</v>
      </c>
      <c r="F2306" s="9" t="s">
        <v>193</v>
      </c>
      <c r="G2306" s="9" t="s">
        <v>24</v>
      </c>
      <c r="H2306" s="10" t="s">
        <v>115</v>
      </c>
      <c r="I2306" s="7">
        <v>35</v>
      </c>
      <c r="J2306" s="11">
        <v>97</v>
      </c>
      <c r="K2306" s="11">
        <f t="shared" si="70"/>
        <v>3395</v>
      </c>
      <c r="L2306" s="11">
        <v>0.25</v>
      </c>
      <c r="M2306" s="11">
        <v>407.4</v>
      </c>
      <c r="N2306" s="11">
        <f t="shared" si="71"/>
        <v>3802.15</v>
      </c>
    </row>
    <row r="2307" spans="3:14" x14ac:dyDescent="0.3">
      <c r="C2307" s="6">
        <v>44496</v>
      </c>
      <c r="D2307" s="7" t="s">
        <v>130</v>
      </c>
      <c r="E2307" s="8">
        <v>2021</v>
      </c>
      <c r="F2307" s="9" t="s">
        <v>193</v>
      </c>
      <c r="G2307" s="9" t="s">
        <v>24</v>
      </c>
      <c r="H2307" s="10" t="s">
        <v>69</v>
      </c>
      <c r="I2307" s="7">
        <v>22</v>
      </c>
      <c r="J2307" s="11">
        <v>62</v>
      </c>
      <c r="K2307" s="11">
        <f t="shared" ref="K2307:K2370" si="72">J2307*I2307</f>
        <v>1364</v>
      </c>
      <c r="L2307" s="11">
        <v>0.25</v>
      </c>
      <c r="M2307" s="11">
        <v>163.68</v>
      </c>
      <c r="N2307" s="11">
        <f t="shared" ref="N2307:N2370" si="73">K2307-L2307+M2307</f>
        <v>1527.43</v>
      </c>
    </row>
    <row r="2308" spans="3:14" x14ac:dyDescent="0.3">
      <c r="C2308" s="6">
        <v>44496</v>
      </c>
      <c r="D2308" s="7" t="s">
        <v>130</v>
      </c>
      <c r="E2308" s="8">
        <v>2021</v>
      </c>
      <c r="F2308" s="9" t="s">
        <v>193</v>
      </c>
      <c r="G2308" s="9" t="s">
        <v>42</v>
      </c>
      <c r="H2308" s="10" t="s">
        <v>109</v>
      </c>
      <c r="I2308" s="7">
        <v>17</v>
      </c>
      <c r="J2308" s="11">
        <v>13</v>
      </c>
      <c r="K2308" s="11">
        <f t="shared" si="72"/>
        <v>221</v>
      </c>
      <c r="L2308" s="11">
        <v>0.25</v>
      </c>
      <c r="M2308" s="11">
        <v>26.52</v>
      </c>
      <c r="N2308" s="11">
        <f t="shared" si="73"/>
        <v>247.27</v>
      </c>
    </row>
    <row r="2309" spans="3:14" x14ac:dyDescent="0.3">
      <c r="C2309" s="6">
        <v>44497</v>
      </c>
      <c r="D2309" s="7" t="s">
        <v>130</v>
      </c>
      <c r="E2309" s="8">
        <v>2021</v>
      </c>
      <c r="F2309" s="9" t="s">
        <v>64</v>
      </c>
      <c r="G2309" s="9" t="s">
        <v>37</v>
      </c>
      <c r="H2309" s="10" t="s">
        <v>65</v>
      </c>
      <c r="I2309" s="7">
        <v>33</v>
      </c>
      <c r="J2309" s="11">
        <v>60</v>
      </c>
      <c r="K2309" s="11">
        <f t="shared" si="72"/>
        <v>1980</v>
      </c>
      <c r="L2309" s="11">
        <v>0</v>
      </c>
      <c r="M2309" s="11">
        <v>237.6</v>
      </c>
      <c r="N2309" s="11">
        <f t="shared" si="73"/>
        <v>2217.6</v>
      </c>
    </row>
    <row r="2310" spans="3:14" x14ac:dyDescent="0.3">
      <c r="C2310" s="6">
        <v>44497</v>
      </c>
      <c r="D2310" s="7" t="s">
        <v>130</v>
      </c>
      <c r="E2310" s="8">
        <v>2021</v>
      </c>
      <c r="F2310" s="9" t="s">
        <v>64</v>
      </c>
      <c r="G2310" s="9" t="s">
        <v>14</v>
      </c>
      <c r="H2310" s="10" t="s">
        <v>87</v>
      </c>
      <c r="I2310" s="7">
        <v>57</v>
      </c>
      <c r="J2310" s="11">
        <v>100</v>
      </c>
      <c r="K2310" s="11">
        <f t="shared" si="72"/>
        <v>5700</v>
      </c>
      <c r="L2310" s="11">
        <v>0</v>
      </c>
      <c r="M2310" s="11">
        <v>684</v>
      </c>
      <c r="N2310" s="11">
        <f t="shared" si="73"/>
        <v>6384</v>
      </c>
    </row>
    <row r="2311" spans="3:14" x14ac:dyDescent="0.3">
      <c r="C2311" s="6">
        <v>44498</v>
      </c>
      <c r="D2311" s="7" t="s">
        <v>130</v>
      </c>
      <c r="E2311" s="8">
        <v>2021</v>
      </c>
      <c r="F2311" s="9" t="s">
        <v>84</v>
      </c>
      <c r="G2311" s="9" t="s">
        <v>26</v>
      </c>
      <c r="H2311" s="10" t="s">
        <v>94</v>
      </c>
      <c r="I2311" s="7">
        <v>69</v>
      </c>
      <c r="J2311" s="11">
        <v>15</v>
      </c>
      <c r="K2311" s="11">
        <f t="shared" si="72"/>
        <v>1035</v>
      </c>
      <c r="L2311" s="11">
        <v>5.0000000745058101E-2</v>
      </c>
      <c r="M2311" s="11">
        <v>124.19999999999999</v>
      </c>
      <c r="N2311" s="11">
        <f t="shared" si="73"/>
        <v>1159.149999999255</v>
      </c>
    </row>
    <row r="2312" spans="3:14" x14ac:dyDescent="0.3">
      <c r="C2312" s="6">
        <v>44498</v>
      </c>
      <c r="D2312" s="7" t="s">
        <v>130</v>
      </c>
      <c r="E2312" s="8">
        <v>2021</v>
      </c>
      <c r="F2312" s="9" t="s">
        <v>135</v>
      </c>
      <c r="G2312" s="9" t="s">
        <v>37</v>
      </c>
      <c r="H2312" s="10" t="s">
        <v>46</v>
      </c>
      <c r="I2312" s="7">
        <v>64</v>
      </c>
      <c r="J2312" s="11">
        <v>54</v>
      </c>
      <c r="K2312" s="11">
        <f t="shared" si="72"/>
        <v>3456</v>
      </c>
      <c r="L2312" s="11">
        <v>0</v>
      </c>
      <c r="M2312" s="11">
        <v>414.71999999999997</v>
      </c>
      <c r="N2312" s="11">
        <f t="shared" si="73"/>
        <v>3870.72</v>
      </c>
    </row>
    <row r="2313" spans="3:14" x14ac:dyDescent="0.3">
      <c r="C2313" s="6">
        <v>44498</v>
      </c>
      <c r="D2313" s="7" t="s">
        <v>130</v>
      </c>
      <c r="E2313" s="8">
        <v>2021</v>
      </c>
      <c r="F2313" s="9" t="s">
        <v>135</v>
      </c>
      <c r="G2313" s="9" t="s">
        <v>14</v>
      </c>
      <c r="H2313" s="10" t="s">
        <v>36</v>
      </c>
      <c r="I2313" s="7">
        <v>1</v>
      </c>
      <c r="J2313" s="11">
        <v>31</v>
      </c>
      <c r="K2313" s="11">
        <f t="shared" si="72"/>
        <v>31</v>
      </c>
      <c r="L2313" s="11">
        <v>0</v>
      </c>
      <c r="M2313" s="11">
        <v>3.7199999999999998</v>
      </c>
      <c r="N2313" s="11">
        <f t="shared" si="73"/>
        <v>34.72</v>
      </c>
    </row>
    <row r="2314" spans="3:14" x14ac:dyDescent="0.3">
      <c r="C2314" s="6">
        <v>44498</v>
      </c>
      <c r="D2314" s="7" t="s">
        <v>130</v>
      </c>
      <c r="E2314" s="8">
        <v>2021</v>
      </c>
      <c r="F2314" s="9" t="s">
        <v>135</v>
      </c>
      <c r="G2314" s="9" t="s">
        <v>32</v>
      </c>
      <c r="H2314" s="10" t="s">
        <v>110</v>
      </c>
      <c r="I2314" s="7">
        <v>54</v>
      </c>
      <c r="J2314" s="11">
        <v>12</v>
      </c>
      <c r="K2314" s="11">
        <f t="shared" si="72"/>
        <v>648</v>
      </c>
      <c r="L2314" s="11">
        <v>0</v>
      </c>
      <c r="M2314" s="11">
        <v>77.759999999999991</v>
      </c>
      <c r="N2314" s="11">
        <f t="shared" si="73"/>
        <v>725.76</v>
      </c>
    </row>
    <row r="2315" spans="3:14" x14ac:dyDescent="0.3">
      <c r="C2315" s="6">
        <v>44498</v>
      </c>
      <c r="D2315" s="7" t="s">
        <v>130</v>
      </c>
      <c r="E2315" s="8">
        <v>2021</v>
      </c>
      <c r="F2315" s="9" t="s">
        <v>135</v>
      </c>
      <c r="G2315" s="9" t="s">
        <v>37</v>
      </c>
      <c r="H2315" s="10" t="s">
        <v>98</v>
      </c>
      <c r="I2315" s="7">
        <v>11</v>
      </c>
      <c r="J2315" s="11">
        <v>52</v>
      </c>
      <c r="K2315" s="11">
        <f t="shared" si="72"/>
        <v>572</v>
      </c>
      <c r="L2315" s="11">
        <v>0</v>
      </c>
      <c r="M2315" s="11">
        <v>68.64</v>
      </c>
      <c r="N2315" s="11">
        <f t="shared" si="73"/>
        <v>640.64</v>
      </c>
    </row>
    <row r="2316" spans="3:14" x14ac:dyDescent="0.3">
      <c r="C2316" s="6">
        <v>44499</v>
      </c>
      <c r="D2316" s="7" t="s">
        <v>130</v>
      </c>
      <c r="E2316" s="8">
        <v>2021</v>
      </c>
      <c r="F2316" s="9" t="s">
        <v>80</v>
      </c>
      <c r="G2316" s="9" t="s">
        <v>32</v>
      </c>
      <c r="H2316" s="10" t="s">
        <v>140</v>
      </c>
      <c r="I2316" s="7">
        <v>46</v>
      </c>
      <c r="J2316" s="11">
        <v>90</v>
      </c>
      <c r="K2316" s="11">
        <f t="shared" si="72"/>
        <v>4140</v>
      </c>
      <c r="L2316" s="11">
        <v>0</v>
      </c>
      <c r="M2316" s="11">
        <v>496.79999999999995</v>
      </c>
      <c r="N2316" s="11">
        <f t="shared" si="73"/>
        <v>4636.8</v>
      </c>
    </row>
    <row r="2317" spans="3:14" x14ac:dyDescent="0.3">
      <c r="C2317" s="6">
        <v>44499</v>
      </c>
      <c r="D2317" s="7" t="s">
        <v>130</v>
      </c>
      <c r="E2317" s="8">
        <v>2021</v>
      </c>
      <c r="F2317" s="9" t="s">
        <v>142</v>
      </c>
      <c r="G2317" s="9" t="s">
        <v>24</v>
      </c>
      <c r="H2317" s="10" t="s">
        <v>85</v>
      </c>
      <c r="I2317" s="7">
        <v>37</v>
      </c>
      <c r="J2317" s="11">
        <v>10</v>
      </c>
      <c r="K2317" s="11">
        <f t="shared" si="72"/>
        <v>370</v>
      </c>
      <c r="L2317" s="11">
        <v>0</v>
      </c>
      <c r="M2317" s="11">
        <v>44.4</v>
      </c>
      <c r="N2317" s="11">
        <f t="shared" si="73"/>
        <v>414.4</v>
      </c>
    </row>
    <row r="2318" spans="3:14" x14ac:dyDescent="0.3">
      <c r="C2318" s="6">
        <v>44499</v>
      </c>
      <c r="D2318" s="7" t="s">
        <v>130</v>
      </c>
      <c r="E2318" s="8">
        <v>2021</v>
      </c>
      <c r="F2318" s="9" t="s">
        <v>142</v>
      </c>
      <c r="G2318" s="9" t="s">
        <v>26</v>
      </c>
      <c r="H2318" s="10" t="s">
        <v>173</v>
      </c>
      <c r="I2318" s="7">
        <v>82</v>
      </c>
      <c r="J2318" s="11">
        <v>39</v>
      </c>
      <c r="K2318" s="11">
        <f t="shared" si="72"/>
        <v>3198</v>
      </c>
      <c r="L2318" s="11">
        <v>0</v>
      </c>
      <c r="M2318" s="11">
        <v>383.76</v>
      </c>
      <c r="N2318" s="11">
        <f t="shared" si="73"/>
        <v>3581.76</v>
      </c>
    </row>
    <row r="2319" spans="3:14" x14ac:dyDescent="0.3">
      <c r="C2319" s="6">
        <v>44500</v>
      </c>
      <c r="D2319" s="7" t="s">
        <v>130</v>
      </c>
      <c r="E2319" s="8">
        <v>2021</v>
      </c>
      <c r="F2319" s="9" t="s">
        <v>149</v>
      </c>
      <c r="G2319" s="9" t="s">
        <v>24</v>
      </c>
      <c r="H2319" s="10" t="s">
        <v>25</v>
      </c>
      <c r="I2319" s="7">
        <v>64</v>
      </c>
      <c r="J2319" s="11">
        <v>12</v>
      </c>
      <c r="K2319" s="11">
        <f t="shared" si="72"/>
        <v>768</v>
      </c>
      <c r="L2319" s="11">
        <v>0</v>
      </c>
      <c r="M2319" s="11">
        <v>92.16</v>
      </c>
      <c r="N2319" s="11">
        <f t="shared" si="73"/>
        <v>860.16</v>
      </c>
    </row>
    <row r="2320" spans="3:14" x14ac:dyDescent="0.3">
      <c r="C2320" s="6">
        <v>44500</v>
      </c>
      <c r="D2320" s="7" t="s">
        <v>130</v>
      </c>
      <c r="E2320" s="8">
        <v>2021</v>
      </c>
      <c r="F2320" s="9" t="s">
        <v>149</v>
      </c>
      <c r="G2320" s="9" t="s">
        <v>16</v>
      </c>
      <c r="H2320" s="10" t="s">
        <v>132</v>
      </c>
      <c r="I2320" s="7">
        <v>63</v>
      </c>
      <c r="J2320" s="11">
        <v>38</v>
      </c>
      <c r="K2320" s="11">
        <f t="shared" si="72"/>
        <v>2394</v>
      </c>
      <c r="L2320" s="11">
        <v>0</v>
      </c>
      <c r="M2320" s="11">
        <v>287.27999999999997</v>
      </c>
      <c r="N2320" s="11">
        <f t="shared" si="73"/>
        <v>2681.2799999999997</v>
      </c>
    </row>
    <row r="2321" spans="3:14" x14ac:dyDescent="0.3">
      <c r="C2321" s="6">
        <v>44500</v>
      </c>
      <c r="D2321" s="7" t="s">
        <v>130</v>
      </c>
      <c r="E2321" s="8">
        <v>2021</v>
      </c>
      <c r="F2321" s="9" t="s">
        <v>149</v>
      </c>
      <c r="G2321" s="9" t="s">
        <v>42</v>
      </c>
      <c r="H2321" s="10" t="s">
        <v>43</v>
      </c>
      <c r="I2321" s="7">
        <v>27</v>
      </c>
      <c r="J2321" s="11">
        <v>14</v>
      </c>
      <c r="K2321" s="11">
        <f t="shared" si="72"/>
        <v>378</v>
      </c>
      <c r="L2321" s="11">
        <v>0</v>
      </c>
      <c r="M2321" s="11">
        <v>45.36</v>
      </c>
      <c r="N2321" s="11">
        <f t="shared" si="73"/>
        <v>423.36</v>
      </c>
    </row>
    <row r="2322" spans="3:14" x14ac:dyDescent="0.3">
      <c r="C2322" s="6">
        <v>44503</v>
      </c>
      <c r="D2322" s="7" t="s">
        <v>147</v>
      </c>
      <c r="E2322" s="8">
        <v>2021</v>
      </c>
      <c r="F2322" s="9" t="s">
        <v>156</v>
      </c>
      <c r="G2322" s="9" t="s">
        <v>26</v>
      </c>
      <c r="H2322" s="10" t="s">
        <v>124</v>
      </c>
      <c r="I2322" s="7">
        <v>73</v>
      </c>
      <c r="J2322" s="11">
        <v>66</v>
      </c>
      <c r="K2322" s="11">
        <f t="shared" si="72"/>
        <v>4818</v>
      </c>
      <c r="L2322" s="11">
        <v>0</v>
      </c>
      <c r="M2322" s="11">
        <v>578.16</v>
      </c>
      <c r="N2322" s="11">
        <f t="shared" si="73"/>
        <v>5396.16</v>
      </c>
    </row>
    <row r="2323" spans="3:14" x14ac:dyDescent="0.3">
      <c r="C2323" s="6">
        <v>44503</v>
      </c>
      <c r="D2323" s="7" t="s">
        <v>147</v>
      </c>
      <c r="E2323" s="8">
        <v>2021</v>
      </c>
      <c r="F2323" s="9" t="s">
        <v>156</v>
      </c>
      <c r="G2323" s="9" t="s">
        <v>14</v>
      </c>
      <c r="H2323" s="10" t="s">
        <v>15</v>
      </c>
      <c r="I2323" s="7">
        <v>27</v>
      </c>
      <c r="J2323" s="11">
        <v>14</v>
      </c>
      <c r="K2323" s="11">
        <f t="shared" si="72"/>
        <v>378</v>
      </c>
      <c r="L2323" s="11">
        <v>0</v>
      </c>
      <c r="M2323" s="11">
        <v>45.36</v>
      </c>
      <c r="N2323" s="11">
        <f t="shared" si="73"/>
        <v>423.36</v>
      </c>
    </row>
    <row r="2324" spans="3:14" x14ac:dyDescent="0.3">
      <c r="C2324" s="6">
        <v>44503</v>
      </c>
      <c r="D2324" s="7" t="s">
        <v>147</v>
      </c>
      <c r="E2324" s="8">
        <v>2021</v>
      </c>
      <c r="F2324" s="9" t="s">
        <v>108</v>
      </c>
      <c r="G2324" s="9" t="s">
        <v>42</v>
      </c>
      <c r="H2324" s="10" t="s">
        <v>72</v>
      </c>
      <c r="I2324" s="7">
        <v>75</v>
      </c>
      <c r="J2324" s="11">
        <v>60</v>
      </c>
      <c r="K2324" s="11">
        <f t="shared" si="72"/>
        <v>4500</v>
      </c>
      <c r="L2324" s="11">
        <v>5.0000000745058101E-2</v>
      </c>
      <c r="M2324" s="11">
        <v>540</v>
      </c>
      <c r="N2324" s="11">
        <f t="shared" si="73"/>
        <v>5039.9499999992549</v>
      </c>
    </row>
    <row r="2325" spans="3:14" x14ac:dyDescent="0.3">
      <c r="C2325" s="6">
        <v>44503</v>
      </c>
      <c r="D2325" s="7" t="s">
        <v>147</v>
      </c>
      <c r="E2325" s="8">
        <v>2021</v>
      </c>
      <c r="F2325" s="9" t="s">
        <v>108</v>
      </c>
      <c r="G2325" s="9" t="s">
        <v>16</v>
      </c>
      <c r="H2325" s="10" t="s">
        <v>68</v>
      </c>
      <c r="I2325" s="7">
        <v>41</v>
      </c>
      <c r="J2325" s="11">
        <v>77</v>
      </c>
      <c r="K2325" s="11">
        <f t="shared" si="72"/>
        <v>3157</v>
      </c>
      <c r="L2325" s="11">
        <v>5.0000000745058101E-2</v>
      </c>
      <c r="M2325" s="11">
        <v>378.84</v>
      </c>
      <c r="N2325" s="11">
        <f t="shared" si="73"/>
        <v>3535.7899999992551</v>
      </c>
    </row>
    <row r="2326" spans="3:14" x14ac:dyDescent="0.3">
      <c r="C2326" s="6">
        <v>44503</v>
      </c>
      <c r="D2326" s="7" t="s">
        <v>147</v>
      </c>
      <c r="E2326" s="8">
        <v>2021</v>
      </c>
      <c r="F2326" s="9" t="s">
        <v>108</v>
      </c>
      <c r="G2326" s="9" t="s">
        <v>14</v>
      </c>
      <c r="H2326" s="10" t="s">
        <v>49</v>
      </c>
      <c r="I2326" s="7">
        <v>45</v>
      </c>
      <c r="J2326" s="11">
        <v>64</v>
      </c>
      <c r="K2326" s="11">
        <f t="shared" si="72"/>
        <v>2880</v>
      </c>
      <c r="L2326" s="11">
        <v>5.0000000745058101E-2</v>
      </c>
      <c r="M2326" s="11">
        <v>345.59999999999997</v>
      </c>
      <c r="N2326" s="11">
        <f t="shared" si="73"/>
        <v>3225.5499999992549</v>
      </c>
    </row>
    <row r="2327" spans="3:14" x14ac:dyDescent="0.3">
      <c r="C2327" s="6">
        <v>44504</v>
      </c>
      <c r="D2327" s="7" t="s">
        <v>147</v>
      </c>
      <c r="E2327" s="8">
        <v>2021</v>
      </c>
      <c r="F2327" s="9" t="s">
        <v>161</v>
      </c>
      <c r="G2327" s="9" t="s">
        <v>24</v>
      </c>
      <c r="H2327" s="10" t="s">
        <v>69</v>
      </c>
      <c r="I2327" s="7">
        <v>16</v>
      </c>
      <c r="J2327" s="11">
        <v>83</v>
      </c>
      <c r="K2327" s="11">
        <f t="shared" si="72"/>
        <v>1328</v>
      </c>
      <c r="L2327" s="11">
        <v>0</v>
      </c>
      <c r="M2327" s="11">
        <v>159.35999999999999</v>
      </c>
      <c r="N2327" s="11">
        <f t="shared" si="73"/>
        <v>1487.36</v>
      </c>
    </row>
    <row r="2328" spans="3:14" x14ac:dyDescent="0.3">
      <c r="C2328" s="6">
        <v>44504</v>
      </c>
      <c r="D2328" s="7" t="s">
        <v>147</v>
      </c>
      <c r="E2328" s="8">
        <v>2021</v>
      </c>
      <c r="F2328" s="9" t="s">
        <v>161</v>
      </c>
      <c r="G2328" s="9" t="s">
        <v>24</v>
      </c>
      <c r="H2328" s="10" t="s">
        <v>76</v>
      </c>
      <c r="I2328" s="7">
        <v>69</v>
      </c>
      <c r="J2328" s="11">
        <v>96</v>
      </c>
      <c r="K2328" s="11">
        <f t="shared" si="72"/>
        <v>6624</v>
      </c>
      <c r="L2328" s="11">
        <v>0</v>
      </c>
      <c r="M2328" s="11">
        <v>794.88</v>
      </c>
      <c r="N2328" s="11">
        <f t="shared" si="73"/>
        <v>7418.88</v>
      </c>
    </row>
    <row r="2329" spans="3:14" x14ac:dyDescent="0.3">
      <c r="C2329" s="6">
        <v>44504</v>
      </c>
      <c r="D2329" s="7" t="s">
        <v>147</v>
      </c>
      <c r="E2329" s="8">
        <v>2021</v>
      </c>
      <c r="F2329" s="9" t="s">
        <v>161</v>
      </c>
      <c r="G2329" s="9" t="s">
        <v>42</v>
      </c>
      <c r="H2329" s="10" t="s">
        <v>43</v>
      </c>
      <c r="I2329" s="7">
        <v>62</v>
      </c>
      <c r="J2329" s="11">
        <v>94</v>
      </c>
      <c r="K2329" s="11">
        <f t="shared" si="72"/>
        <v>5828</v>
      </c>
      <c r="L2329" s="11">
        <v>0</v>
      </c>
      <c r="M2329" s="11">
        <v>699.36</v>
      </c>
      <c r="N2329" s="11">
        <f t="shared" si="73"/>
        <v>6527.36</v>
      </c>
    </row>
    <row r="2330" spans="3:14" x14ac:dyDescent="0.3">
      <c r="C2330" s="6">
        <v>44504</v>
      </c>
      <c r="D2330" s="7" t="s">
        <v>147</v>
      </c>
      <c r="E2330" s="8">
        <v>2021</v>
      </c>
      <c r="F2330" s="9" t="s">
        <v>161</v>
      </c>
      <c r="G2330" s="9" t="s">
        <v>14</v>
      </c>
      <c r="H2330" s="10" t="s">
        <v>35</v>
      </c>
      <c r="I2330" s="7">
        <v>80</v>
      </c>
      <c r="J2330" s="11">
        <v>80</v>
      </c>
      <c r="K2330" s="11">
        <f t="shared" si="72"/>
        <v>6400</v>
      </c>
      <c r="L2330" s="11">
        <v>0</v>
      </c>
      <c r="M2330" s="11">
        <v>768</v>
      </c>
      <c r="N2330" s="11">
        <f t="shared" si="73"/>
        <v>7168</v>
      </c>
    </row>
    <row r="2331" spans="3:14" x14ac:dyDescent="0.3">
      <c r="C2331" s="6">
        <v>44504</v>
      </c>
      <c r="D2331" s="7" t="s">
        <v>147</v>
      </c>
      <c r="E2331" s="8">
        <v>2021</v>
      </c>
      <c r="F2331" s="9" t="s">
        <v>169</v>
      </c>
      <c r="G2331" s="9" t="s">
        <v>37</v>
      </c>
      <c r="H2331" s="10" t="s">
        <v>104</v>
      </c>
      <c r="I2331" s="7">
        <v>47</v>
      </c>
      <c r="J2331" s="11">
        <v>23</v>
      </c>
      <c r="K2331" s="11">
        <f t="shared" si="72"/>
        <v>1081</v>
      </c>
      <c r="L2331" s="11">
        <v>0</v>
      </c>
      <c r="M2331" s="11">
        <v>129.72</v>
      </c>
      <c r="N2331" s="11">
        <f t="shared" si="73"/>
        <v>1210.72</v>
      </c>
    </row>
    <row r="2332" spans="3:14" x14ac:dyDescent="0.3">
      <c r="C2332" s="6">
        <v>44504</v>
      </c>
      <c r="D2332" s="7" t="s">
        <v>147</v>
      </c>
      <c r="E2332" s="8">
        <v>2021</v>
      </c>
      <c r="F2332" s="9" t="s">
        <v>169</v>
      </c>
      <c r="G2332" s="9" t="s">
        <v>32</v>
      </c>
      <c r="H2332" s="10" t="s">
        <v>59</v>
      </c>
      <c r="I2332" s="7">
        <v>83</v>
      </c>
      <c r="J2332" s="11">
        <v>25</v>
      </c>
      <c r="K2332" s="11">
        <f t="shared" si="72"/>
        <v>2075</v>
      </c>
      <c r="L2332" s="11">
        <v>0</v>
      </c>
      <c r="M2332" s="11">
        <v>249</v>
      </c>
      <c r="N2332" s="11">
        <f t="shared" si="73"/>
        <v>2324</v>
      </c>
    </row>
    <row r="2333" spans="3:14" x14ac:dyDescent="0.3">
      <c r="C2333" s="6">
        <v>44504</v>
      </c>
      <c r="D2333" s="7" t="s">
        <v>147</v>
      </c>
      <c r="E2333" s="8">
        <v>2021</v>
      </c>
      <c r="F2333" s="9" t="s">
        <v>169</v>
      </c>
      <c r="G2333" s="9" t="s">
        <v>32</v>
      </c>
      <c r="H2333" s="10" t="s">
        <v>151</v>
      </c>
      <c r="I2333" s="7">
        <v>94</v>
      </c>
      <c r="J2333" s="11">
        <v>11</v>
      </c>
      <c r="K2333" s="11">
        <f t="shared" si="72"/>
        <v>1034</v>
      </c>
      <c r="L2333" s="11">
        <v>0</v>
      </c>
      <c r="M2333" s="11">
        <v>124.08</v>
      </c>
      <c r="N2333" s="11">
        <f t="shared" si="73"/>
        <v>1158.08</v>
      </c>
    </row>
    <row r="2334" spans="3:14" x14ac:dyDescent="0.3">
      <c r="C2334" s="6">
        <v>44505</v>
      </c>
      <c r="D2334" s="7" t="s">
        <v>147</v>
      </c>
      <c r="E2334" s="8">
        <v>2021</v>
      </c>
      <c r="F2334" s="9" t="s">
        <v>141</v>
      </c>
      <c r="G2334" s="9" t="s">
        <v>32</v>
      </c>
      <c r="H2334" s="10" t="s">
        <v>47</v>
      </c>
      <c r="I2334" s="7">
        <v>18</v>
      </c>
      <c r="J2334" s="11">
        <v>52</v>
      </c>
      <c r="K2334" s="11">
        <f t="shared" si="72"/>
        <v>936</v>
      </c>
      <c r="L2334" s="11">
        <v>5.0000000745058101E-2</v>
      </c>
      <c r="M2334" s="11">
        <v>112.32</v>
      </c>
      <c r="N2334" s="11">
        <f t="shared" si="73"/>
        <v>1048.2699999992549</v>
      </c>
    </row>
    <row r="2335" spans="3:14" x14ac:dyDescent="0.3">
      <c r="C2335" s="6">
        <v>44505</v>
      </c>
      <c r="D2335" s="7" t="s">
        <v>147</v>
      </c>
      <c r="E2335" s="8">
        <v>2021</v>
      </c>
      <c r="F2335" s="9" t="s">
        <v>141</v>
      </c>
      <c r="G2335" s="9" t="s">
        <v>14</v>
      </c>
      <c r="H2335" s="10" t="s">
        <v>36</v>
      </c>
      <c r="I2335" s="7">
        <v>29</v>
      </c>
      <c r="J2335" s="11">
        <v>94</v>
      </c>
      <c r="K2335" s="11">
        <f t="shared" si="72"/>
        <v>2726</v>
      </c>
      <c r="L2335" s="11">
        <v>5.0000000745058101E-2</v>
      </c>
      <c r="M2335" s="11">
        <v>327.12</v>
      </c>
      <c r="N2335" s="11">
        <f t="shared" si="73"/>
        <v>3053.0699999992548</v>
      </c>
    </row>
    <row r="2336" spans="3:14" x14ac:dyDescent="0.3">
      <c r="C2336" s="6">
        <v>44505</v>
      </c>
      <c r="D2336" s="7" t="s">
        <v>147</v>
      </c>
      <c r="E2336" s="8">
        <v>2021</v>
      </c>
      <c r="F2336" s="9" t="s">
        <v>141</v>
      </c>
      <c r="G2336" s="9" t="s">
        <v>26</v>
      </c>
      <c r="H2336" s="10" t="s">
        <v>27</v>
      </c>
      <c r="I2336" s="7">
        <v>86</v>
      </c>
      <c r="J2336" s="11">
        <v>99</v>
      </c>
      <c r="K2336" s="11">
        <f t="shared" si="72"/>
        <v>8514</v>
      </c>
      <c r="L2336" s="11">
        <v>5.0000000745058101E-2</v>
      </c>
      <c r="M2336" s="11">
        <v>1021.68</v>
      </c>
      <c r="N2336" s="11">
        <f t="shared" si="73"/>
        <v>9535.6299999992552</v>
      </c>
    </row>
    <row r="2337" spans="3:14" x14ac:dyDescent="0.3">
      <c r="C2337" s="6">
        <v>44506</v>
      </c>
      <c r="D2337" s="7" t="s">
        <v>147</v>
      </c>
      <c r="E2337" s="8">
        <v>2021</v>
      </c>
      <c r="F2337" s="9" t="s">
        <v>40</v>
      </c>
      <c r="G2337" s="9" t="s">
        <v>32</v>
      </c>
      <c r="H2337" s="10" t="s">
        <v>59</v>
      </c>
      <c r="I2337" s="7">
        <v>95</v>
      </c>
      <c r="J2337" s="11">
        <v>31</v>
      </c>
      <c r="K2337" s="11">
        <f t="shared" si="72"/>
        <v>2945</v>
      </c>
      <c r="L2337" s="11">
        <v>5.0000000745058101E-2</v>
      </c>
      <c r="M2337" s="11">
        <v>353.4</v>
      </c>
      <c r="N2337" s="11">
        <f t="shared" si="73"/>
        <v>3298.349999999255</v>
      </c>
    </row>
    <row r="2338" spans="3:14" x14ac:dyDescent="0.3">
      <c r="C2338" s="6">
        <v>44506</v>
      </c>
      <c r="D2338" s="7" t="s">
        <v>147</v>
      </c>
      <c r="E2338" s="8">
        <v>2021</v>
      </c>
      <c r="F2338" s="9" t="s">
        <v>40</v>
      </c>
      <c r="G2338" s="9" t="s">
        <v>20</v>
      </c>
      <c r="H2338" s="10" t="s">
        <v>22</v>
      </c>
      <c r="I2338" s="7">
        <v>72</v>
      </c>
      <c r="J2338" s="11">
        <v>63</v>
      </c>
      <c r="K2338" s="11">
        <f t="shared" si="72"/>
        <v>4536</v>
      </c>
      <c r="L2338" s="11">
        <v>5.0000000745058101E-2</v>
      </c>
      <c r="M2338" s="11">
        <v>544.31999999999994</v>
      </c>
      <c r="N2338" s="11">
        <f t="shared" si="73"/>
        <v>5080.2699999992547</v>
      </c>
    </row>
    <row r="2339" spans="3:14" x14ac:dyDescent="0.3">
      <c r="C2339" s="6">
        <v>44506</v>
      </c>
      <c r="D2339" s="7" t="s">
        <v>147</v>
      </c>
      <c r="E2339" s="8">
        <v>2021</v>
      </c>
      <c r="F2339" s="9" t="s">
        <v>141</v>
      </c>
      <c r="G2339" s="9" t="s">
        <v>37</v>
      </c>
      <c r="H2339" s="10" t="s">
        <v>77</v>
      </c>
      <c r="I2339" s="7">
        <v>98</v>
      </c>
      <c r="J2339" s="11">
        <v>48</v>
      </c>
      <c r="K2339" s="11">
        <f t="shared" si="72"/>
        <v>4704</v>
      </c>
      <c r="L2339" s="11">
        <v>0</v>
      </c>
      <c r="M2339" s="11">
        <v>564.48</v>
      </c>
      <c r="N2339" s="11">
        <f t="shared" si="73"/>
        <v>5268.48</v>
      </c>
    </row>
    <row r="2340" spans="3:14" x14ac:dyDescent="0.3">
      <c r="C2340" s="6">
        <v>44507</v>
      </c>
      <c r="D2340" s="7" t="s">
        <v>147</v>
      </c>
      <c r="E2340" s="8">
        <v>2021</v>
      </c>
      <c r="F2340" s="9" t="s">
        <v>93</v>
      </c>
      <c r="G2340" s="9" t="s">
        <v>20</v>
      </c>
      <c r="H2340" s="10" t="s">
        <v>136</v>
      </c>
      <c r="I2340" s="7">
        <v>15</v>
      </c>
      <c r="J2340" s="11">
        <v>73</v>
      </c>
      <c r="K2340" s="11">
        <f t="shared" si="72"/>
        <v>1095</v>
      </c>
      <c r="L2340" s="11">
        <v>0</v>
      </c>
      <c r="M2340" s="11">
        <v>131.4</v>
      </c>
      <c r="N2340" s="11">
        <f t="shared" si="73"/>
        <v>1226.4000000000001</v>
      </c>
    </row>
    <row r="2341" spans="3:14" x14ac:dyDescent="0.3">
      <c r="C2341" s="6">
        <v>44507</v>
      </c>
      <c r="D2341" s="7" t="s">
        <v>147</v>
      </c>
      <c r="E2341" s="8">
        <v>2021</v>
      </c>
      <c r="F2341" s="9" t="s">
        <v>93</v>
      </c>
      <c r="G2341" s="9" t="s">
        <v>20</v>
      </c>
      <c r="H2341" s="10" t="s">
        <v>92</v>
      </c>
      <c r="I2341" s="7">
        <v>18</v>
      </c>
      <c r="J2341" s="11">
        <v>95</v>
      </c>
      <c r="K2341" s="11">
        <f t="shared" si="72"/>
        <v>1710</v>
      </c>
      <c r="L2341" s="11">
        <v>0</v>
      </c>
      <c r="M2341" s="11">
        <v>205.2</v>
      </c>
      <c r="N2341" s="11">
        <f t="shared" si="73"/>
        <v>1915.2</v>
      </c>
    </row>
    <row r="2342" spans="3:14" x14ac:dyDescent="0.3">
      <c r="C2342" s="6">
        <v>44507</v>
      </c>
      <c r="D2342" s="7" t="s">
        <v>147</v>
      </c>
      <c r="E2342" s="8">
        <v>2021</v>
      </c>
      <c r="F2342" s="9" t="s">
        <v>93</v>
      </c>
      <c r="G2342" s="9" t="s">
        <v>16</v>
      </c>
      <c r="H2342" s="10" t="s">
        <v>132</v>
      </c>
      <c r="I2342" s="7">
        <v>42</v>
      </c>
      <c r="J2342" s="11">
        <v>47</v>
      </c>
      <c r="K2342" s="11">
        <f t="shared" si="72"/>
        <v>1974</v>
      </c>
      <c r="L2342" s="11">
        <v>0</v>
      </c>
      <c r="M2342" s="11">
        <v>236.88</v>
      </c>
      <c r="N2342" s="11">
        <f t="shared" si="73"/>
        <v>2210.88</v>
      </c>
    </row>
    <row r="2343" spans="3:14" x14ac:dyDescent="0.3">
      <c r="C2343" s="6">
        <v>44507</v>
      </c>
      <c r="D2343" s="7" t="s">
        <v>147</v>
      </c>
      <c r="E2343" s="8">
        <v>2021</v>
      </c>
      <c r="F2343" s="9" t="s">
        <v>176</v>
      </c>
      <c r="G2343" s="9" t="s">
        <v>26</v>
      </c>
      <c r="H2343" s="10" t="s">
        <v>125</v>
      </c>
      <c r="I2343" s="7">
        <v>29</v>
      </c>
      <c r="J2343" s="11">
        <v>57</v>
      </c>
      <c r="K2343" s="11">
        <f t="shared" si="72"/>
        <v>1653</v>
      </c>
      <c r="L2343" s="11">
        <v>0</v>
      </c>
      <c r="M2343" s="11">
        <v>198.35999999999999</v>
      </c>
      <c r="N2343" s="11">
        <f t="shared" si="73"/>
        <v>1851.36</v>
      </c>
    </row>
    <row r="2344" spans="3:14" x14ac:dyDescent="0.3">
      <c r="C2344" s="6">
        <v>44507</v>
      </c>
      <c r="D2344" s="7" t="s">
        <v>147</v>
      </c>
      <c r="E2344" s="8">
        <v>2021</v>
      </c>
      <c r="F2344" s="9" t="s">
        <v>176</v>
      </c>
      <c r="G2344" s="9" t="s">
        <v>24</v>
      </c>
      <c r="H2344" s="10" t="s">
        <v>69</v>
      </c>
      <c r="I2344" s="7">
        <v>4</v>
      </c>
      <c r="J2344" s="11">
        <v>15</v>
      </c>
      <c r="K2344" s="11">
        <f t="shared" si="72"/>
        <v>60</v>
      </c>
      <c r="L2344" s="11">
        <v>0</v>
      </c>
      <c r="M2344" s="11">
        <v>7.1999999999999993</v>
      </c>
      <c r="N2344" s="11">
        <f t="shared" si="73"/>
        <v>67.2</v>
      </c>
    </row>
    <row r="2345" spans="3:14" x14ac:dyDescent="0.3">
      <c r="C2345" s="6">
        <v>44507</v>
      </c>
      <c r="D2345" s="7" t="s">
        <v>147</v>
      </c>
      <c r="E2345" s="8">
        <v>2021</v>
      </c>
      <c r="F2345" s="9" t="s">
        <v>176</v>
      </c>
      <c r="G2345" s="9" t="s">
        <v>37</v>
      </c>
      <c r="H2345" s="10" t="s">
        <v>77</v>
      </c>
      <c r="I2345" s="7">
        <v>87</v>
      </c>
      <c r="J2345" s="11">
        <v>36</v>
      </c>
      <c r="K2345" s="11">
        <f t="shared" si="72"/>
        <v>3132</v>
      </c>
      <c r="L2345" s="11">
        <v>0</v>
      </c>
      <c r="M2345" s="11">
        <v>375.84</v>
      </c>
      <c r="N2345" s="11">
        <f t="shared" si="73"/>
        <v>3507.84</v>
      </c>
    </row>
    <row r="2346" spans="3:14" x14ac:dyDescent="0.3">
      <c r="C2346" s="6">
        <v>44510</v>
      </c>
      <c r="D2346" s="7" t="s">
        <v>147</v>
      </c>
      <c r="E2346" s="8">
        <v>2021</v>
      </c>
      <c r="F2346" s="9" t="s">
        <v>193</v>
      </c>
      <c r="G2346" s="9" t="s">
        <v>26</v>
      </c>
      <c r="H2346" s="10" t="s">
        <v>173</v>
      </c>
      <c r="I2346" s="7">
        <v>91</v>
      </c>
      <c r="J2346" s="11">
        <v>41</v>
      </c>
      <c r="K2346" s="11">
        <f t="shared" si="72"/>
        <v>3731</v>
      </c>
      <c r="L2346" s="11">
        <v>0.10000000149011599</v>
      </c>
      <c r="M2346" s="11">
        <v>447.71999999999997</v>
      </c>
      <c r="N2346" s="11">
        <f t="shared" si="73"/>
        <v>4178.6199999985101</v>
      </c>
    </row>
    <row r="2347" spans="3:14" x14ac:dyDescent="0.3">
      <c r="C2347" s="6">
        <v>44510</v>
      </c>
      <c r="D2347" s="7" t="s">
        <v>147</v>
      </c>
      <c r="E2347" s="8">
        <v>2021</v>
      </c>
      <c r="F2347" s="9" t="s">
        <v>193</v>
      </c>
      <c r="G2347" s="9" t="s">
        <v>26</v>
      </c>
      <c r="H2347" s="10" t="s">
        <v>52</v>
      </c>
      <c r="I2347" s="7">
        <v>100</v>
      </c>
      <c r="J2347" s="11">
        <v>18</v>
      </c>
      <c r="K2347" s="11">
        <f t="shared" si="72"/>
        <v>1800</v>
      </c>
      <c r="L2347" s="11">
        <v>0.10000000149011599</v>
      </c>
      <c r="M2347" s="11">
        <v>216</v>
      </c>
      <c r="N2347" s="11">
        <f t="shared" si="73"/>
        <v>2015.8999999985099</v>
      </c>
    </row>
    <row r="2348" spans="3:14" x14ac:dyDescent="0.3">
      <c r="C2348" s="6">
        <v>44511</v>
      </c>
      <c r="D2348" s="7" t="s">
        <v>147</v>
      </c>
      <c r="E2348" s="8">
        <v>2021</v>
      </c>
      <c r="F2348" s="9" t="s">
        <v>118</v>
      </c>
      <c r="G2348" s="9" t="s">
        <v>26</v>
      </c>
      <c r="H2348" s="10" t="s">
        <v>27</v>
      </c>
      <c r="I2348" s="7">
        <v>36</v>
      </c>
      <c r="J2348" s="11">
        <v>57</v>
      </c>
      <c r="K2348" s="11">
        <f t="shared" si="72"/>
        <v>2052</v>
      </c>
      <c r="L2348" s="11">
        <v>0</v>
      </c>
      <c r="M2348" s="11">
        <v>246.23999999999998</v>
      </c>
      <c r="N2348" s="11">
        <f t="shared" si="73"/>
        <v>2298.2399999999998</v>
      </c>
    </row>
    <row r="2349" spans="3:14" x14ac:dyDescent="0.3">
      <c r="C2349" s="6">
        <v>44511</v>
      </c>
      <c r="D2349" s="7" t="s">
        <v>147</v>
      </c>
      <c r="E2349" s="8">
        <v>2021</v>
      </c>
      <c r="F2349" s="9" t="s">
        <v>118</v>
      </c>
      <c r="G2349" s="9" t="s">
        <v>37</v>
      </c>
      <c r="H2349" s="10" t="s">
        <v>98</v>
      </c>
      <c r="I2349" s="7">
        <v>79</v>
      </c>
      <c r="J2349" s="11">
        <v>44</v>
      </c>
      <c r="K2349" s="11">
        <f t="shared" si="72"/>
        <v>3476</v>
      </c>
      <c r="L2349" s="11">
        <v>0</v>
      </c>
      <c r="M2349" s="11">
        <v>417.12</v>
      </c>
      <c r="N2349" s="11">
        <f t="shared" si="73"/>
        <v>3893.12</v>
      </c>
    </row>
    <row r="2350" spans="3:14" x14ac:dyDescent="0.3">
      <c r="C2350" s="6">
        <v>44511</v>
      </c>
      <c r="D2350" s="7" t="s">
        <v>147</v>
      </c>
      <c r="E2350" s="8">
        <v>2021</v>
      </c>
      <c r="F2350" s="9" t="s">
        <v>86</v>
      </c>
      <c r="G2350" s="9" t="s">
        <v>24</v>
      </c>
      <c r="H2350" s="10" t="s">
        <v>90</v>
      </c>
      <c r="I2350" s="7">
        <v>49</v>
      </c>
      <c r="J2350" s="11">
        <v>99</v>
      </c>
      <c r="K2350" s="11">
        <f t="shared" si="72"/>
        <v>4851</v>
      </c>
      <c r="L2350" s="11">
        <v>0</v>
      </c>
      <c r="M2350" s="11">
        <v>582.12</v>
      </c>
      <c r="N2350" s="11">
        <f t="shared" si="73"/>
        <v>5433.12</v>
      </c>
    </row>
    <row r="2351" spans="3:14" x14ac:dyDescent="0.3">
      <c r="C2351" s="6">
        <v>44511</v>
      </c>
      <c r="D2351" s="7" t="s">
        <v>147</v>
      </c>
      <c r="E2351" s="8">
        <v>2021</v>
      </c>
      <c r="F2351" s="9" t="s">
        <v>86</v>
      </c>
      <c r="G2351" s="9" t="s">
        <v>24</v>
      </c>
      <c r="H2351" s="10" t="s">
        <v>25</v>
      </c>
      <c r="I2351" s="7">
        <v>43</v>
      </c>
      <c r="J2351" s="11">
        <v>94</v>
      </c>
      <c r="K2351" s="11">
        <f t="shared" si="72"/>
        <v>4042</v>
      </c>
      <c r="L2351" s="11">
        <v>0</v>
      </c>
      <c r="M2351" s="11">
        <v>485.03999999999996</v>
      </c>
      <c r="N2351" s="11">
        <f t="shared" si="73"/>
        <v>4527.04</v>
      </c>
    </row>
    <row r="2352" spans="3:14" x14ac:dyDescent="0.3">
      <c r="C2352" s="6">
        <v>44512</v>
      </c>
      <c r="D2352" s="7" t="s">
        <v>147</v>
      </c>
      <c r="E2352" s="8">
        <v>2021</v>
      </c>
      <c r="F2352" s="9" t="s">
        <v>197</v>
      </c>
      <c r="G2352" s="9" t="s">
        <v>32</v>
      </c>
      <c r="H2352" s="10" t="s">
        <v>47</v>
      </c>
      <c r="I2352" s="7">
        <v>69</v>
      </c>
      <c r="J2352" s="11">
        <v>58</v>
      </c>
      <c r="K2352" s="11">
        <f t="shared" si="72"/>
        <v>4002</v>
      </c>
      <c r="L2352" s="11">
        <v>0</v>
      </c>
      <c r="M2352" s="11">
        <v>480.24</v>
      </c>
      <c r="N2352" s="11">
        <f t="shared" si="73"/>
        <v>4482.24</v>
      </c>
    </row>
    <row r="2353" spans="3:14" x14ac:dyDescent="0.3">
      <c r="C2353" s="6">
        <v>44512</v>
      </c>
      <c r="D2353" s="7" t="s">
        <v>147</v>
      </c>
      <c r="E2353" s="8">
        <v>2021</v>
      </c>
      <c r="F2353" s="9" t="s">
        <v>86</v>
      </c>
      <c r="G2353" s="9" t="s">
        <v>24</v>
      </c>
      <c r="H2353" s="10" t="s">
        <v>48</v>
      </c>
      <c r="I2353" s="7">
        <v>24</v>
      </c>
      <c r="J2353" s="11">
        <v>18</v>
      </c>
      <c r="K2353" s="11">
        <f t="shared" si="72"/>
        <v>432</v>
      </c>
      <c r="L2353" s="11">
        <v>0</v>
      </c>
      <c r="M2353" s="11">
        <v>51.839999999999996</v>
      </c>
      <c r="N2353" s="11">
        <f t="shared" si="73"/>
        <v>483.84</v>
      </c>
    </row>
    <row r="2354" spans="3:14" x14ac:dyDescent="0.3">
      <c r="C2354" s="6">
        <v>44512</v>
      </c>
      <c r="D2354" s="7" t="s">
        <v>147</v>
      </c>
      <c r="E2354" s="8">
        <v>2021</v>
      </c>
      <c r="F2354" s="9" t="s">
        <v>86</v>
      </c>
      <c r="G2354" s="9" t="s">
        <v>16</v>
      </c>
      <c r="H2354" s="10" t="s">
        <v>132</v>
      </c>
      <c r="I2354" s="7">
        <v>12</v>
      </c>
      <c r="J2354" s="11">
        <v>40</v>
      </c>
      <c r="K2354" s="11">
        <f t="shared" si="72"/>
        <v>480</v>
      </c>
      <c r="L2354" s="11">
        <v>0</v>
      </c>
      <c r="M2354" s="11">
        <v>57.599999999999994</v>
      </c>
      <c r="N2354" s="11">
        <f t="shared" si="73"/>
        <v>537.6</v>
      </c>
    </row>
    <row r="2355" spans="3:14" x14ac:dyDescent="0.3">
      <c r="C2355" s="6">
        <v>44513</v>
      </c>
      <c r="D2355" s="7" t="s">
        <v>147</v>
      </c>
      <c r="E2355" s="8">
        <v>2021</v>
      </c>
      <c r="F2355" s="9" t="s">
        <v>80</v>
      </c>
      <c r="G2355" s="9" t="s">
        <v>20</v>
      </c>
      <c r="H2355" s="10" t="s">
        <v>92</v>
      </c>
      <c r="I2355" s="7">
        <v>55</v>
      </c>
      <c r="J2355" s="11">
        <v>60</v>
      </c>
      <c r="K2355" s="11">
        <f t="shared" si="72"/>
        <v>3300</v>
      </c>
      <c r="L2355" s="11">
        <v>0.20000000298023199</v>
      </c>
      <c r="M2355" s="11">
        <v>396</v>
      </c>
      <c r="N2355" s="11">
        <f t="shared" si="73"/>
        <v>3695.7999999970198</v>
      </c>
    </row>
    <row r="2356" spans="3:14" x14ac:dyDescent="0.3">
      <c r="C2356" s="6">
        <v>44513</v>
      </c>
      <c r="D2356" s="7" t="s">
        <v>147</v>
      </c>
      <c r="E2356" s="8">
        <v>2021</v>
      </c>
      <c r="F2356" s="9" t="s">
        <v>80</v>
      </c>
      <c r="G2356" s="9" t="s">
        <v>37</v>
      </c>
      <c r="H2356" s="10" t="s">
        <v>65</v>
      </c>
      <c r="I2356" s="7">
        <v>42</v>
      </c>
      <c r="J2356" s="11">
        <v>70</v>
      </c>
      <c r="K2356" s="11">
        <f t="shared" si="72"/>
        <v>2940</v>
      </c>
      <c r="L2356" s="11">
        <v>0.20000000298023199</v>
      </c>
      <c r="M2356" s="11">
        <v>352.8</v>
      </c>
      <c r="N2356" s="11">
        <f t="shared" si="73"/>
        <v>3292.5999999970199</v>
      </c>
    </row>
    <row r="2357" spans="3:14" x14ac:dyDescent="0.3">
      <c r="C2357" s="6">
        <v>44513</v>
      </c>
      <c r="D2357" s="7" t="s">
        <v>147</v>
      </c>
      <c r="E2357" s="8">
        <v>2021</v>
      </c>
      <c r="F2357" s="9" t="s">
        <v>80</v>
      </c>
      <c r="G2357" s="9" t="s">
        <v>24</v>
      </c>
      <c r="H2357" s="10" t="s">
        <v>165</v>
      </c>
      <c r="I2357" s="7">
        <v>10</v>
      </c>
      <c r="J2357" s="11">
        <v>89</v>
      </c>
      <c r="K2357" s="11">
        <f t="shared" si="72"/>
        <v>890</v>
      </c>
      <c r="L2357" s="11">
        <v>0.20000000298023199</v>
      </c>
      <c r="M2357" s="11">
        <v>106.8</v>
      </c>
      <c r="N2357" s="11">
        <f t="shared" si="73"/>
        <v>996.59999999701972</v>
      </c>
    </row>
    <row r="2358" spans="3:14" x14ac:dyDescent="0.3">
      <c r="C2358" s="6">
        <v>44513</v>
      </c>
      <c r="D2358" s="7" t="s">
        <v>147</v>
      </c>
      <c r="E2358" s="8">
        <v>2021</v>
      </c>
      <c r="F2358" s="9" t="s">
        <v>80</v>
      </c>
      <c r="G2358" s="9" t="s">
        <v>16</v>
      </c>
      <c r="H2358" s="10" t="s">
        <v>68</v>
      </c>
      <c r="I2358" s="7">
        <v>47</v>
      </c>
      <c r="J2358" s="11">
        <v>45</v>
      </c>
      <c r="K2358" s="11">
        <f t="shared" si="72"/>
        <v>2115</v>
      </c>
      <c r="L2358" s="11">
        <v>0.20000000298023199</v>
      </c>
      <c r="M2358" s="11">
        <v>253.79999999999998</v>
      </c>
      <c r="N2358" s="11">
        <f t="shared" si="73"/>
        <v>2368.5999999970199</v>
      </c>
    </row>
    <row r="2359" spans="3:14" x14ac:dyDescent="0.3">
      <c r="C2359" s="6">
        <v>44514</v>
      </c>
      <c r="D2359" s="7" t="s">
        <v>147</v>
      </c>
      <c r="E2359" s="8">
        <v>2021</v>
      </c>
      <c r="F2359" s="9" t="s">
        <v>153</v>
      </c>
      <c r="G2359" s="9" t="s">
        <v>37</v>
      </c>
      <c r="H2359" s="10" t="s">
        <v>46</v>
      </c>
      <c r="I2359" s="7">
        <v>90</v>
      </c>
      <c r="J2359" s="11">
        <v>22</v>
      </c>
      <c r="K2359" s="11">
        <f t="shared" si="72"/>
        <v>1980</v>
      </c>
      <c r="L2359" s="11">
        <v>0.20000000298023199</v>
      </c>
      <c r="M2359" s="11">
        <v>237.6</v>
      </c>
      <c r="N2359" s="11">
        <f t="shared" si="73"/>
        <v>2217.3999999970197</v>
      </c>
    </row>
    <row r="2360" spans="3:14" x14ac:dyDescent="0.3">
      <c r="C2360" s="6">
        <v>44514</v>
      </c>
      <c r="D2360" s="7" t="s">
        <v>147</v>
      </c>
      <c r="E2360" s="8">
        <v>2021</v>
      </c>
      <c r="F2360" s="9" t="s">
        <v>166</v>
      </c>
      <c r="G2360" s="9" t="s">
        <v>26</v>
      </c>
      <c r="H2360" s="10" t="s">
        <v>112</v>
      </c>
      <c r="I2360" s="7">
        <v>18</v>
      </c>
      <c r="J2360" s="11">
        <v>91</v>
      </c>
      <c r="K2360" s="11">
        <f t="shared" si="72"/>
        <v>1638</v>
      </c>
      <c r="L2360" s="11">
        <v>0</v>
      </c>
      <c r="M2360" s="11">
        <v>196.56</v>
      </c>
      <c r="N2360" s="11">
        <f t="shared" si="73"/>
        <v>1834.56</v>
      </c>
    </row>
    <row r="2361" spans="3:14" x14ac:dyDescent="0.3">
      <c r="C2361" s="6">
        <v>44514</v>
      </c>
      <c r="D2361" s="7" t="s">
        <v>147</v>
      </c>
      <c r="E2361" s="8">
        <v>2021</v>
      </c>
      <c r="F2361" s="9" t="s">
        <v>166</v>
      </c>
      <c r="G2361" s="9" t="s">
        <v>14</v>
      </c>
      <c r="H2361" s="10" t="s">
        <v>35</v>
      </c>
      <c r="I2361" s="7">
        <v>29</v>
      </c>
      <c r="J2361" s="11">
        <v>85</v>
      </c>
      <c r="K2361" s="11">
        <f t="shared" si="72"/>
        <v>2465</v>
      </c>
      <c r="L2361" s="11">
        <v>0</v>
      </c>
      <c r="M2361" s="11">
        <v>295.8</v>
      </c>
      <c r="N2361" s="11">
        <f t="shared" si="73"/>
        <v>2760.8</v>
      </c>
    </row>
    <row r="2362" spans="3:14" x14ac:dyDescent="0.3">
      <c r="C2362" s="6">
        <v>44514</v>
      </c>
      <c r="D2362" s="7" t="s">
        <v>147</v>
      </c>
      <c r="E2362" s="8">
        <v>2021</v>
      </c>
      <c r="F2362" s="9" t="s">
        <v>166</v>
      </c>
      <c r="G2362" s="9" t="s">
        <v>14</v>
      </c>
      <c r="H2362" s="10" t="s">
        <v>18</v>
      </c>
      <c r="I2362" s="7">
        <v>16</v>
      </c>
      <c r="J2362" s="11">
        <v>77</v>
      </c>
      <c r="K2362" s="11">
        <f t="shared" si="72"/>
        <v>1232</v>
      </c>
      <c r="L2362" s="11">
        <v>0</v>
      </c>
      <c r="M2362" s="11">
        <v>147.84</v>
      </c>
      <c r="N2362" s="11">
        <f t="shared" si="73"/>
        <v>1379.84</v>
      </c>
    </row>
    <row r="2363" spans="3:14" x14ac:dyDescent="0.3">
      <c r="C2363" s="6">
        <v>44517</v>
      </c>
      <c r="D2363" s="7" t="s">
        <v>147</v>
      </c>
      <c r="E2363" s="8">
        <v>2021</v>
      </c>
      <c r="F2363" s="9" t="s">
        <v>153</v>
      </c>
      <c r="G2363" s="9" t="s">
        <v>24</v>
      </c>
      <c r="H2363" s="10" t="s">
        <v>107</v>
      </c>
      <c r="I2363" s="7">
        <v>57</v>
      </c>
      <c r="J2363" s="11">
        <v>56</v>
      </c>
      <c r="K2363" s="11">
        <f t="shared" si="72"/>
        <v>3192</v>
      </c>
      <c r="L2363" s="11">
        <v>5.0000000745058101E-2</v>
      </c>
      <c r="M2363" s="11">
        <v>383.03999999999996</v>
      </c>
      <c r="N2363" s="11">
        <f t="shared" si="73"/>
        <v>3574.9899999992549</v>
      </c>
    </row>
    <row r="2364" spans="3:14" x14ac:dyDescent="0.3">
      <c r="C2364" s="6">
        <v>44517</v>
      </c>
      <c r="D2364" s="7" t="s">
        <v>147</v>
      </c>
      <c r="E2364" s="8">
        <v>2021</v>
      </c>
      <c r="F2364" s="9" t="s">
        <v>159</v>
      </c>
      <c r="G2364" s="9" t="s">
        <v>24</v>
      </c>
      <c r="H2364" s="10" t="s">
        <v>76</v>
      </c>
      <c r="I2364" s="7">
        <v>4</v>
      </c>
      <c r="J2364" s="11">
        <v>29</v>
      </c>
      <c r="K2364" s="11">
        <f t="shared" si="72"/>
        <v>116</v>
      </c>
      <c r="L2364" s="11">
        <v>0.20000000298023199</v>
      </c>
      <c r="M2364" s="11">
        <v>13.92</v>
      </c>
      <c r="N2364" s="11">
        <f t="shared" si="73"/>
        <v>129.71999999701976</v>
      </c>
    </row>
    <row r="2365" spans="3:14" x14ac:dyDescent="0.3">
      <c r="C2365" s="6">
        <v>44518</v>
      </c>
      <c r="D2365" s="7" t="s">
        <v>147</v>
      </c>
      <c r="E2365" s="8">
        <v>2021</v>
      </c>
      <c r="F2365" s="9" t="s">
        <v>84</v>
      </c>
      <c r="G2365" s="9" t="s">
        <v>24</v>
      </c>
      <c r="H2365" s="10" t="s">
        <v>115</v>
      </c>
      <c r="I2365" s="7">
        <v>6</v>
      </c>
      <c r="J2365" s="11">
        <v>16</v>
      </c>
      <c r="K2365" s="11">
        <f t="shared" si="72"/>
        <v>96</v>
      </c>
      <c r="L2365" s="11">
        <v>0</v>
      </c>
      <c r="M2365" s="11">
        <v>11.52</v>
      </c>
      <c r="N2365" s="11">
        <f t="shared" si="73"/>
        <v>107.52</v>
      </c>
    </row>
    <row r="2366" spans="3:14" x14ac:dyDescent="0.3">
      <c r="C2366" s="6">
        <v>44518</v>
      </c>
      <c r="D2366" s="7" t="s">
        <v>147</v>
      </c>
      <c r="E2366" s="8">
        <v>2021</v>
      </c>
      <c r="F2366" s="9" t="s">
        <v>84</v>
      </c>
      <c r="G2366" s="9" t="s">
        <v>26</v>
      </c>
      <c r="H2366" s="10" t="s">
        <v>94</v>
      </c>
      <c r="I2366" s="7">
        <v>14</v>
      </c>
      <c r="J2366" s="11">
        <v>51</v>
      </c>
      <c r="K2366" s="11">
        <f t="shared" si="72"/>
        <v>714</v>
      </c>
      <c r="L2366" s="11">
        <v>0</v>
      </c>
      <c r="M2366" s="11">
        <v>85.679999999999993</v>
      </c>
      <c r="N2366" s="11">
        <f t="shared" si="73"/>
        <v>799.68</v>
      </c>
    </row>
    <row r="2367" spans="3:14" x14ac:dyDescent="0.3">
      <c r="C2367" s="6">
        <v>44518</v>
      </c>
      <c r="D2367" s="7" t="s">
        <v>147</v>
      </c>
      <c r="E2367" s="8">
        <v>2021</v>
      </c>
      <c r="F2367" s="9" t="s">
        <v>84</v>
      </c>
      <c r="G2367" s="9" t="s">
        <v>14</v>
      </c>
      <c r="H2367" s="10" t="s">
        <v>49</v>
      </c>
      <c r="I2367" s="7">
        <v>28</v>
      </c>
      <c r="J2367" s="11">
        <v>94</v>
      </c>
      <c r="K2367" s="11">
        <f t="shared" si="72"/>
        <v>2632</v>
      </c>
      <c r="L2367" s="11">
        <v>0</v>
      </c>
      <c r="M2367" s="11">
        <v>315.83999999999997</v>
      </c>
      <c r="N2367" s="11">
        <f t="shared" si="73"/>
        <v>2947.84</v>
      </c>
    </row>
    <row r="2368" spans="3:14" x14ac:dyDescent="0.3">
      <c r="C2368" s="6">
        <v>44518</v>
      </c>
      <c r="D2368" s="7" t="s">
        <v>147</v>
      </c>
      <c r="E2368" s="8">
        <v>2021</v>
      </c>
      <c r="F2368" s="9" t="s">
        <v>84</v>
      </c>
      <c r="G2368" s="9" t="s">
        <v>14</v>
      </c>
      <c r="H2368" s="10" t="s">
        <v>18</v>
      </c>
      <c r="I2368" s="7">
        <v>67</v>
      </c>
      <c r="J2368" s="11">
        <v>10</v>
      </c>
      <c r="K2368" s="11">
        <f t="shared" si="72"/>
        <v>670</v>
      </c>
      <c r="L2368" s="11">
        <v>0</v>
      </c>
      <c r="M2368" s="11">
        <v>80.399999999999991</v>
      </c>
      <c r="N2368" s="11">
        <f t="shared" si="73"/>
        <v>750.4</v>
      </c>
    </row>
    <row r="2369" spans="3:14" x14ac:dyDescent="0.3">
      <c r="C2369" s="6">
        <v>44519</v>
      </c>
      <c r="D2369" s="7" t="s">
        <v>147</v>
      </c>
      <c r="E2369" s="8">
        <v>2021</v>
      </c>
      <c r="F2369" s="9" t="s">
        <v>40</v>
      </c>
      <c r="G2369" s="9" t="s">
        <v>24</v>
      </c>
      <c r="H2369" s="10" t="s">
        <v>90</v>
      </c>
      <c r="I2369" s="7">
        <v>82</v>
      </c>
      <c r="J2369" s="11">
        <v>19</v>
      </c>
      <c r="K2369" s="11">
        <f t="shared" si="72"/>
        <v>1558</v>
      </c>
      <c r="L2369" s="11">
        <v>0</v>
      </c>
      <c r="M2369" s="11">
        <v>186.95999999999998</v>
      </c>
      <c r="N2369" s="11">
        <f t="shared" si="73"/>
        <v>1744.96</v>
      </c>
    </row>
    <row r="2370" spans="3:14" x14ac:dyDescent="0.3">
      <c r="C2370" s="6">
        <v>44519</v>
      </c>
      <c r="D2370" s="7" t="s">
        <v>147</v>
      </c>
      <c r="E2370" s="8">
        <v>2021</v>
      </c>
      <c r="F2370" s="9" t="s">
        <v>40</v>
      </c>
      <c r="G2370" s="9" t="s">
        <v>16</v>
      </c>
      <c r="H2370" s="10" t="s">
        <v>17</v>
      </c>
      <c r="I2370" s="7">
        <v>57</v>
      </c>
      <c r="J2370" s="11">
        <v>50</v>
      </c>
      <c r="K2370" s="11">
        <f t="shared" si="72"/>
        <v>2850</v>
      </c>
      <c r="L2370" s="11">
        <v>0</v>
      </c>
      <c r="M2370" s="11">
        <v>342</v>
      </c>
      <c r="N2370" s="11">
        <f t="shared" si="73"/>
        <v>3192</v>
      </c>
    </row>
    <row r="2371" spans="3:14" x14ac:dyDescent="0.3">
      <c r="C2371" s="6">
        <v>44519</v>
      </c>
      <c r="D2371" s="7" t="s">
        <v>147</v>
      </c>
      <c r="E2371" s="8">
        <v>2021</v>
      </c>
      <c r="F2371" s="9" t="s">
        <v>40</v>
      </c>
      <c r="G2371" s="9" t="s">
        <v>32</v>
      </c>
      <c r="H2371" s="10" t="s">
        <v>62</v>
      </c>
      <c r="I2371" s="7">
        <v>39</v>
      </c>
      <c r="J2371" s="11">
        <v>13</v>
      </c>
      <c r="K2371" s="11">
        <f t="shared" ref="K2371:K2422" si="74">J2371*I2371</f>
        <v>507</v>
      </c>
      <c r="L2371" s="11">
        <v>0</v>
      </c>
      <c r="M2371" s="11">
        <v>60.839999999999996</v>
      </c>
      <c r="N2371" s="11">
        <f t="shared" ref="N2371:N2422" si="75">K2371-L2371+M2371</f>
        <v>567.84</v>
      </c>
    </row>
    <row r="2372" spans="3:14" x14ac:dyDescent="0.3">
      <c r="C2372" s="6">
        <v>44519</v>
      </c>
      <c r="D2372" s="7" t="s">
        <v>147</v>
      </c>
      <c r="E2372" s="8">
        <v>2021</v>
      </c>
      <c r="F2372" s="9" t="s">
        <v>40</v>
      </c>
      <c r="G2372" s="9" t="s">
        <v>14</v>
      </c>
      <c r="H2372" s="10" t="s">
        <v>117</v>
      </c>
      <c r="I2372" s="7">
        <v>77</v>
      </c>
      <c r="J2372" s="11">
        <v>47</v>
      </c>
      <c r="K2372" s="11">
        <f t="shared" si="74"/>
        <v>3619</v>
      </c>
      <c r="L2372" s="11">
        <v>0</v>
      </c>
      <c r="M2372" s="11">
        <v>434.28</v>
      </c>
      <c r="N2372" s="11">
        <f t="shared" si="75"/>
        <v>4053.2799999999997</v>
      </c>
    </row>
    <row r="2373" spans="3:14" x14ac:dyDescent="0.3">
      <c r="C2373" s="6">
        <v>44520</v>
      </c>
      <c r="D2373" s="7" t="s">
        <v>147</v>
      </c>
      <c r="E2373" s="8">
        <v>2021</v>
      </c>
      <c r="F2373" s="9" t="s">
        <v>135</v>
      </c>
      <c r="G2373" s="9" t="s">
        <v>16</v>
      </c>
      <c r="H2373" s="10" t="s">
        <v>145</v>
      </c>
      <c r="I2373" s="7">
        <v>30</v>
      </c>
      <c r="J2373" s="11">
        <v>54</v>
      </c>
      <c r="K2373" s="11">
        <f t="shared" si="74"/>
        <v>1620</v>
      </c>
      <c r="L2373" s="11">
        <v>0</v>
      </c>
      <c r="M2373" s="11">
        <v>194.4</v>
      </c>
      <c r="N2373" s="11">
        <f t="shared" si="75"/>
        <v>1814.4</v>
      </c>
    </row>
    <row r="2374" spans="3:14" x14ac:dyDescent="0.3">
      <c r="C2374" s="6">
        <v>44520</v>
      </c>
      <c r="D2374" s="7" t="s">
        <v>147</v>
      </c>
      <c r="E2374" s="8">
        <v>2021</v>
      </c>
      <c r="F2374" s="9" t="s">
        <v>135</v>
      </c>
      <c r="G2374" s="9" t="s">
        <v>24</v>
      </c>
      <c r="H2374" s="10" t="s">
        <v>76</v>
      </c>
      <c r="I2374" s="7">
        <v>7</v>
      </c>
      <c r="J2374" s="11">
        <v>40</v>
      </c>
      <c r="K2374" s="11">
        <f t="shared" si="74"/>
        <v>280</v>
      </c>
      <c r="L2374" s="11">
        <v>0</v>
      </c>
      <c r="M2374" s="11">
        <v>33.6</v>
      </c>
      <c r="N2374" s="11">
        <f t="shared" si="75"/>
        <v>313.60000000000002</v>
      </c>
    </row>
    <row r="2375" spans="3:14" x14ac:dyDescent="0.3">
      <c r="C2375" s="6">
        <v>44520</v>
      </c>
      <c r="D2375" s="7" t="s">
        <v>147</v>
      </c>
      <c r="E2375" s="8">
        <v>2021</v>
      </c>
      <c r="F2375" s="9" t="s">
        <v>135</v>
      </c>
      <c r="G2375" s="9" t="s">
        <v>16</v>
      </c>
      <c r="H2375" s="10" t="s">
        <v>68</v>
      </c>
      <c r="I2375" s="7">
        <v>68</v>
      </c>
      <c r="J2375" s="11">
        <v>90</v>
      </c>
      <c r="K2375" s="11">
        <f t="shared" si="74"/>
        <v>6120</v>
      </c>
      <c r="L2375" s="11">
        <v>0</v>
      </c>
      <c r="M2375" s="11">
        <v>734.4</v>
      </c>
      <c r="N2375" s="11">
        <f t="shared" si="75"/>
        <v>6854.4</v>
      </c>
    </row>
    <row r="2376" spans="3:14" x14ac:dyDescent="0.3">
      <c r="C2376" s="6">
        <v>44520</v>
      </c>
      <c r="D2376" s="7" t="s">
        <v>147</v>
      </c>
      <c r="E2376" s="8">
        <v>2021</v>
      </c>
      <c r="F2376" s="9" t="s">
        <v>129</v>
      </c>
      <c r="G2376" s="9" t="s">
        <v>16</v>
      </c>
      <c r="H2376" s="10" t="s">
        <v>68</v>
      </c>
      <c r="I2376" s="7">
        <v>5</v>
      </c>
      <c r="J2376" s="11">
        <v>23</v>
      </c>
      <c r="K2376" s="11">
        <f t="shared" si="74"/>
        <v>115</v>
      </c>
      <c r="L2376" s="11">
        <v>0</v>
      </c>
      <c r="M2376" s="11">
        <v>13.799999999999999</v>
      </c>
      <c r="N2376" s="11">
        <f t="shared" si="75"/>
        <v>128.80000000000001</v>
      </c>
    </row>
    <row r="2377" spans="3:14" x14ac:dyDescent="0.3">
      <c r="C2377" s="6">
        <v>44520</v>
      </c>
      <c r="D2377" s="7" t="s">
        <v>147</v>
      </c>
      <c r="E2377" s="8">
        <v>2021</v>
      </c>
      <c r="F2377" s="9" t="s">
        <v>129</v>
      </c>
      <c r="G2377" s="9" t="s">
        <v>14</v>
      </c>
      <c r="H2377" s="10" t="s">
        <v>49</v>
      </c>
      <c r="I2377" s="7">
        <v>63</v>
      </c>
      <c r="J2377" s="11">
        <v>33</v>
      </c>
      <c r="K2377" s="11">
        <f t="shared" si="74"/>
        <v>2079</v>
      </c>
      <c r="L2377" s="11">
        <v>0</v>
      </c>
      <c r="M2377" s="11">
        <v>249.48</v>
      </c>
      <c r="N2377" s="11">
        <f t="shared" si="75"/>
        <v>2328.48</v>
      </c>
    </row>
    <row r="2378" spans="3:14" x14ac:dyDescent="0.3">
      <c r="C2378" s="6">
        <v>44520</v>
      </c>
      <c r="D2378" s="7" t="s">
        <v>147</v>
      </c>
      <c r="E2378" s="8">
        <v>2021</v>
      </c>
      <c r="F2378" s="9" t="s">
        <v>129</v>
      </c>
      <c r="G2378" s="9" t="s">
        <v>37</v>
      </c>
      <c r="H2378" s="10" t="s">
        <v>77</v>
      </c>
      <c r="I2378" s="7">
        <v>74</v>
      </c>
      <c r="J2378" s="11">
        <v>23</v>
      </c>
      <c r="K2378" s="11">
        <f t="shared" si="74"/>
        <v>1702</v>
      </c>
      <c r="L2378" s="11">
        <v>0</v>
      </c>
      <c r="M2378" s="11">
        <v>204.23999999999998</v>
      </c>
      <c r="N2378" s="11">
        <f t="shared" si="75"/>
        <v>1906.24</v>
      </c>
    </row>
    <row r="2379" spans="3:14" x14ac:dyDescent="0.3">
      <c r="C2379" s="6">
        <v>44521</v>
      </c>
      <c r="D2379" s="7" t="s">
        <v>147</v>
      </c>
      <c r="E2379" s="8">
        <v>2021</v>
      </c>
      <c r="F2379" s="9" t="s">
        <v>73</v>
      </c>
      <c r="G2379" s="9" t="s">
        <v>20</v>
      </c>
      <c r="H2379" s="10" t="s">
        <v>136</v>
      </c>
      <c r="I2379" s="7">
        <v>26</v>
      </c>
      <c r="J2379" s="11">
        <v>35</v>
      </c>
      <c r="K2379" s="11">
        <f t="shared" si="74"/>
        <v>910</v>
      </c>
      <c r="L2379" s="11">
        <v>0.15000000596046401</v>
      </c>
      <c r="M2379" s="11">
        <v>109.2</v>
      </c>
      <c r="N2379" s="11">
        <f t="shared" si="75"/>
        <v>1019.0499999940396</v>
      </c>
    </row>
    <row r="2380" spans="3:14" x14ac:dyDescent="0.3">
      <c r="C2380" s="6">
        <v>44521</v>
      </c>
      <c r="D2380" s="7" t="s">
        <v>147</v>
      </c>
      <c r="E2380" s="8">
        <v>2021</v>
      </c>
      <c r="F2380" s="9" t="s">
        <v>73</v>
      </c>
      <c r="G2380" s="9" t="s">
        <v>24</v>
      </c>
      <c r="H2380" s="10" t="s">
        <v>165</v>
      </c>
      <c r="I2380" s="7">
        <v>78</v>
      </c>
      <c r="J2380" s="11">
        <v>77</v>
      </c>
      <c r="K2380" s="11">
        <f t="shared" si="74"/>
        <v>6006</v>
      </c>
      <c r="L2380" s="11">
        <v>0.15000000596046401</v>
      </c>
      <c r="M2380" s="11">
        <v>720.72</v>
      </c>
      <c r="N2380" s="11">
        <f t="shared" si="75"/>
        <v>6726.5699999940398</v>
      </c>
    </row>
    <row r="2381" spans="3:14" x14ac:dyDescent="0.3">
      <c r="C2381" s="6">
        <v>44521</v>
      </c>
      <c r="D2381" s="7" t="s">
        <v>147</v>
      </c>
      <c r="E2381" s="8">
        <v>2021</v>
      </c>
      <c r="F2381" s="9" t="s">
        <v>73</v>
      </c>
      <c r="G2381" s="9" t="s">
        <v>14</v>
      </c>
      <c r="H2381" s="10" t="s">
        <v>49</v>
      </c>
      <c r="I2381" s="7">
        <v>78</v>
      </c>
      <c r="J2381" s="11">
        <v>14</v>
      </c>
      <c r="K2381" s="11">
        <f t="shared" si="74"/>
        <v>1092</v>
      </c>
      <c r="L2381" s="11">
        <v>0.15000000596046401</v>
      </c>
      <c r="M2381" s="11">
        <v>131.04</v>
      </c>
      <c r="N2381" s="11">
        <f t="shared" si="75"/>
        <v>1222.8899999940395</v>
      </c>
    </row>
    <row r="2382" spans="3:14" x14ac:dyDescent="0.3">
      <c r="C2382" s="6">
        <v>44524</v>
      </c>
      <c r="D2382" s="7" t="s">
        <v>147</v>
      </c>
      <c r="E2382" s="8">
        <v>2021</v>
      </c>
      <c r="F2382" s="9" t="s">
        <v>45</v>
      </c>
      <c r="G2382" s="9" t="s">
        <v>32</v>
      </c>
      <c r="H2382" s="10" t="s">
        <v>140</v>
      </c>
      <c r="I2382" s="7">
        <v>32</v>
      </c>
      <c r="J2382" s="11">
        <v>43</v>
      </c>
      <c r="K2382" s="11">
        <f t="shared" si="74"/>
        <v>1376</v>
      </c>
      <c r="L2382" s="11">
        <v>0.10000000149011599</v>
      </c>
      <c r="M2382" s="11">
        <v>165.12</v>
      </c>
      <c r="N2382" s="11">
        <f t="shared" si="75"/>
        <v>1541.0199999985098</v>
      </c>
    </row>
    <row r="2383" spans="3:14" x14ac:dyDescent="0.3">
      <c r="C2383" s="6">
        <v>44524</v>
      </c>
      <c r="D2383" s="7" t="s">
        <v>147</v>
      </c>
      <c r="E2383" s="8">
        <v>2021</v>
      </c>
      <c r="F2383" s="9" t="s">
        <v>45</v>
      </c>
      <c r="G2383" s="9" t="s">
        <v>24</v>
      </c>
      <c r="H2383" s="10" t="s">
        <v>69</v>
      </c>
      <c r="I2383" s="7">
        <v>89</v>
      </c>
      <c r="J2383" s="11">
        <v>88</v>
      </c>
      <c r="K2383" s="11">
        <f t="shared" si="74"/>
        <v>7832</v>
      </c>
      <c r="L2383" s="11">
        <v>0</v>
      </c>
      <c r="M2383" s="11">
        <v>939.83999999999992</v>
      </c>
      <c r="N2383" s="11">
        <f t="shared" si="75"/>
        <v>8771.84</v>
      </c>
    </row>
    <row r="2384" spans="3:14" x14ac:dyDescent="0.3">
      <c r="C2384" s="6">
        <v>44524</v>
      </c>
      <c r="D2384" s="7" t="s">
        <v>147</v>
      </c>
      <c r="E2384" s="8">
        <v>2021</v>
      </c>
      <c r="F2384" s="9" t="s">
        <v>45</v>
      </c>
      <c r="G2384" s="9" t="s">
        <v>32</v>
      </c>
      <c r="H2384" s="10" t="s">
        <v>151</v>
      </c>
      <c r="I2384" s="7">
        <v>48</v>
      </c>
      <c r="J2384" s="11">
        <v>14</v>
      </c>
      <c r="K2384" s="11">
        <f t="shared" si="74"/>
        <v>672</v>
      </c>
      <c r="L2384" s="11">
        <v>0.10000000149011599</v>
      </c>
      <c r="M2384" s="11">
        <v>80.64</v>
      </c>
      <c r="N2384" s="11">
        <f t="shared" si="75"/>
        <v>752.53999999850987</v>
      </c>
    </row>
    <row r="2385" spans="3:14" x14ac:dyDescent="0.3">
      <c r="C2385" s="6">
        <v>44524</v>
      </c>
      <c r="D2385" s="7" t="s">
        <v>147</v>
      </c>
      <c r="E2385" s="8">
        <v>2021</v>
      </c>
      <c r="F2385" s="9" t="s">
        <v>45</v>
      </c>
      <c r="G2385" s="9" t="s">
        <v>24</v>
      </c>
      <c r="H2385" s="10" t="s">
        <v>96</v>
      </c>
      <c r="I2385" s="7">
        <v>38</v>
      </c>
      <c r="J2385" s="11">
        <v>40</v>
      </c>
      <c r="K2385" s="11">
        <f t="shared" si="74"/>
        <v>1520</v>
      </c>
      <c r="L2385" s="11">
        <v>0</v>
      </c>
      <c r="M2385" s="11">
        <v>182.4</v>
      </c>
      <c r="N2385" s="11">
        <f t="shared" si="75"/>
        <v>1702.4</v>
      </c>
    </row>
    <row r="2386" spans="3:14" x14ac:dyDescent="0.3">
      <c r="C2386" s="6">
        <v>44524</v>
      </c>
      <c r="D2386" s="7" t="s">
        <v>147</v>
      </c>
      <c r="E2386" s="8">
        <v>2021</v>
      </c>
      <c r="F2386" s="9" t="s">
        <v>186</v>
      </c>
      <c r="G2386" s="9" t="s">
        <v>37</v>
      </c>
      <c r="H2386" s="10" t="s">
        <v>104</v>
      </c>
      <c r="I2386" s="7">
        <v>86</v>
      </c>
      <c r="J2386" s="11">
        <v>35</v>
      </c>
      <c r="K2386" s="11">
        <f t="shared" si="74"/>
        <v>3010</v>
      </c>
      <c r="L2386" s="11">
        <v>0</v>
      </c>
      <c r="M2386" s="11">
        <v>361.2</v>
      </c>
      <c r="N2386" s="11">
        <f t="shared" si="75"/>
        <v>3371.2</v>
      </c>
    </row>
    <row r="2387" spans="3:14" x14ac:dyDescent="0.3">
      <c r="C2387" s="6">
        <v>44524</v>
      </c>
      <c r="D2387" s="7" t="s">
        <v>147</v>
      </c>
      <c r="E2387" s="8">
        <v>2021</v>
      </c>
      <c r="F2387" s="9" t="s">
        <v>186</v>
      </c>
      <c r="G2387" s="9" t="s">
        <v>14</v>
      </c>
      <c r="H2387" s="10" t="s">
        <v>117</v>
      </c>
      <c r="I2387" s="7">
        <v>35</v>
      </c>
      <c r="J2387" s="11">
        <v>48</v>
      </c>
      <c r="K2387" s="11">
        <f t="shared" si="74"/>
        <v>1680</v>
      </c>
      <c r="L2387" s="11">
        <v>0</v>
      </c>
      <c r="M2387" s="11">
        <v>201.6</v>
      </c>
      <c r="N2387" s="11">
        <f t="shared" si="75"/>
        <v>1881.6</v>
      </c>
    </row>
    <row r="2388" spans="3:14" x14ac:dyDescent="0.3">
      <c r="C2388" s="6">
        <v>44525</v>
      </c>
      <c r="D2388" s="7" t="s">
        <v>147</v>
      </c>
      <c r="E2388" s="8">
        <v>2021</v>
      </c>
      <c r="F2388" s="9" t="s">
        <v>175</v>
      </c>
      <c r="G2388" s="9" t="s">
        <v>24</v>
      </c>
      <c r="H2388" s="10" t="s">
        <v>165</v>
      </c>
      <c r="I2388" s="7">
        <v>87</v>
      </c>
      <c r="J2388" s="11">
        <v>36</v>
      </c>
      <c r="K2388" s="11">
        <f t="shared" si="74"/>
        <v>3132</v>
      </c>
      <c r="L2388" s="11">
        <v>0</v>
      </c>
      <c r="M2388" s="11">
        <v>375.84</v>
      </c>
      <c r="N2388" s="11">
        <f t="shared" si="75"/>
        <v>3507.84</v>
      </c>
    </row>
    <row r="2389" spans="3:14" x14ac:dyDescent="0.3">
      <c r="C2389" s="6">
        <v>44525</v>
      </c>
      <c r="D2389" s="7" t="s">
        <v>147</v>
      </c>
      <c r="E2389" s="8">
        <v>2021</v>
      </c>
      <c r="F2389" s="9" t="s">
        <v>175</v>
      </c>
      <c r="G2389" s="9" t="s">
        <v>20</v>
      </c>
      <c r="H2389" s="10" t="s">
        <v>44</v>
      </c>
      <c r="I2389" s="7">
        <v>97</v>
      </c>
      <c r="J2389" s="11">
        <v>47</v>
      </c>
      <c r="K2389" s="11">
        <f t="shared" si="74"/>
        <v>4559</v>
      </c>
      <c r="L2389" s="11">
        <v>0</v>
      </c>
      <c r="M2389" s="11">
        <v>547.07999999999993</v>
      </c>
      <c r="N2389" s="11">
        <f t="shared" si="75"/>
        <v>5106.08</v>
      </c>
    </row>
    <row r="2390" spans="3:14" x14ac:dyDescent="0.3">
      <c r="C2390" s="6">
        <v>44525</v>
      </c>
      <c r="D2390" s="7" t="s">
        <v>147</v>
      </c>
      <c r="E2390" s="8">
        <v>2021</v>
      </c>
      <c r="F2390" s="9" t="s">
        <v>88</v>
      </c>
      <c r="G2390" s="9" t="s">
        <v>24</v>
      </c>
      <c r="H2390" s="10" t="s">
        <v>76</v>
      </c>
      <c r="I2390" s="7">
        <v>24</v>
      </c>
      <c r="J2390" s="11">
        <v>12</v>
      </c>
      <c r="K2390" s="11">
        <f t="shared" si="74"/>
        <v>288</v>
      </c>
      <c r="L2390" s="11">
        <v>0</v>
      </c>
      <c r="M2390" s="11">
        <v>34.56</v>
      </c>
      <c r="N2390" s="11">
        <f t="shared" si="75"/>
        <v>322.56</v>
      </c>
    </row>
    <row r="2391" spans="3:14" x14ac:dyDescent="0.3">
      <c r="C2391" s="6">
        <v>44526</v>
      </c>
      <c r="D2391" s="7" t="s">
        <v>147</v>
      </c>
      <c r="E2391" s="8">
        <v>2021</v>
      </c>
      <c r="F2391" s="9" t="s">
        <v>141</v>
      </c>
      <c r="G2391" s="9" t="s">
        <v>32</v>
      </c>
      <c r="H2391" s="10" t="s">
        <v>143</v>
      </c>
      <c r="I2391" s="7">
        <v>76</v>
      </c>
      <c r="J2391" s="11">
        <v>77</v>
      </c>
      <c r="K2391" s="11">
        <f t="shared" si="74"/>
        <v>5852</v>
      </c>
      <c r="L2391" s="11">
        <v>0.25</v>
      </c>
      <c r="M2391" s="11">
        <v>702.24</v>
      </c>
      <c r="N2391" s="11">
        <f t="shared" si="75"/>
        <v>6553.99</v>
      </c>
    </row>
    <row r="2392" spans="3:14" x14ac:dyDescent="0.3">
      <c r="C2392" s="6">
        <v>44526</v>
      </c>
      <c r="D2392" s="7" t="s">
        <v>147</v>
      </c>
      <c r="E2392" s="8">
        <v>2021</v>
      </c>
      <c r="F2392" s="9" t="s">
        <v>141</v>
      </c>
      <c r="G2392" s="9" t="s">
        <v>16</v>
      </c>
      <c r="H2392" s="10" t="s">
        <v>68</v>
      </c>
      <c r="I2392" s="7">
        <v>65</v>
      </c>
      <c r="J2392" s="11">
        <v>94</v>
      </c>
      <c r="K2392" s="11">
        <f t="shared" si="74"/>
        <v>6110</v>
      </c>
      <c r="L2392" s="11">
        <v>0.25</v>
      </c>
      <c r="M2392" s="11">
        <v>733.19999999999993</v>
      </c>
      <c r="N2392" s="11">
        <f t="shared" si="75"/>
        <v>6842.95</v>
      </c>
    </row>
    <row r="2393" spans="3:14" x14ac:dyDescent="0.3">
      <c r="C2393" s="6">
        <v>44526</v>
      </c>
      <c r="D2393" s="7" t="s">
        <v>147</v>
      </c>
      <c r="E2393" s="8">
        <v>2021</v>
      </c>
      <c r="F2393" s="9" t="s">
        <v>141</v>
      </c>
      <c r="G2393" s="9" t="s">
        <v>16</v>
      </c>
      <c r="H2393" s="10" t="s">
        <v>30</v>
      </c>
      <c r="I2393" s="7">
        <v>62</v>
      </c>
      <c r="J2393" s="11">
        <v>60</v>
      </c>
      <c r="K2393" s="11">
        <f t="shared" si="74"/>
        <v>3720</v>
      </c>
      <c r="L2393" s="11">
        <v>0.25</v>
      </c>
      <c r="M2393" s="11">
        <v>446.4</v>
      </c>
      <c r="N2393" s="11">
        <f t="shared" si="75"/>
        <v>4166.1499999999996</v>
      </c>
    </row>
    <row r="2394" spans="3:14" x14ac:dyDescent="0.3">
      <c r="C2394" s="6">
        <v>44526</v>
      </c>
      <c r="D2394" s="7" t="s">
        <v>147</v>
      </c>
      <c r="E2394" s="8">
        <v>2021</v>
      </c>
      <c r="F2394" s="9" t="s">
        <v>141</v>
      </c>
      <c r="G2394" s="9" t="s">
        <v>14</v>
      </c>
      <c r="H2394" s="10" t="s">
        <v>117</v>
      </c>
      <c r="I2394" s="7">
        <v>37</v>
      </c>
      <c r="J2394" s="11">
        <v>89</v>
      </c>
      <c r="K2394" s="11">
        <f t="shared" si="74"/>
        <v>3293</v>
      </c>
      <c r="L2394" s="11">
        <v>0.25</v>
      </c>
      <c r="M2394" s="11">
        <v>395.15999999999997</v>
      </c>
      <c r="N2394" s="11">
        <f t="shared" si="75"/>
        <v>3687.91</v>
      </c>
    </row>
    <row r="2395" spans="3:14" x14ac:dyDescent="0.3">
      <c r="C2395" s="6">
        <v>44527</v>
      </c>
      <c r="D2395" s="7" t="s">
        <v>147</v>
      </c>
      <c r="E2395" s="8">
        <v>2021</v>
      </c>
      <c r="F2395" s="9" t="s">
        <v>83</v>
      </c>
      <c r="G2395" s="9" t="s">
        <v>24</v>
      </c>
      <c r="H2395" s="10" t="s">
        <v>115</v>
      </c>
      <c r="I2395" s="7">
        <v>20</v>
      </c>
      <c r="J2395" s="11">
        <v>55</v>
      </c>
      <c r="K2395" s="11">
        <f t="shared" si="74"/>
        <v>1100</v>
      </c>
      <c r="L2395" s="11">
        <v>0.20000000298023199</v>
      </c>
      <c r="M2395" s="11">
        <v>132</v>
      </c>
      <c r="N2395" s="11">
        <f t="shared" si="75"/>
        <v>1231.7999999970198</v>
      </c>
    </row>
    <row r="2396" spans="3:14" x14ac:dyDescent="0.3">
      <c r="C2396" s="6">
        <v>44527</v>
      </c>
      <c r="D2396" s="7" t="s">
        <v>147</v>
      </c>
      <c r="E2396" s="8">
        <v>2021</v>
      </c>
      <c r="F2396" s="9" t="s">
        <v>83</v>
      </c>
      <c r="G2396" s="9" t="s">
        <v>24</v>
      </c>
      <c r="H2396" s="10" t="s">
        <v>48</v>
      </c>
      <c r="I2396" s="7">
        <v>17</v>
      </c>
      <c r="J2396" s="11">
        <v>94</v>
      </c>
      <c r="K2396" s="11">
        <f t="shared" si="74"/>
        <v>1598</v>
      </c>
      <c r="L2396" s="11">
        <v>0.20000000298023199</v>
      </c>
      <c r="M2396" s="11">
        <v>191.76</v>
      </c>
      <c r="N2396" s="11">
        <f t="shared" si="75"/>
        <v>1789.5599999970198</v>
      </c>
    </row>
    <row r="2397" spans="3:14" x14ac:dyDescent="0.3">
      <c r="C2397" s="6">
        <v>44527</v>
      </c>
      <c r="D2397" s="7" t="s">
        <v>147</v>
      </c>
      <c r="E2397" s="8">
        <v>2021</v>
      </c>
      <c r="F2397" s="9" t="s">
        <v>83</v>
      </c>
      <c r="G2397" s="9" t="s">
        <v>32</v>
      </c>
      <c r="H2397" s="10" t="s">
        <v>110</v>
      </c>
      <c r="I2397" s="7">
        <v>72</v>
      </c>
      <c r="J2397" s="11">
        <v>27</v>
      </c>
      <c r="K2397" s="11">
        <f t="shared" si="74"/>
        <v>1944</v>
      </c>
      <c r="L2397" s="11">
        <v>0.20000000298023199</v>
      </c>
      <c r="M2397" s="11">
        <v>233.28</v>
      </c>
      <c r="N2397" s="11">
        <f t="shared" si="75"/>
        <v>2177.07999999702</v>
      </c>
    </row>
    <row r="2398" spans="3:14" x14ac:dyDescent="0.3">
      <c r="C2398" s="6">
        <v>44527</v>
      </c>
      <c r="D2398" s="7" t="s">
        <v>147</v>
      </c>
      <c r="E2398" s="8">
        <v>2021</v>
      </c>
      <c r="F2398" s="9" t="s">
        <v>83</v>
      </c>
      <c r="G2398" s="9" t="s">
        <v>14</v>
      </c>
      <c r="H2398" s="10" t="s">
        <v>117</v>
      </c>
      <c r="I2398" s="7">
        <v>5</v>
      </c>
      <c r="J2398" s="11">
        <v>39</v>
      </c>
      <c r="K2398" s="11">
        <f t="shared" si="74"/>
        <v>195</v>
      </c>
      <c r="L2398" s="11">
        <v>0.20000000298023199</v>
      </c>
      <c r="M2398" s="11">
        <v>23.4</v>
      </c>
      <c r="N2398" s="11">
        <f t="shared" si="75"/>
        <v>218.19999999701977</v>
      </c>
    </row>
    <row r="2399" spans="3:14" x14ac:dyDescent="0.3">
      <c r="C2399" s="6">
        <v>44527</v>
      </c>
      <c r="D2399" s="7" t="s">
        <v>147</v>
      </c>
      <c r="E2399" s="8">
        <v>2021</v>
      </c>
      <c r="F2399" s="9" t="s">
        <v>135</v>
      </c>
      <c r="G2399" s="9" t="s">
        <v>14</v>
      </c>
      <c r="H2399" s="10" t="s">
        <v>49</v>
      </c>
      <c r="I2399" s="7">
        <v>100</v>
      </c>
      <c r="J2399" s="11">
        <v>92</v>
      </c>
      <c r="K2399" s="11">
        <f t="shared" si="74"/>
        <v>9200</v>
      </c>
      <c r="L2399" s="11">
        <v>0</v>
      </c>
      <c r="M2399" s="11">
        <v>1104</v>
      </c>
      <c r="N2399" s="11">
        <f t="shared" si="75"/>
        <v>10304</v>
      </c>
    </row>
    <row r="2400" spans="3:14" x14ac:dyDescent="0.3">
      <c r="C2400" s="6">
        <v>44527</v>
      </c>
      <c r="D2400" s="7" t="s">
        <v>147</v>
      </c>
      <c r="E2400" s="8">
        <v>2021</v>
      </c>
      <c r="F2400" s="9" t="s">
        <v>135</v>
      </c>
      <c r="G2400" s="9" t="s">
        <v>32</v>
      </c>
      <c r="H2400" s="10" t="s">
        <v>62</v>
      </c>
      <c r="I2400" s="7">
        <v>18</v>
      </c>
      <c r="J2400" s="11">
        <v>38</v>
      </c>
      <c r="K2400" s="11">
        <f t="shared" si="74"/>
        <v>684</v>
      </c>
      <c r="L2400" s="11">
        <v>0</v>
      </c>
      <c r="M2400" s="11">
        <v>82.08</v>
      </c>
      <c r="N2400" s="11">
        <f t="shared" si="75"/>
        <v>766.08</v>
      </c>
    </row>
    <row r="2401" spans="3:14" x14ac:dyDescent="0.3">
      <c r="C2401" s="6">
        <v>44527</v>
      </c>
      <c r="D2401" s="7" t="s">
        <v>147</v>
      </c>
      <c r="E2401" s="8">
        <v>2021</v>
      </c>
      <c r="F2401" s="9" t="s">
        <v>135</v>
      </c>
      <c r="G2401" s="9" t="s">
        <v>16</v>
      </c>
      <c r="H2401" s="10" t="s">
        <v>113</v>
      </c>
      <c r="I2401" s="7">
        <v>59</v>
      </c>
      <c r="J2401" s="11">
        <v>93</v>
      </c>
      <c r="K2401" s="11">
        <f t="shared" si="74"/>
        <v>5487</v>
      </c>
      <c r="L2401" s="11">
        <v>0</v>
      </c>
      <c r="M2401" s="11">
        <v>658.43999999999994</v>
      </c>
      <c r="N2401" s="11">
        <f t="shared" si="75"/>
        <v>6145.44</v>
      </c>
    </row>
    <row r="2402" spans="3:14" x14ac:dyDescent="0.3">
      <c r="C2402" s="6">
        <v>44527</v>
      </c>
      <c r="D2402" s="7" t="s">
        <v>147</v>
      </c>
      <c r="E2402" s="8">
        <v>2021</v>
      </c>
      <c r="F2402" s="9" t="s">
        <v>135</v>
      </c>
      <c r="G2402" s="9" t="s">
        <v>26</v>
      </c>
      <c r="H2402" s="10" t="s">
        <v>27</v>
      </c>
      <c r="I2402" s="7">
        <v>95</v>
      </c>
      <c r="J2402" s="11">
        <v>77</v>
      </c>
      <c r="K2402" s="11">
        <f t="shared" si="74"/>
        <v>7315</v>
      </c>
      <c r="L2402" s="11">
        <v>10</v>
      </c>
      <c r="M2402" s="11">
        <v>877.8</v>
      </c>
      <c r="N2402" s="11">
        <f t="shared" si="75"/>
        <v>8182.8</v>
      </c>
    </row>
    <row r="2403" spans="3:14" x14ac:dyDescent="0.3">
      <c r="C2403" s="6">
        <v>44491</v>
      </c>
      <c r="D2403" s="7" t="s">
        <v>130</v>
      </c>
      <c r="E2403" s="8">
        <v>2021</v>
      </c>
      <c r="F2403" s="9" t="s">
        <v>195</v>
      </c>
      <c r="G2403" s="9" t="s">
        <v>26</v>
      </c>
      <c r="H2403" s="10" t="s">
        <v>124</v>
      </c>
      <c r="I2403" s="7">
        <v>11</v>
      </c>
      <c r="J2403" s="11">
        <v>43</v>
      </c>
      <c r="K2403" s="11">
        <f t="shared" si="74"/>
        <v>473</v>
      </c>
      <c r="L2403" s="11">
        <v>5</v>
      </c>
      <c r="M2403" s="11">
        <v>56.76</v>
      </c>
      <c r="N2403" s="11">
        <f t="shared" si="75"/>
        <v>524.76</v>
      </c>
    </row>
    <row r="2404" spans="3:14" x14ac:dyDescent="0.3">
      <c r="C2404" s="6">
        <v>44491</v>
      </c>
      <c r="D2404" s="7" t="s">
        <v>130</v>
      </c>
      <c r="E2404" s="8">
        <v>2021</v>
      </c>
      <c r="F2404" s="9" t="s">
        <v>195</v>
      </c>
      <c r="G2404" s="9" t="s">
        <v>26</v>
      </c>
      <c r="H2404" s="10" t="s">
        <v>148</v>
      </c>
      <c r="I2404" s="7">
        <v>40</v>
      </c>
      <c r="J2404" s="11">
        <v>84</v>
      </c>
      <c r="K2404" s="11">
        <f t="shared" si="74"/>
        <v>3360</v>
      </c>
      <c r="L2404" s="11">
        <v>2</v>
      </c>
      <c r="M2404" s="11">
        <v>403.2</v>
      </c>
      <c r="N2404" s="11">
        <f t="shared" si="75"/>
        <v>3761.2</v>
      </c>
    </row>
    <row r="2405" spans="3:14" x14ac:dyDescent="0.3">
      <c r="C2405" s="6">
        <v>44491</v>
      </c>
      <c r="D2405" s="7" t="s">
        <v>130</v>
      </c>
      <c r="E2405" s="8">
        <v>2021</v>
      </c>
      <c r="F2405" s="9" t="s">
        <v>195</v>
      </c>
      <c r="G2405" s="9" t="s">
        <v>26</v>
      </c>
      <c r="H2405" s="10" t="s">
        <v>27</v>
      </c>
      <c r="I2405" s="7">
        <v>7</v>
      </c>
      <c r="J2405" s="11">
        <v>10</v>
      </c>
      <c r="K2405" s="11">
        <f t="shared" si="74"/>
        <v>70</v>
      </c>
      <c r="L2405" s="11">
        <v>5</v>
      </c>
      <c r="M2405" s="11">
        <v>8.4</v>
      </c>
      <c r="N2405" s="11">
        <f t="shared" si="75"/>
        <v>73.400000000000006</v>
      </c>
    </row>
    <row r="2406" spans="3:14" x14ac:dyDescent="0.3">
      <c r="C2406" s="6">
        <v>44491</v>
      </c>
      <c r="D2406" s="7" t="s">
        <v>130</v>
      </c>
      <c r="E2406" s="8">
        <v>2021</v>
      </c>
      <c r="F2406" s="9" t="s">
        <v>195</v>
      </c>
      <c r="G2406" s="9" t="s">
        <v>26</v>
      </c>
      <c r="H2406" s="10" t="s">
        <v>94</v>
      </c>
      <c r="I2406" s="7">
        <v>83</v>
      </c>
      <c r="J2406" s="11">
        <v>87</v>
      </c>
      <c r="K2406" s="11">
        <f t="shared" si="74"/>
        <v>7221</v>
      </c>
      <c r="L2406" s="11">
        <v>3</v>
      </c>
      <c r="M2406" s="11">
        <v>866.52</v>
      </c>
      <c r="N2406" s="11">
        <f t="shared" si="75"/>
        <v>8084.52</v>
      </c>
    </row>
    <row r="2407" spans="3:14" x14ac:dyDescent="0.3">
      <c r="C2407" s="6">
        <v>44502</v>
      </c>
      <c r="D2407" s="7" t="s">
        <v>147</v>
      </c>
      <c r="E2407" s="8">
        <v>2021</v>
      </c>
      <c r="F2407" s="9" t="s">
        <v>195</v>
      </c>
      <c r="G2407" s="9" t="s">
        <v>26</v>
      </c>
      <c r="H2407" s="10" t="s">
        <v>52</v>
      </c>
      <c r="I2407" s="7">
        <v>47</v>
      </c>
      <c r="J2407" s="11">
        <v>38</v>
      </c>
      <c r="K2407" s="11">
        <f t="shared" si="74"/>
        <v>1786</v>
      </c>
      <c r="L2407" s="11">
        <v>0</v>
      </c>
      <c r="M2407" s="11">
        <v>214.32</v>
      </c>
      <c r="N2407" s="11">
        <f t="shared" si="75"/>
        <v>2000.32</v>
      </c>
    </row>
    <row r="2408" spans="3:14" x14ac:dyDescent="0.3">
      <c r="C2408" s="6">
        <v>44502</v>
      </c>
      <c r="D2408" s="7" t="s">
        <v>147</v>
      </c>
      <c r="E2408" s="8">
        <v>2021</v>
      </c>
      <c r="F2408" s="9" t="s">
        <v>195</v>
      </c>
      <c r="G2408" s="9" t="s">
        <v>26</v>
      </c>
      <c r="H2408" s="10" t="s">
        <v>56</v>
      </c>
      <c r="I2408" s="7">
        <v>1</v>
      </c>
      <c r="J2408" s="11">
        <v>10</v>
      </c>
      <c r="K2408" s="11">
        <f t="shared" si="74"/>
        <v>10</v>
      </c>
      <c r="L2408" s="11">
        <v>0</v>
      </c>
      <c r="M2408" s="11">
        <v>1.2</v>
      </c>
      <c r="N2408" s="11">
        <f t="shared" si="75"/>
        <v>11.2</v>
      </c>
    </row>
    <row r="2409" spans="3:14" x14ac:dyDescent="0.3">
      <c r="C2409" s="6">
        <v>44514</v>
      </c>
      <c r="D2409" s="7" t="s">
        <v>147</v>
      </c>
      <c r="E2409" s="8">
        <v>2021</v>
      </c>
      <c r="F2409" s="9" t="s">
        <v>195</v>
      </c>
      <c r="G2409" s="9" t="s">
        <v>26</v>
      </c>
      <c r="H2409" s="10" t="s">
        <v>27</v>
      </c>
      <c r="I2409" s="7">
        <v>14</v>
      </c>
      <c r="J2409" s="11">
        <v>50</v>
      </c>
      <c r="K2409" s="11">
        <f t="shared" si="74"/>
        <v>700</v>
      </c>
      <c r="L2409" s="11">
        <v>25</v>
      </c>
      <c r="M2409" s="11">
        <v>84</v>
      </c>
      <c r="N2409" s="11">
        <f t="shared" si="75"/>
        <v>759</v>
      </c>
    </row>
    <row r="2410" spans="3:14" x14ac:dyDescent="0.3">
      <c r="C2410" s="6">
        <v>44514</v>
      </c>
      <c r="D2410" s="7" t="s">
        <v>147</v>
      </c>
      <c r="E2410" s="8">
        <v>2021</v>
      </c>
      <c r="F2410" s="9" t="s">
        <v>195</v>
      </c>
      <c r="G2410" s="9" t="s">
        <v>26</v>
      </c>
      <c r="H2410" s="10" t="s">
        <v>119</v>
      </c>
      <c r="I2410" s="7">
        <v>58</v>
      </c>
      <c r="J2410" s="11">
        <v>11</v>
      </c>
      <c r="K2410" s="11">
        <f t="shared" si="74"/>
        <v>638</v>
      </c>
      <c r="L2410" s="11">
        <v>35</v>
      </c>
      <c r="M2410" s="11">
        <v>76.56</v>
      </c>
      <c r="N2410" s="11">
        <f t="shared" si="75"/>
        <v>679.56</v>
      </c>
    </row>
    <row r="2411" spans="3:14" x14ac:dyDescent="0.3">
      <c r="C2411" s="6">
        <v>44519</v>
      </c>
      <c r="D2411" s="7" t="s">
        <v>147</v>
      </c>
      <c r="E2411" s="8">
        <v>2021</v>
      </c>
      <c r="F2411" s="9" t="s">
        <v>137</v>
      </c>
      <c r="G2411" s="9" t="s">
        <v>14</v>
      </c>
      <c r="H2411" s="10" t="s">
        <v>36</v>
      </c>
      <c r="I2411" s="7">
        <v>35</v>
      </c>
      <c r="J2411" s="11">
        <v>37</v>
      </c>
      <c r="K2411" s="11">
        <f t="shared" si="74"/>
        <v>1295</v>
      </c>
      <c r="L2411" s="11">
        <v>0</v>
      </c>
      <c r="M2411" s="11">
        <v>155.4</v>
      </c>
      <c r="N2411" s="11">
        <f t="shared" si="75"/>
        <v>1450.4</v>
      </c>
    </row>
    <row r="2412" spans="3:14" x14ac:dyDescent="0.3">
      <c r="C2412" s="6">
        <v>44519</v>
      </c>
      <c r="D2412" s="7" t="s">
        <v>147</v>
      </c>
      <c r="E2412" s="8">
        <v>2021</v>
      </c>
      <c r="F2412" s="9" t="s">
        <v>137</v>
      </c>
      <c r="G2412" s="9" t="s">
        <v>24</v>
      </c>
      <c r="H2412" s="10" t="s">
        <v>25</v>
      </c>
      <c r="I2412" s="7">
        <v>90</v>
      </c>
      <c r="J2412" s="11">
        <v>59</v>
      </c>
      <c r="K2412" s="11">
        <f t="shared" si="74"/>
        <v>5310</v>
      </c>
      <c r="L2412" s="11">
        <v>0</v>
      </c>
      <c r="M2412" s="11">
        <v>637.19999999999993</v>
      </c>
      <c r="N2412" s="11">
        <f t="shared" si="75"/>
        <v>5947.2</v>
      </c>
    </row>
    <row r="2413" spans="3:14" x14ac:dyDescent="0.3">
      <c r="C2413" s="6">
        <v>44519</v>
      </c>
      <c r="D2413" s="7" t="s">
        <v>147</v>
      </c>
      <c r="E2413" s="8">
        <v>2021</v>
      </c>
      <c r="F2413" s="9" t="s">
        <v>137</v>
      </c>
      <c r="G2413" s="9" t="s">
        <v>26</v>
      </c>
      <c r="H2413" s="10" t="s">
        <v>95</v>
      </c>
      <c r="I2413" s="7">
        <v>73</v>
      </c>
      <c r="J2413" s="11">
        <v>16</v>
      </c>
      <c r="K2413" s="11">
        <f t="shared" si="74"/>
        <v>1168</v>
      </c>
      <c r="L2413" s="11">
        <v>0</v>
      </c>
      <c r="M2413" s="11">
        <v>140.16</v>
      </c>
      <c r="N2413" s="11">
        <f t="shared" si="75"/>
        <v>1308.1600000000001</v>
      </c>
    </row>
    <row r="2414" spans="3:14" x14ac:dyDescent="0.3">
      <c r="C2414" s="6">
        <v>44519</v>
      </c>
      <c r="D2414" s="7" t="s">
        <v>147</v>
      </c>
      <c r="E2414" s="8">
        <v>2021</v>
      </c>
      <c r="F2414" s="9" t="s">
        <v>137</v>
      </c>
      <c r="G2414" s="9" t="s">
        <v>14</v>
      </c>
      <c r="H2414" s="10" t="s">
        <v>117</v>
      </c>
      <c r="I2414" s="7">
        <v>42</v>
      </c>
      <c r="J2414" s="11">
        <v>64</v>
      </c>
      <c r="K2414" s="11">
        <f t="shared" si="74"/>
        <v>2688</v>
      </c>
      <c r="L2414" s="11">
        <v>0</v>
      </c>
      <c r="M2414" s="11">
        <v>322.56</v>
      </c>
      <c r="N2414" s="11">
        <f t="shared" si="75"/>
        <v>3010.56</v>
      </c>
    </row>
    <row r="2415" spans="3:14" x14ac:dyDescent="0.3">
      <c r="C2415" s="6">
        <v>44519</v>
      </c>
      <c r="D2415" s="7" t="s">
        <v>147</v>
      </c>
      <c r="E2415" s="8">
        <v>2021</v>
      </c>
      <c r="F2415" s="9" t="s">
        <v>137</v>
      </c>
      <c r="G2415" s="9" t="s">
        <v>42</v>
      </c>
      <c r="H2415" s="10" t="s">
        <v>43</v>
      </c>
      <c r="I2415" s="7">
        <v>51</v>
      </c>
      <c r="J2415" s="11">
        <v>92</v>
      </c>
      <c r="K2415" s="11">
        <f t="shared" si="74"/>
        <v>4692</v>
      </c>
      <c r="L2415" s="11">
        <v>25</v>
      </c>
      <c r="M2415" s="11">
        <v>563.04</v>
      </c>
      <c r="N2415" s="11">
        <f t="shared" si="75"/>
        <v>5230.04</v>
      </c>
    </row>
    <row r="2416" spans="3:14" x14ac:dyDescent="0.3">
      <c r="C2416" s="6">
        <v>44517</v>
      </c>
      <c r="D2416" s="7" t="s">
        <v>147</v>
      </c>
      <c r="E2416" s="8">
        <v>2021</v>
      </c>
      <c r="F2416" s="9" t="s">
        <v>195</v>
      </c>
      <c r="G2416" s="9" t="s">
        <v>42</v>
      </c>
      <c r="H2416" s="10" t="s">
        <v>43</v>
      </c>
      <c r="I2416" s="7">
        <v>99</v>
      </c>
      <c r="J2416" s="11">
        <v>89</v>
      </c>
      <c r="K2416" s="11">
        <f t="shared" si="74"/>
        <v>8811</v>
      </c>
      <c r="L2416" s="11">
        <v>0</v>
      </c>
      <c r="M2416" s="11">
        <v>1057.32</v>
      </c>
      <c r="N2416" s="11">
        <f t="shared" si="75"/>
        <v>9868.32</v>
      </c>
    </row>
    <row r="2417" spans="3:14" x14ac:dyDescent="0.3">
      <c r="C2417" s="6">
        <v>44518</v>
      </c>
      <c r="D2417" s="7" t="s">
        <v>147</v>
      </c>
      <c r="E2417" s="8">
        <v>2021</v>
      </c>
      <c r="F2417" s="9" t="s">
        <v>195</v>
      </c>
      <c r="G2417" s="9" t="s">
        <v>16</v>
      </c>
      <c r="H2417" s="10" t="s">
        <v>68</v>
      </c>
      <c r="I2417" s="7">
        <v>89</v>
      </c>
      <c r="J2417" s="11">
        <v>27</v>
      </c>
      <c r="K2417" s="11">
        <f t="shared" si="74"/>
        <v>2403</v>
      </c>
      <c r="L2417" s="11">
        <v>0</v>
      </c>
      <c r="M2417" s="11">
        <v>288.36</v>
      </c>
      <c r="N2417" s="11">
        <f t="shared" si="75"/>
        <v>2691.36</v>
      </c>
    </row>
    <row r="2418" spans="3:14" x14ac:dyDescent="0.3">
      <c r="C2418" s="6">
        <v>44817</v>
      </c>
      <c r="D2418" s="7" t="s">
        <v>116</v>
      </c>
      <c r="E2418" s="8">
        <v>2022</v>
      </c>
      <c r="F2418" s="9" t="s">
        <v>195</v>
      </c>
      <c r="G2418" s="9" t="s">
        <v>26</v>
      </c>
      <c r="H2418" s="10" t="s">
        <v>56</v>
      </c>
      <c r="I2418" s="7">
        <v>97</v>
      </c>
      <c r="J2418" s="11">
        <v>93</v>
      </c>
      <c r="K2418" s="11">
        <f t="shared" si="74"/>
        <v>9021</v>
      </c>
      <c r="L2418" s="11">
        <v>0</v>
      </c>
      <c r="M2418" s="11">
        <v>1082.52</v>
      </c>
      <c r="N2418" s="11">
        <f t="shared" si="75"/>
        <v>10103.52</v>
      </c>
    </row>
    <row r="2419" spans="3:14" x14ac:dyDescent="0.3">
      <c r="C2419" s="6">
        <v>44817</v>
      </c>
      <c r="D2419" s="7" t="s">
        <v>116</v>
      </c>
      <c r="E2419" s="8">
        <v>2022</v>
      </c>
      <c r="F2419" s="9" t="s">
        <v>195</v>
      </c>
      <c r="G2419" s="9" t="s">
        <v>37</v>
      </c>
      <c r="H2419" s="10" t="s">
        <v>46</v>
      </c>
      <c r="I2419" s="7">
        <v>16</v>
      </c>
      <c r="J2419" s="11">
        <v>31</v>
      </c>
      <c r="K2419" s="11">
        <f t="shared" si="74"/>
        <v>496</v>
      </c>
      <c r="L2419" s="11">
        <v>0</v>
      </c>
      <c r="M2419" s="11">
        <v>59.519999999999996</v>
      </c>
      <c r="N2419" s="11">
        <f t="shared" si="75"/>
        <v>555.52</v>
      </c>
    </row>
    <row r="2420" spans="3:14" x14ac:dyDescent="0.3">
      <c r="C2420" s="6">
        <v>44817</v>
      </c>
      <c r="D2420" s="7" t="s">
        <v>116</v>
      </c>
      <c r="E2420" s="8">
        <v>2022</v>
      </c>
      <c r="F2420" s="9" t="s">
        <v>195</v>
      </c>
      <c r="G2420" s="9" t="s">
        <v>14</v>
      </c>
      <c r="H2420" s="10" t="s">
        <v>15</v>
      </c>
      <c r="I2420" s="7">
        <v>75</v>
      </c>
      <c r="J2420" s="11">
        <v>68</v>
      </c>
      <c r="K2420" s="11">
        <f t="shared" si="74"/>
        <v>5100</v>
      </c>
      <c r="L2420" s="11">
        <v>0</v>
      </c>
      <c r="M2420" s="11">
        <v>612</v>
      </c>
      <c r="N2420" s="11">
        <f t="shared" si="75"/>
        <v>5712</v>
      </c>
    </row>
    <row r="2421" spans="3:14" x14ac:dyDescent="0.3">
      <c r="C2421" s="6">
        <v>44817</v>
      </c>
      <c r="D2421" s="7" t="s">
        <v>116</v>
      </c>
      <c r="E2421" s="8">
        <v>2022</v>
      </c>
      <c r="F2421" s="9" t="s">
        <v>195</v>
      </c>
      <c r="G2421" s="9" t="s">
        <v>26</v>
      </c>
      <c r="H2421" s="10" t="s">
        <v>56</v>
      </c>
      <c r="I2421" s="7">
        <v>93</v>
      </c>
      <c r="J2421" s="11">
        <v>30</v>
      </c>
      <c r="K2421" s="11">
        <f t="shared" si="74"/>
        <v>2790</v>
      </c>
      <c r="L2421" s="11">
        <v>0</v>
      </c>
      <c r="M2421" s="11">
        <v>334.8</v>
      </c>
      <c r="N2421" s="11">
        <f t="shared" si="75"/>
        <v>3124.8</v>
      </c>
    </row>
    <row r="2422" spans="3:14" x14ac:dyDescent="0.3">
      <c r="C2422" s="12">
        <v>44817</v>
      </c>
      <c r="D2422" s="13" t="s">
        <v>116</v>
      </c>
      <c r="E2422" s="14">
        <v>2022</v>
      </c>
      <c r="F2422" s="15" t="s">
        <v>195</v>
      </c>
      <c r="G2422" s="15" t="s">
        <v>24</v>
      </c>
      <c r="H2422" s="16" t="s">
        <v>85</v>
      </c>
      <c r="I2422" s="7">
        <v>59</v>
      </c>
      <c r="J2422" s="11">
        <v>48</v>
      </c>
      <c r="K2422" s="11">
        <f t="shared" si="74"/>
        <v>2832</v>
      </c>
      <c r="L2422" s="17">
        <v>0</v>
      </c>
      <c r="M2422" s="11">
        <v>339.84</v>
      </c>
      <c r="N2422" s="11">
        <f t="shared" si="75"/>
        <v>3171.84</v>
      </c>
    </row>
  </sheetData>
  <mergeCells count="1">
    <mergeCell ref="A1:A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2FF42-0745-4664-8184-E6C3FCCE1588}">
  <sheetPr codeName="Hoja3">
    <tabColor rgb="FF92D050"/>
  </sheetPr>
  <dimension ref="A1:D91"/>
  <sheetViews>
    <sheetView showGridLines="0" workbookViewId="0">
      <pane xSplit="1" topLeftCell="B1" activePane="topRight" state="frozen"/>
      <selection pane="topRight" activeCell="C8" sqref="C8:D8"/>
      <pivotSelection pane="topRight" showHeader="1" extendable="1" axis="axisRow" start="5" max="89" activeRow="7" activeCol="2" previousRow="7" previousCol="2" click="1" r:id="rId1">
        <pivotArea dataOnly="0" fieldPosition="0">
          <references count="1">
            <reference field="3" count="1">
              <x v="5"/>
            </reference>
          </references>
        </pivotArea>
      </pivotSelection>
    </sheetView>
  </sheetViews>
  <sheetFormatPr baseColWidth="10" defaultRowHeight="14.4" x14ac:dyDescent="0.3"/>
  <cols>
    <col min="1" max="1" width="20.6640625" customWidth="1"/>
    <col min="2" max="2" width="10.6640625" customWidth="1"/>
    <col min="3" max="3" width="19.33203125" bestFit="1" customWidth="1"/>
  </cols>
  <sheetData>
    <row r="1" spans="1:4" ht="15" customHeight="1" x14ac:dyDescent="0.3">
      <c r="A1" s="28" t="s">
        <v>203</v>
      </c>
    </row>
    <row r="2" spans="1:4" ht="15" customHeight="1" x14ac:dyDescent="0.3">
      <c r="A2" s="28"/>
      <c r="C2" s="19" t="s">
        <v>200</v>
      </c>
      <c r="D2" t="s">
        <v>202</v>
      </c>
    </row>
    <row r="3" spans="1:4" ht="15" customHeight="1" x14ac:dyDescent="0.3">
      <c r="A3" s="21"/>
      <c r="C3" s="20" t="s">
        <v>83</v>
      </c>
      <c r="D3">
        <v>59269.989999964251</v>
      </c>
    </row>
    <row r="4" spans="1:4" ht="15" customHeight="1" x14ac:dyDescent="0.3">
      <c r="A4" s="21"/>
      <c r="C4" s="20" t="s">
        <v>99</v>
      </c>
      <c r="D4">
        <v>27646.080000000002</v>
      </c>
    </row>
    <row r="5" spans="1:4" ht="15" customHeight="1" x14ac:dyDescent="0.3">
      <c r="A5" s="21"/>
      <c r="C5" s="20" t="s">
        <v>91</v>
      </c>
      <c r="D5">
        <v>25212.319999999996</v>
      </c>
    </row>
    <row r="6" spans="1:4" ht="15" customHeight="1" x14ac:dyDescent="0.3">
      <c r="A6" s="21"/>
      <c r="C6" s="20" t="s">
        <v>123</v>
      </c>
      <c r="D6">
        <v>20744.64</v>
      </c>
    </row>
    <row r="7" spans="1:4" ht="15" customHeight="1" x14ac:dyDescent="0.3">
      <c r="A7" s="21"/>
      <c r="C7" s="20" t="s">
        <v>19</v>
      </c>
      <c r="D7">
        <v>34507.019999980635</v>
      </c>
    </row>
    <row r="8" spans="1:4" ht="15" customHeight="1" x14ac:dyDescent="0.3">
      <c r="A8" s="21"/>
      <c r="C8" s="20" t="s">
        <v>176</v>
      </c>
      <c r="D8">
        <v>114450.67999998511</v>
      </c>
    </row>
    <row r="9" spans="1:4" ht="15" customHeight="1" x14ac:dyDescent="0.3">
      <c r="A9" s="21"/>
      <c r="C9" s="20" t="s">
        <v>156</v>
      </c>
      <c r="D9">
        <v>41968.639999999999</v>
      </c>
    </row>
    <row r="10" spans="1:4" ht="15" customHeight="1" x14ac:dyDescent="0.3">
      <c r="A10" s="21"/>
      <c r="C10" s="20" t="s">
        <v>150</v>
      </c>
      <c r="D10">
        <v>89975.32999995751</v>
      </c>
    </row>
    <row r="11" spans="1:4" ht="15" customHeight="1" x14ac:dyDescent="0.3">
      <c r="A11" s="21"/>
      <c r="C11" s="20" t="s">
        <v>157</v>
      </c>
      <c r="D11">
        <v>111982.31999994042</v>
      </c>
    </row>
    <row r="12" spans="1:4" ht="15" customHeight="1" x14ac:dyDescent="0.3">
      <c r="A12" s="21"/>
      <c r="C12" s="20" t="s">
        <v>149</v>
      </c>
      <c r="D12">
        <v>89024.459999931452</v>
      </c>
    </row>
    <row r="13" spans="1:4" ht="15" customHeight="1" x14ac:dyDescent="0.3">
      <c r="A13" s="21"/>
      <c r="C13" s="20" t="s">
        <v>64</v>
      </c>
      <c r="D13">
        <v>97025.939999949318</v>
      </c>
    </row>
    <row r="14" spans="1:4" ht="15" customHeight="1" x14ac:dyDescent="0.3">
      <c r="A14" s="21"/>
      <c r="C14" s="20" t="s">
        <v>196</v>
      </c>
      <c r="D14">
        <v>19934.88</v>
      </c>
    </row>
    <row r="15" spans="1:4" ht="15" customHeight="1" x14ac:dyDescent="0.3">
      <c r="A15" s="21"/>
      <c r="C15" s="20" t="s">
        <v>101</v>
      </c>
      <c r="D15">
        <v>80694.319999958258</v>
      </c>
    </row>
    <row r="16" spans="1:4" ht="15" customHeight="1" x14ac:dyDescent="0.3">
      <c r="A16" s="21"/>
      <c r="C16" s="20" t="s">
        <v>80</v>
      </c>
      <c r="D16">
        <v>173999.16999988223</v>
      </c>
    </row>
    <row r="17" spans="1:4" ht="15" customHeight="1" x14ac:dyDescent="0.3">
      <c r="A17" s="21"/>
      <c r="C17" s="20" t="s">
        <v>53</v>
      </c>
      <c r="D17">
        <v>175313.61999998364</v>
      </c>
    </row>
    <row r="18" spans="1:4" ht="15" customHeight="1" x14ac:dyDescent="0.3">
      <c r="A18" s="21"/>
      <c r="C18" s="20" t="s">
        <v>190</v>
      </c>
      <c r="D18">
        <v>41187.5</v>
      </c>
    </row>
    <row r="19" spans="1:4" ht="15" customHeight="1" x14ac:dyDescent="0.3">
      <c r="A19" s="21"/>
      <c r="C19" s="20" t="s">
        <v>93</v>
      </c>
      <c r="D19">
        <v>160181.61999997913</v>
      </c>
    </row>
    <row r="20" spans="1:4" ht="15" customHeight="1" x14ac:dyDescent="0.3">
      <c r="A20" s="21"/>
      <c r="C20" s="20" t="s">
        <v>197</v>
      </c>
      <c r="D20">
        <v>8572.48</v>
      </c>
    </row>
    <row r="21" spans="1:4" ht="15" customHeight="1" x14ac:dyDescent="0.3">
      <c r="A21" s="21"/>
      <c r="C21" s="20" t="s">
        <v>158</v>
      </c>
      <c r="D21">
        <v>19234.88</v>
      </c>
    </row>
    <row r="22" spans="1:4" ht="15" customHeight="1" x14ac:dyDescent="0.3">
      <c r="A22" s="21"/>
      <c r="C22" s="20" t="s">
        <v>178</v>
      </c>
      <c r="D22">
        <v>16723.840000000004</v>
      </c>
    </row>
    <row r="23" spans="1:4" ht="15" customHeight="1" x14ac:dyDescent="0.3">
      <c r="A23" s="21"/>
      <c r="C23" s="20" t="s">
        <v>166</v>
      </c>
      <c r="D23">
        <v>81614.859999979133</v>
      </c>
    </row>
    <row r="24" spans="1:4" x14ac:dyDescent="0.3">
      <c r="A24" s="21"/>
      <c r="C24" s="20" t="s">
        <v>71</v>
      </c>
      <c r="D24">
        <v>150107.61999996274</v>
      </c>
    </row>
    <row r="25" spans="1:4" x14ac:dyDescent="0.3">
      <c r="A25" s="21"/>
      <c r="C25" s="20" t="s">
        <v>169</v>
      </c>
      <c r="D25">
        <v>67029.199999988094</v>
      </c>
    </row>
    <row r="26" spans="1:4" x14ac:dyDescent="0.3">
      <c r="A26" s="21"/>
      <c r="C26" s="20" t="s">
        <v>73</v>
      </c>
      <c r="D26">
        <v>173623.92999990389</v>
      </c>
    </row>
    <row r="27" spans="1:4" x14ac:dyDescent="0.3">
      <c r="A27" s="21"/>
      <c r="C27" s="20" t="s">
        <v>122</v>
      </c>
      <c r="D27">
        <v>51903.040000000001</v>
      </c>
    </row>
    <row r="28" spans="1:4" x14ac:dyDescent="0.3">
      <c r="A28" s="21"/>
      <c r="C28" s="20" t="s">
        <v>58</v>
      </c>
      <c r="D28">
        <v>5548.48</v>
      </c>
    </row>
    <row r="29" spans="1:4" x14ac:dyDescent="0.3">
      <c r="A29" s="21"/>
      <c r="C29" s="20" t="s">
        <v>152</v>
      </c>
      <c r="D29">
        <v>103634.85999997619</v>
      </c>
    </row>
    <row r="30" spans="1:4" x14ac:dyDescent="0.3">
      <c r="A30" s="21"/>
      <c r="C30" s="20" t="s">
        <v>88</v>
      </c>
      <c r="D30">
        <v>63743.699999976154</v>
      </c>
    </row>
    <row r="31" spans="1:4" x14ac:dyDescent="0.3">
      <c r="A31" s="21"/>
      <c r="C31" s="20" t="s">
        <v>131</v>
      </c>
      <c r="D31">
        <v>64150.240000000005</v>
      </c>
    </row>
    <row r="32" spans="1:4" x14ac:dyDescent="0.3">
      <c r="A32" s="21"/>
      <c r="C32" s="20" t="s">
        <v>185</v>
      </c>
      <c r="D32">
        <v>41648.319999999985</v>
      </c>
    </row>
    <row r="33" spans="1:4" x14ac:dyDescent="0.3">
      <c r="A33" s="21"/>
      <c r="C33" s="20" t="s">
        <v>154</v>
      </c>
      <c r="D33">
        <v>73283.579999944108</v>
      </c>
    </row>
    <row r="34" spans="1:4" x14ac:dyDescent="0.3">
      <c r="A34" s="21"/>
      <c r="C34" s="20" t="s">
        <v>129</v>
      </c>
      <c r="D34">
        <v>80260.319999999992</v>
      </c>
    </row>
    <row r="35" spans="1:4" x14ac:dyDescent="0.3">
      <c r="A35" s="21"/>
      <c r="C35" s="20" t="s">
        <v>192</v>
      </c>
      <c r="D35">
        <v>49124.32</v>
      </c>
    </row>
    <row r="36" spans="1:4" x14ac:dyDescent="0.3">
      <c r="A36" s="21"/>
      <c r="C36" s="20" t="s">
        <v>170</v>
      </c>
      <c r="D36">
        <v>95481.539999989545</v>
      </c>
    </row>
    <row r="37" spans="1:4" x14ac:dyDescent="0.3">
      <c r="A37" s="21"/>
      <c r="C37" s="20" t="s">
        <v>189</v>
      </c>
      <c r="D37">
        <v>78701.519999962751</v>
      </c>
    </row>
    <row r="38" spans="1:4" x14ac:dyDescent="0.3">
      <c r="A38" s="21"/>
      <c r="C38" s="20" t="s">
        <v>144</v>
      </c>
      <c r="D38">
        <v>51824.359999986584</v>
      </c>
    </row>
    <row r="39" spans="1:4" x14ac:dyDescent="0.3">
      <c r="A39" s="21"/>
      <c r="C39" s="20" t="s">
        <v>193</v>
      </c>
      <c r="D39">
        <v>33946.419999994047</v>
      </c>
    </row>
    <row r="40" spans="1:4" x14ac:dyDescent="0.3">
      <c r="A40" s="21"/>
      <c r="C40" s="20" t="s">
        <v>105</v>
      </c>
      <c r="D40">
        <v>94030.83999997018</v>
      </c>
    </row>
    <row r="41" spans="1:4" x14ac:dyDescent="0.3">
      <c r="A41" s="21"/>
      <c r="C41" s="20" t="s">
        <v>127</v>
      </c>
      <c r="D41">
        <v>19174.400000000001</v>
      </c>
    </row>
    <row r="42" spans="1:4" x14ac:dyDescent="0.3">
      <c r="A42" s="21"/>
      <c r="C42" s="20" t="s">
        <v>142</v>
      </c>
      <c r="D42">
        <v>169074.4399999553</v>
      </c>
    </row>
    <row r="43" spans="1:4" x14ac:dyDescent="0.3">
      <c r="A43" s="21"/>
      <c r="C43" s="20" t="s">
        <v>182</v>
      </c>
      <c r="D43">
        <v>13651.68</v>
      </c>
    </row>
    <row r="44" spans="1:4" x14ac:dyDescent="0.3">
      <c r="A44" s="21"/>
      <c r="C44" s="20" t="s">
        <v>164</v>
      </c>
      <c r="D44">
        <v>28692.16</v>
      </c>
    </row>
    <row r="45" spans="1:4" x14ac:dyDescent="0.3">
      <c r="A45" s="21"/>
      <c r="C45" s="20" t="s">
        <v>135</v>
      </c>
      <c r="D45">
        <v>442604.29999985534</v>
      </c>
    </row>
    <row r="46" spans="1:4" x14ac:dyDescent="0.3">
      <c r="A46" s="21"/>
      <c r="C46" s="20" t="s">
        <v>121</v>
      </c>
      <c r="D46">
        <v>46361.499999986598</v>
      </c>
    </row>
    <row r="47" spans="1:4" x14ac:dyDescent="0.3">
      <c r="A47" s="21"/>
      <c r="C47" s="20" t="s">
        <v>146</v>
      </c>
      <c r="D47">
        <v>76416.889999982115</v>
      </c>
    </row>
    <row r="48" spans="1:4" x14ac:dyDescent="0.3">
      <c r="C48" s="20" t="s">
        <v>179</v>
      </c>
      <c r="D48">
        <v>38052.859999970198</v>
      </c>
    </row>
    <row r="49" spans="3:4" x14ac:dyDescent="0.3">
      <c r="C49" s="20" t="s">
        <v>141</v>
      </c>
      <c r="D49">
        <v>191965.26999995011</v>
      </c>
    </row>
    <row r="50" spans="3:4" x14ac:dyDescent="0.3">
      <c r="C50" s="20" t="s">
        <v>138</v>
      </c>
      <c r="D50">
        <v>115817.9899998927</v>
      </c>
    </row>
    <row r="51" spans="3:4" x14ac:dyDescent="0.3">
      <c r="C51" s="20" t="s">
        <v>194</v>
      </c>
      <c r="D51">
        <v>22174.880000000001</v>
      </c>
    </row>
    <row r="52" spans="3:4" x14ac:dyDescent="0.3">
      <c r="C52" s="20" t="s">
        <v>126</v>
      </c>
      <c r="D52">
        <v>28277.760000000002</v>
      </c>
    </row>
    <row r="53" spans="3:4" x14ac:dyDescent="0.3">
      <c r="C53" s="20" t="s">
        <v>161</v>
      </c>
      <c r="D53">
        <v>159070.19999997164</v>
      </c>
    </row>
    <row r="54" spans="3:4" x14ac:dyDescent="0.3">
      <c r="C54" s="20" t="s">
        <v>78</v>
      </c>
      <c r="D54">
        <v>11754.400000000001</v>
      </c>
    </row>
    <row r="55" spans="3:4" x14ac:dyDescent="0.3">
      <c r="C55" s="20" t="s">
        <v>195</v>
      </c>
      <c r="D55">
        <v>85138.7</v>
      </c>
    </row>
    <row r="56" spans="3:4" x14ac:dyDescent="0.3">
      <c r="C56" s="20" t="s">
        <v>23</v>
      </c>
      <c r="D56">
        <v>77193.649999976144</v>
      </c>
    </row>
    <row r="57" spans="3:4" x14ac:dyDescent="0.3">
      <c r="C57" s="20" t="s">
        <v>70</v>
      </c>
      <c r="D57">
        <v>87751.539999967237</v>
      </c>
    </row>
    <row r="58" spans="3:4" x14ac:dyDescent="0.3">
      <c r="C58" s="20" t="s">
        <v>137</v>
      </c>
      <c r="D58">
        <v>28015.940000000002</v>
      </c>
    </row>
    <row r="59" spans="3:4" x14ac:dyDescent="0.3">
      <c r="C59" s="20" t="s">
        <v>171</v>
      </c>
      <c r="D59">
        <v>79352.000000000015</v>
      </c>
    </row>
    <row r="60" spans="3:4" x14ac:dyDescent="0.3">
      <c r="C60" s="20" t="s">
        <v>13</v>
      </c>
      <c r="D60">
        <v>48755.839999999997</v>
      </c>
    </row>
    <row r="61" spans="3:4" x14ac:dyDescent="0.3">
      <c r="C61" s="20" t="s">
        <v>108</v>
      </c>
      <c r="D61">
        <v>52286.319999962747</v>
      </c>
    </row>
    <row r="62" spans="3:4" x14ac:dyDescent="0.3">
      <c r="C62" s="20" t="s">
        <v>28</v>
      </c>
      <c r="D62">
        <v>70618.779999982115</v>
      </c>
    </row>
    <row r="63" spans="3:4" x14ac:dyDescent="0.3">
      <c r="C63" s="20" t="s">
        <v>89</v>
      </c>
      <c r="D63">
        <v>98351.680000000008</v>
      </c>
    </row>
    <row r="64" spans="3:4" x14ac:dyDescent="0.3">
      <c r="C64" s="20" t="s">
        <v>45</v>
      </c>
      <c r="D64">
        <v>120315.39999999106</v>
      </c>
    </row>
    <row r="65" spans="3:4" x14ac:dyDescent="0.3">
      <c r="C65" s="20" t="s">
        <v>84</v>
      </c>
      <c r="D65">
        <v>294785.31999987486</v>
      </c>
    </row>
    <row r="66" spans="3:4" x14ac:dyDescent="0.3">
      <c r="C66" s="20" t="s">
        <v>159</v>
      </c>
      <c r="D66">
        <v>123361.71999998063</v>
      </c>
    </row>
    <row r="67" spans="3:4" x14ac:dyDescent="0.3">
      <c r="C67" s="20" t="s">
        <v>175</v>
      </c>
      <c r="D67">
        <v>38806.880000000005</v>
      </c>
    </row>
    <row r="68" spans="3:4" x14ac:dyDescent="0.3">
      <c r="C68" s="20" t="s">
        <v>31</v>
      </c>
      <c r="D68">
        <v>87954.839999962744</v>
      </c>
    </row>
    <row r="69" spans="3:4" x14ac:dyDescent="0.3">
      <c r="C69" s="20" t="s">
        <v>118</v>
      </c>
      <c r="D69">
        <v>232534.85999991064</v>
      </c>
    </row>
    <row r="70" spans="3:4" x14ac:dyDescent="0.3">
      <c r="C70" s="20" t="s">
        <v>187</v>
      </c>
      <c r="D70">
        <v>25757.760000000002</v>
      </c>
    </row>
    <row r="71" spans="3:4" x14ac:dyDescent="0.3">
      <c r="C71" s="20" t="s">
        <v>86</v>
      </c>
      <c r="D71">
        <v>28730.239999999998</v>
      </c>
    </row>
    <row r="72" spans="3:4" x14ac:dyDescent="0.3">
      <c r="C72" s="20" t="s">
        <v>50</v>
      </c>
      <c r="D72">
        <v>52057.369999979885</v>
      </c>
    </row>
    <row r="73" spans="3:4" x14ac:dyDescent="0.3">
      <c r="C73" s="20" t="s">
        <v>66</v>
      </c>
      <c r="D73">
        <v>157345.0099999806</v>
      </c>
    </row>
    <row r="74" spans="3:4" x14ac:dyDescent="0.3">
      <c r="C74" s="20" t="s">
        <v>114</v>
      </c>
      <c r="D74">
        <v>16442.72</v>
      </c>
    </row>
    <row r="75" spans="3:4" x14ac:dyDescent="0.3">
      <c r="C75" s="20" t="s">
        <v>75</v>
      </c>
      <c r="D75">
        <v>225431.4199999508</v>
      </c>
    </row>
    <row r="76" spans="3:4" x14ac:dyDescent="0.3">
      <c r="C76" s="20" t="s">
        <v>133</v>
      </c>
      <c r="D76">
        <v>124666.71999995381</v>
      </c>
    </row>
    <row r="77" spans="3:4" x14ac:dyDescent="0.3">
      <c r="C77" s="20" t="s">
        <v>97</v>
      </c>
      <c r="D77">
        <v>162040.62999994861</v>
      </c>
    </row>
    <row r="78" spans="3:4" x14ac:dyDescent="0.3">
      <c r="C78" s="20" t="s">
        <v>61</v>
      </c>
      <c r="D78">
        <v>80610.56999999551</v>
      </c>
    </row>
    <row r="79" spans="3:4" x14ac:dyDescent="0.3">
      <c r="C79" s="20" t="s">
        <v>120</v>
      </c>
      <c r="D79">
        <v>149931.36999996423</v>
      </c>
    </row>
    <row r="80" spans="3:4" x14ac:dyDescent="0.3">
      <c r="C80" s="20" t="s">
        <v>55</v>
      </c>
      <c r="D80">
        <v>319408.22999984288</v>
      </c>
    </row>
    <row r="81" spans="3:4" x14ac:dyDescent="0.3">
      <c r="C81" s="20" t="s">
        <v>180</v>
      </c>
      <c r="D81">
        <v>14207.2</v>
      </c>
    </row>
    <row r="82" spans="3:4" x14ac:dyDescent="0.3">
      <c r="C82" s="20" t="s">
        <v>186</v>
      </c>
      <c r="D82">
        <v>28871.360000000001</v>
      </c>
    </row>
    <row r="83" spans="3:4" x14ac:dyDescent="0.3">
      <c r="C83" s="20" t="s">
        <v>155</v>
      </c>
      <c r="D83">
        <v>18896.64</v>
      </c>
    </row>
    <row r="84" spans="3:4" x14ac:dyDescent="0.3">
      <c r="C84" s="20" t="s">
        <v>153</v>
      </c>
      <c r="D84">
        <v>97143.11999997466</v>
      </c>
    </row>
    <row r="85" spans="3:4" x14ac:dyDescent="0.3">
      <c r="C85" s="20" t="s">
        <v>111</v>
      </c>
      <c r="D85">
        <v>99018.079999999987</v>
      </c>
    </row>
    <row r="86" spans="3:4" x14ac:dyDescent="0.3">
      <c r="C86" s="20" t="s">
        <v>40</v>
      </c>
      <c r="D86">
        <v>55010.039999970199</v>
      </c>
    </row>
    <row r="87" spans="3:4" x14ac:dyDescent="0.3">
      <c r="C87" s="20" t="s">
        <v>163</v>
      </c>
      <c r="D87">
        <v>61048.960000000006</v>
      </c>
    </row>
    <row r="88" spans="3:4" x14ac:dyDescent="0.3">
      <c r="C88" s="20" t="s">
        <v>184</v>
      </c>
      <c r="D88">
        <v>19391.679999999997</v>
      </c>
    </row>
    <row r="89" spans="3:4" x14ac:dyDescent="0.3">
      <c r="C89" s="20" t="s">
        <v>172</v>
      </c>
      <c r="D89">
        <v>18333.28</v>
      </c>
    </row>
    <row r="90" spans="3:4" x14ac:dyDescent="0.3">
      <c r="C90" s="20" t="s">
        <v>162</v>
      </c>
      <c r="D90">
        <v>28835.519999999997</v>
      </c>
    </row>
    <row r="91" spans="3:4" x14ac:dyDescent="0.3">
      <c r="C91" s="20" t="s">
        <v>201</v>
      </c>
      <c r="D91">
        <v>7438796.9999978766</v>
      </c>
    </row>
  </sheetData>
  <mergeCells count="1">
    <mergeCell ref="A1:A2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9A224-2400-4331-AC6F-2B88EF861913}">
  <sheetPr codeName="Hoja4">
    <tabColor theme="5"/>
  </sheetPr>
  <dimension ref="A1:N31"/>
  <sheetViews>
    <sheetView showGridLines="0" workbookViewId="0">
      <pane xSplit="1" topLeftCell="B1" activePane="topRight" state="frozen"/>
      <selection pane="topRight" activeCell="D12" sqref="D12"/>
    </sheetView>
  </sheetViews>
  <sheetFormatPr baseColWidth="10" defaultRowHeight="14.4" x14ac:dyDescent="0.3"/>
  <cols>
    <col min="1" max="1" width="20.6640625" customWidth="1"/>
    <col min="2" max="2" width="10.77734375" customWidth="1"/>
    <col min="6" max="6" width="16.44140625" bestFit="1" customWidth="1"/>
  </cols>
  <sheetData>
    <row r="1" spans="1:14" ht="15" customHeight="1" x14ac:dyDescent="0.3">
      <c r="A1" s="28" t="s">
        <v>203</v>
      </c>
    </row>
    <row r="2" spans="1:14" ht="15" customHeight="1" x14ac:dyDescent="0.3">
      <c r="A2" s="28"/>
      <c r="C2" s="1" t="s">
        <v>0</v>
      </c>
      <c r="D2" s="2" t="s">
        <v>1</v>
      </c>
      <c r="E2" s="3" t="s">
        <v>2</v>
      </c>
      <c r="F2" s="4" t="s">
        <v>199</v>
      </c>
      <c r="G2" s="5" t="s">
        <v>4</v>
      </c>
      <c r="H2" s="5" t="s">
        <v>5</v>
      </c>
      <c r="I2" s="5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</row>
    <row r="3" spans="1:14" ht="15" customHeight="1" x14ac:dyDescent="0.3">
      <c r="A3" s="21"/>
      <c r="C3" s="6">
        <v>43650</v>
      </c>
      <c r="D3" s="7" t="s">
        <v>12</v>
      </c>
      <c r="E3" s="8">
        <v>2019</v>
      </c>
      <c r="F3" s="9" t="s">
        <v>13</v>
      </c>
      <c r="G3" s="9" t="s">
        <v>14</v>
      </c>
      <c r="H3" s="10" t="s">
        <v>15</v>
      </c>
      <c r="I3" s="7">
        <v>25</v>
      </c>
      <c r="J3" s="11">
        <v>72</v>
      </c>
      <c r="K3" s="11">
        <f>J3*I3</f>
        <v>1800</v>
      </c>
      <c r="L3" s="11">
        <v>0</v>
      </c>
      <c r="M3" s="11">
        <v>216</v>
      </c>
      <c r="N3" s="11">
        <f>K3-L3+M3</f>
        <v>2016</v>
      </c>
    </row>
    <row r="4" spans="1:14" ht="15" customHeight="1" x14ac:dyDescent="0.3">
      <c r="A4" s="21"/>
      <c r="C4" s="6">
        <v>43650</v>
      </c>
      <c r="D4" s="7" t="s">
        <v>12</v>
      </c>
      <c r="E4" s="8">
        <v>2019</v>
      </c>
      <c r="F4" s="9" t="s">
        <v>13</v>
      </c>
      <c r="G4" s="9" t="s">
        <v>16</v>
      </c>
      <c r="H4" s="10" t="s">
        <v>17</v>
      </c>
      <c r="I4" s="7">
        <v>33</v>
      </c>
      <c r="J4" s="11">
        <v>40</v>
      </c>
      <c r="K4" s="11">
        <f t="shared" ref="K4:K27" si="0">J4*I4</f>
        <v>1320</v>
      </c>
      <c r="L4" s="11">
        <v>0</v>
      </c>
      <c r="M4" s="11">
        <v>158.4</v>
      </c>
      <c r="N4" s="11">
        <f t="shared" ref="N4:N27" si="1">K4-L4+M4</f>
        <v>1478.4</v>
      </c>
    </row>
    <row r="5" spans="1:14" ht="15" customHeight="1" x14ac:dyDescent="0.3">
      <c r="A5" s="21"/>
      <c r="C5" s="6">
        <v>43650</v>
      </c>
      <c r="D5" s="7" t="s">
        <v>12</v>
      </c>
      <c r="E5" s="8">
        <v>2019</v>
      </c>
      <c r="F5" s="9" t="s">
        <v>13</v>
      </c>
      <c r="G5" s="9" t="s">
        <v>14</v>
      </c>
      <c r="H5" s="10" t="s">
        <v>18</v>
      </c>
      <c r="I5" s="7">
        <v>3</v>
      </c>
      <c r="J5" s="11">
        <v>57</v>
      </c>
      <c r="K5" s="11">
        <f t="shared" si="0"/>
        <v>171</v>
      </c>
      <c r="L5" s="11">
        <v>0</v>
      </c>
      <c r="M5" s="11">
        <v>20.52</v>
      </c>
      <c r="N5" s="11">
        <f t="shared" si="1"/>
        <v>191.52</v>
      </c>
    </row>
    <row r="6" spans="1:14" ht="15" customHeight="1" x14ac:dyDescent="0.3">
      <c r="A6" s="21"/>
      <c r="C6" s="6">
        <v>43651</v>
      </c>
      <c r="D6" s="7" t="s">
        <v>12</v>
      </c>
      <c r="E6" s="8">
        <v>2019</v>
      </c>
      <c r="F6" s="9" t="s">
        <v>19</v>
      </c>
      <c r="G6" s="9" t="s">
        <v>20</v>
      </c>
      <c r="H6" s="10" t="s">
        <v>21</v>
      </c>
      <c r="I6" s="7">
        <v>98</v>
      </c>
      <c r="J6" s="11">
        <v>84</v>
      </c>
      <c r="K6" s="11">
        <f t="shared" si="0"/>
        <v>8232</v>
      </c>
      <c r="L6" s="11">
        <v>0</v>
      </c>
      <c r="M6" s="11">
        <v>987.83999999999992</v>
      </c>
      <c r="N6" s="11">
        <f t="shared" si="1"/>
        <v>9219.84</v>
      </c>
    </row>
    <row r="7" spans="1:14" ht="15" customHeight="1" x14ac:dyDescent="0.3">
      <c r="A7" s="21"/>
      <c r="C7" s="6">
        <v>43651</v>
      </c>
      <c r="D7" s="7" t="s">
        <v>12</v>
      </c>
      <c r="E7" s="8">
        <v>2019</v>
      </c>
      <c r="F7" s="9" t="s">
        <v>19</v>
      </c>
      <c r="G7" s="9" t="s">
        <v>20</v>
      </c>
      <c r="H7" s="10" t="s">
        <v>22</v>
      </c>
      <c r="I7" s="7">
        <v>93</v>
      </c>
      <c r="J7" s="11">
        <v>10</v>
      </c>
      <c r="K7" s="11">
        <f t="shared" si="0"/>
        <v>930</v>
      </c>
      <c r="L7" s="11">
        <v>0</v>
      </c>
      <c r="M7" s="11">
        <v>111.6</v>
      </c>
      <c r="N7" s="11">
        <f t="shared" si="1"/>
        <v>1041.5999999999999</v>
      </c>
    </row>
    <row r="8" spans="1:14" ht="15" customHeight="1" x14ac:dyDescent="0.3">
      <c r="A8" s="21"/>
      <c r="C8" s="6">
        <v>43654</v>
      </c>
      <c r="D8" s="7" t="s">
        <v>12</v>
      </c>
      <c r="E8" s="8">
        <v>2019</v>
      </c>
      <c r="F8" s="9" t="s">
        <v>23</v>
      </c>
      <c r="G8" s="9" t="s">
        <v>24</v>
      </c>
      <c r="H8" s="10" t="s">
        <v>25</v>
      </c>
      <c r="I8" s="7">
        <v>88</v>
      </c>
      <c r="J8" s="11">
        <v>76</v>
      </c>
      <c r="K8" s="11">
        <f t="shared" si="0"/>
        <v>6688</v>
      </c>
      <c r="L8" s="11">
        <v>0</v>
      </c>
      <c r="M8" s="11">
        <v>802.56</v>
      </c>
      <c r="N8" s="11">
        <f t="shared" si="1"/>
        <v>7490.5599999999995</v>
      </c>
    </row>
    <row r="9" spans="1:14" ht="15" customHeight="1" x14ac:dyDescent="0.3">
      <c r="A9" s="21"/>
      <c r="C9" s="6">
        <v>43654</v>
      </c>
      <c r="D9" s="7" t="s">
        <v>12</v>
      </c>
      <c r="E9" s="8">
        <v>2019</v>
      </c>
      <c r="F9" s="9" t="s">
        <v>23</v>
      </c>
      <c r="G9" s="9" t="s">
        <v>20</v>
      </c>
      <c r="H9" s="10" t="s">
        <v>22</v>
      </c>
      <c r="I9" s="7">
        <v>24</v>
      </c>
      <c r="J9" s="11">
        <v>13</v>
      </c>
      <c r="K9" s="11">
        <f t="shared" si="0"/>
        <v>312</v>
      </c>
      <c r="L9" s="11">
        <v>0.15000000596046401</v>
      </c>
      <c r="M9" s="11">
        <v>37.44</v>
      </c>
      <c r="N9" s="11">
        <f t="shared" si="1"/>
        <v>349.28999999403953</v>
      </c>
    </row>
    <row r="10" spans="1:14" ht="15" customHeight="1" x14ac:dyDescent="0.3">
      <c r="A10" s="21"/>
      <c r="C10" s="6">
        <v>43654</v>
      </c>
      <c r="D10" s="7" t="s">
        <v>12</v>
      </c>
      <c r="E10" s="8">
        <v>2019</v>
      </c>
      <c r="F10" s="9" t="s">
        <v>23</v>
      </c>
      <c r="G10" s="9" t="s">
        <v>26</v>
      </c>
      <c r="H10" s="10" t="s">
        <v>27</v>
      </c>
      <c r="I10" s="7">
        <v>34</v>
      </c>
      <c r="J10" s="11">
        <v>55</v>
      </c>
      <c r="K10" s="11">
        <f t="shared" si="0"/>
        <v>1870</v>
      </c>
      <c r="L10" s="11">
        <v>0.15000000596046401</v>
      </c>
      <c r="M10" s="11">
        <v>224.4</v>
      </c>
      <c r="N10" s="11">
        <f t="shared" si="1"/>
        <v>2094.2499999940396</v>
      </c>
    </row>
    <row r="11" spans="1:14" ht="15" customHeight="1" x14ac:dyDescent="0.3">
      <c r="A11" s="21"/>
      <c r="C11" s="6">
        <v>43654</v>
      </c>
      <c r="D11" s="7" t="s">
        <v>12</v>
      </c>
      <c r="E11" s="8">
        <v>2019</v>
      </c>
      <c r="F11" s="9" t="s">
        <v>28</v>
      </c>
      <c r="G11" s="9" t="s">
        <v>16</v>
      </c>
      <c r="H11" s="10" t="s">
        <v>29</v>
      </c>
      <c r="I11" s="7">
        <v>37</v>
      </c>
      <c r="J11" s="11">
        <v>34</v>
      </c>
      <c r="K11" s="11">
        <f t="shared" si="0"/>
        <v>1258</v>
      </c>
      <c r="L11" s="11">
        <v>5.0000000745058101E-2</v>
      </c>
      <c r="M11" s="11">
        <v>150.96</v>
      </c>
      <c r="N11" s="11">
        <f t="shared" si="1"/>
        <v>1408.909999999255</v>
      </c>
    </row>
    <row r="12" spans="1:14" ht="15" customHeight="1" x14ac:dyDescent="0.3">
      <c r="A12" s="21"/>
      <c r="C12" s="6">
        <v>43654</v>
      </c>
      <c r="D12" s="7" t="s">
        <v>12</v>
      </c>
      <c r="E12" s="8">
        <v>2019</v>
      </c>
      <c r="F12" s="9" t="s">
        <v>28</v>
      </c>
      <c r="G12" s="9" t="s">
        <v>16</v>
      </c>
      <c r="H12" s="10" t="s">
        <v>30</v>
      </c>
      <c r="I12" s="7">
        <v>28</v>
      </c>
      <c r="J12" s="11">
        <v>24</v>
      </c>
      <c r="K12" s="11">
        <f t="shared" si="0"/>
        <v>672</v>
      </c>
      <c r="L12" s="11">
        <v>5.0000000745058101E-2</v>
      </c>
      <c r="M12" s="11">
        <v>80.64</v>
      </c>
      <c r="N12" s="11">
        <f t="shared" si="1"/>
        <v>752.58999999925493</v>
      </c>
    </row>
    <row r="13" spans="1:14" ht="15" customHeight="1" x14ac:dyDescent="0.3">
      <c r="A13" s="21"/>
      <c r="C13" s="6">
        <v>43654</v>
      </c>
      <c r="D13" s="7" t="s">
        <v>12</v>
      </c>
      <c r="E13" s="8">
        <v>2019</v>
      </c>
      <c r="F13" s="9" t="s">
        <v>28</v>
      </c>
      <c r="G13" s="9" t="s">
        <v>26</v>
      </c>
      <c r="H13" s="10" t="s">
        <v>27</v>
      </c>
      <c r="I13" s="7">
        <v>34</v>
      </c>
      <c r="J13" s="11">
        <v>84</v>
      </c>
      <c r="K13" s="11">
        <f t="shared" si="0"/>
        <v>2856</v>
      </c>
      <c r="L13" s="11">
        <v>0</v>
      </c>
      <c r="M13" s="11">
        <v>342.71999999999997</v>
      </c>
      <c r="N13" s="11">
        <f t="shared" si="1"/>
        <v>3198.72</v>
      </c>
    </row>
    <row r="14" spans="1:14" ht="15" customHeight="1" x14ac:dyDescent="0.3">
      <c r="A14" s="21"/>
      <c r="C14" s="6">
        <v>43655</v>
      </c>
      <c r="D14" s="7" t="s">
        <v>12</v>
      </c>
      <c r="E14" s="8">
        <v>2019</v>
      </c>
      <c r="F14" s="9" t="s">
        <v>31</v>
      </c>
      <c r="G14" s="9" t="s">
        <v>32</v>
      </c>
      <c r="H14" s="10" t="s">
        <v>33</v>
      </c>
      <c r="I14" s="7">
        <v>90</v>
      </c>
      <c r="J14" s="11">
        <v>63</v>
      </c>
      <c r="K14" s="11">
        <f t="shared" si="0"/>
        <v>5670</v>
      </c>
      <c r="L14" s="11">
        <v>5.0000000745058101E-2</v>
      </c>
      <c r="M14" s="11">
        <v>680.4</v>
      </c>
      <c r="N14" s="11">
        <f t="shared" si="1"/>
        <v>6350.3499999992546</v>
      </c>
    </row>
    <row r="15" spans="1:14" ht="15" customHeight="1" x14ac:dyDescent="0.3">
      <c r="A15" s="21"/>
      <c r="C15" s="6">
        <v>43655</v>
      </c>
      <c r="D15" s="7" t="s">
        <v>12</v>
      </c>
      <c r="E15" s="8">
        <v>2019</v>
      </c>
      <c r="F15" s="9" t="s">
        <v>31</v>
      </c>
      <c r="G15" s="9" t="s">
        <v>14</v>
      </c>
      <c r="H15" s="10" t="s">
        <v>34</v>
      </c>
      <c r="I15" s="7">
        <v>47</v>
      </c>
      <c r="J15" s="11">
        <v>26</v>
      </c>
      <c r="K15" s="11">
        <f t="shared" si="0"/>
        <v>1222</v>
      </c>
      <c r="L15" s="11">
        <v>5.0000000745058101E-2</v>
      </c>
      <c r="M15" s="11">
        <v>146.63999999999999</v>
      </c>
      <c r="N15" s="11">
        <f t="shared" si="1"/>
        <v>1368.5899999992548</v>
      </c>
    </row>
    <row r="16" spans="1:14" ht="15" customHeight="1" x14ac:dyDescent="0.3">
      <c r="A16" s="21"/>
      <c r="C16" s="6">
        <v>43655</v>
      </c>
      <c r="D16" s="7" t="s">
        <v>12</v>
      </c>
      <c r="E16" s="8">
        <v>2019</v>
      </c>
      <c r="F16" s="9" t="s">
        <v>31</v>
      </c>
      <c r="G16" s="9" t="s">
        <v>14</v>
      </c>
      <c r="H16" s="10" t="s">
        <v>35</v>
      </c>
      <c r="I16" s="7">
        <v>57</v>
      </c>
      <c r="J16" s="11">
        <v>18</v>
      </c>
      <c r="K16" s="11">
        <f t="shared" si="0"/>
        <v>1026</v>
      </c>
      <c r="L16" s="11">
        <v>0</v>
      </c>
      <c r="M16" s="11">
        <v>123.11999999999999</v>
      </c>
      <c r="N16" s="11">
        <f t="shared" si="1"/>
        <v>1149.1199999999999</v>
      </c>
    </row>
    <row r="17" spans="1:14" ht="15" customHeight="1" x14ac:dyDescent="0.3">
      <c r="A17" s="21"/>
      <c r="C17" s="6">
        <v>43656</v>
      </c>
      <c r="D17" s="7" t="s">
        <v>12</v>
      </c>
      <c r="E17" s="8">
        <v>2019</v>
      </c>
      <c r="F17" s="9" t="s">
        <v>23</v>
      </c>
      <c r="G17" s="9" t="s">
        <v>14</v>
      </c>
      <c r="H17" s="10" t="s">
        <v>36</v>
      </c>
      <c r="I17" s="7">
        <v>42</v>
      </c>
      <c r="J17" s="11">
        <v>31</v>
      </c>
      <c r="K17" s="11">
        <f t="shared" si="0"/>
        <v>1302</v>
      </c>
      <c r="L17" s="11">
        <v>0</v>
      </c>
      <c r="M17" s="11">
        <v>156.23999999999998</v>
      </c>
      <c r="N17" s="11">
        <f t="shared" si="1"/>
        <v>1458.24</v>
      </c>
    </row>
    <row r="18" spans="1:14" ht="15" customHeight="1" x14ac:dyDescent="0.3">
      <c r="A18" s="21"/>
      <c r="C18" s="6">
        <v>43656</v>
      </c>
      <c r="D18" s="7" t="s">
        <v>12</v>
      </c>
      <c r="E18" s="8">
        <v>2019</v>
      </c>
      <c r="F18" s="9" t="s">
        <v>23</v>
      </c>
      <c r="G18" s="9" t="s">
        <v>37</v>
      </c>
      <c r="H18" s="10" t="s">
        <v>38</v>
      </c>
      <c r="I18" s="7">
        <v>3</v>
      </c>
      <c r="J18" s="11">
        <v>87</v>
      </c>
      <c r="K18" s="11">
        <f t="shared" si="0"/>
        <v>261</v>
      </c>
      <c r="L18" s="11">
        <v>0</v>
      </c>
      <c r="M18" s="11">
        <v>31.32</v>
      </c>
      <c r="N18" s="11">
        <f t="shared" si="1"/>
        <v>292.32</v>
      </c>
    </row>
    <row r="19" spans="1:14" ht="15" customHeight="1" x14ac:dyDescent="0.3">
      <c r="A19" s="21"/>
      <c r="C19" s="6">
        <v>43656</v>
      </c>
      <c r="D19" s="7" t="s">
        <v>12</v>
      </c>
      <c r="E19" s="8">
        <v>2019</v>
      </c>
      <c r="F19" s="9" t="s">
        <v>23</v>
      </c>
      <c r="G19" s="9" t="s">
        <v>32</v>
      </c>
      <c r="H19" s="10" t="s">
        <v>39</v>
      </c>
      <c r="I19" s="7">
        <v>42</v>
      </c>
      <c r="J19" s="11">
        <v>69</v>
      </c>
      <c r="K19" s="11">
        <f t="shared" si="0"/>
        <v>2898</v>
      </c>
      <c r="L19" s="11">
        <v>0</v>
      </c>
      <c r="M19" s="11">
        <v>347.76</v>
      </c>
      <c r="N19" s="11">
        <f t="shared" si="1"/>
        <v>3245.76</v>
      </c>
    </row>
    <row r="20" spans="1:14" ht="15" customHeight="1" x14ac:dyDescent="0.3">
      <c r="A20" s="21"/>
      <c r="C20" s="6">
        <v>43657</v>
      </c>
      <c r="D20" s="7" t="s">
        <v>12</v>
      </c>
      <c r="E20" s="8">
        <v>2019</v>
      </c>
      <c r="F20" s="9" t="s">
        <v>40</v>
      </c>
      <c r="G20" s="9" t="s">
        <v>37</v>
      </c>
      <c r="H20" s="10" t="s">
        <v>41</v>
      </c>
      <c r="I20" s="7">
        <v>86</v>
      </c>
      <c r="J20" s="11">
        <v>12</v>
      </c>
      <c r="K20" s="11">
        <f t="shared" si="0"/>
        <v>1032</v>
      </c>
      <c r="L20" s="11">
        <v>0.15000000596046401</v>
      </c>
      <c r="M20" s="11">
        <v>123.83999999999999</v>
      </c>
      <c r="N20" s="11">
        <f t="shared" si="1"/>
        <v>1155.6899999940395</v>
      </c>
    </row>
    <row r="21" spans="1:14" ht="15" customHeight="1" x14ac:dyDescent="0.3">
      <c r="A21" s="21"/>
      <c r="C21" s="6">
        <v>43657</v>
      </c>
      <c r="D21" s="7" t="s">
        <v>12</v>
      </c>
      <c r="E21" s="8">
        <v>2019</v>
      </c>
      <c r="F21" s="9" t="s">
        <v>40</v>
      </c>
      <c r="G21" s="9" t="s">
        <v>42</v>
      </c>
      <c r="H21" s="10" t="s">
        <v>43</v>
      </c>
      <c r="I21" s="7">
        <v>9</v>
      </c>
      <c r="J21" s="11">
        <v>23</v>
      </c>
      <c r="K21" s="11">
        <f t="shared" si="0"/>
        <v>207</v>
      </c>
      <c r="L21" s="11">
        <v>0.15000000596046401</v>
      </c>
      <c r="M21" s="11">
        <v>24.84</v>
      </c>
      <c r="N21" s="11">
        <f t="shared" si="1"/>
        <v>231.68999999403954</v>
      </c>
    </row>
    <row r="22" spans="1:14" ht="15" customHeight="1" x14ac:dyDescent="0.3">
      <c r="A22" s="21"/>
      <c r="C22" s="6">
        <v>43657</v>
      </c>
      <c r="D22" s="7" t="s">
        <v>12</v>
      </c>
      <c r="E22" s="8">
        <v>2019</v>
      </c>
      <c r="F22" s="9" t="s">
        <v>40</v>
      </c>
      <c r="G22" s="9" t="s">
        <v>20</v>
      </c>
      <c r="H22" s="10" t="s">
        <v>44</v>
      </c>
      <c r="I22" s="7">
        <v>46</v>
      </c>
      <c r="J22" s="11">
        <v>63</v>
      </c>
      <c r="K22" s="11">
        <f t="shared" si="0"/>
        <v>2898</v>
      </c>
      <c r="L22" s="11">
        <v>0</v>
      </c>
      <c r="M22" s="11">
        <v>347.76</v>
      </c>
      <c r="N22" s="11">
        <f t="shared" si="1"/>
        <v>3245.76</v>
      </c>
    </row>
    <row r="23" spans="1:14" ht="15" customHeight="1" x14ac:dyDescent="0.3">
      <c r="A23" s="21"/>
      <c r="C23" s="6">
        <v>43658</v>
      </c>
      <c r="D23" s="7" t="s">
        <v>12</v>
      </c>
      <c r="E23" s="8">
        <v>2019</v>
      </c>
      <c r="F23" s="9" t="s">
        <v>45</v>
      </c>
      <c r="G23" s="9" t="s">
        <v>37</v>
      </c>
      <c r="H23" s="10" t="s">
        <v>46</v>
      </c>
      <c r="I23" s="7">
        <v>80</v>
      </c>
      <c r="J23" s="11">
        <v>91</v>
      </c>
      <c r="K23" s="11">
        <f t="shared" si="0"/>
        <v>7280</v>
      </c>
      <c r="L23" s="11">
        <v>0</v>
      </c>
      <c r="M23" s="11">
        <v>873.6</v>
      </c>
      <c r="N23" s="11">
        <f t="shared" si="1"/>
        <v>8153.6</v>
      </c>
    </row>
    <row r="24" spans="1:14" ht="15" customHeight="1" x14ac:dyDescent="0.3">
      <c r="A24" s="21"/>
      <c r="C24" s="6">
        <v>43658</v>
      </c>
      <c r="D24" s="7" t="s">
        <v>12</v>
      </c>
      <c r="E24" s="8">
        <v>2019</v>
      </c>
      <c r="F24" s="9" t="s">
        <v>45</v>
      </c>
      <c r="G24" s="9" t="s">
        <v>32</v>
      </c>
      <c r="H24" s="10" t="s">
        <v>47</v>
      </c>
      <c r="I24" s="7">
        <v>32</v>
      </c>
      <c r="J24" s="11">
        <v>48</v>
      </c>
      <c r="K24" s="11">
        <f t="shared" si="0"/>
        <v>1536</v>
      </c>
      <c r="L24" s="11">
        <v>0</v>
      </c>
      <c r="M24" s="11">
        <v>184.32</v>
      </c>
      <c r="N24" s="11">
        <f t="shared" si="1"/>
        <v>1720.32</v>
      </c>
    </row>
    <row r="25" spans="1:14" ht="15" customHeight="1" x14ac:dyDescent="0.3">
      <c r="A25" s="21"/>
      <c r="C25" s="6">
        <v>43658</v>
      </c>
      <c r="D25" s="7" t="s">
        <v>12</v>
      </c>
      <c r="E25" s="8">
        <v>2019</v>
      </c>
      <c r="F25" s="9" t="s">
        <v>45</v>
      </c>
      <c r="G25" s="9" t="s">
        <v>24</v>
      </c>
      <c r="H25" s="10" t="s">
        <v>48</v>
      </c>
      <c r="I25" s="7">
        <v>38</v>
      </c>
      <c r="J25" s="11">
        <v>54</v>
      </c>
      <c r="K25" s="11">
        <f t="shared" si="0"/>
        <v>2052</v>
      </c>
      <c r="L25" s="11">
        <v>0</v>
      </c>
      <c r="M25" s="11">
        <v>246.23999999999998</v>
      </c>
      <c r="N25" s="11">
        <f t="shared" si="1"/>
        <v>2298.2399999999998</v>
      </c>
    </row>
    <row r="26" spans="1:14" ht="15" customHeight="1" x14ac:dyDescent="0.3">
      <c r="A26" s="21"/>
      <c r="C26" s="6">
        <v>43658</v>
      </c>
      <c r="D26" s="7" t="s">
        <v>12</v>
      </c>
      <c r="E26" s="8">
        <v>2019</v>
      </c>
      <c r="F26" s="9" t="s">
        <v>45</v>
      </c>
      <c r="G26" s="9" t="s">
        <v>14</v>
      </c>
      <c r="H26" s="10" t="s">
        <v>49</v>
      </c>
      <c r="I26" s="7">
        <v>70</v>
      </c>
      <c r="J26" s="11">
        <v>40</v>
      </c>
      <c r="K26" s="11">
        <f t="shared" si="0"/>
        <v>2800</v>
      </c>
      <c r="L26" s="11">
        <v>0</v>
      </c>
      <c r="M26" s="11">
        <v>336</v>
      </c>
      <c r="N26" s="11">
        <f t="shared" si="1"/>
        <v>3136</v>
      </c>
    </row>
    <row r="27" spans="1:14" x14ac:dyDescent="0.3">
      <c r="A27" s="21"/>
      <c r="C27" s="6">
        <v>43661</v>
      </c>
      <c r="D27" s="7" t="s">
        <v>12</v>
      </c>
      <c r="E27" s="8">
        <v>2019</v>
      </c>
      <c r="F27" s="9" t="s">
        <v>50</v>
      </c>
      <c r="G27" s="9" t="s">
        <v>42</v>
      </c>
      <c r="H27" s="10" t="s">
        <v>51</v>
      </c>
      <c r="I27" s="7">
        <v>32</v>
      </c>
      <c r="J27" s="11">
        <v>52</v>
      </c>
      <c r="K27" s="11">
        <f t="shared" si="0"/>
        <v>1664</v>
      </c>
      <c r="L27" s="11">
        <v>0</v>
      </c>
      <c r="M27" s="11">
        <v>199.68</v>
      </c>
      <c r="N27" s="11">
        <f t="shared" si="1"/>
        <v>1863.68</v>
      </c>
    </row>
    <row r="28" spans="1:14" x14ac:dyDescent="0.3">
      <c r="A28" s="21"/>
    </row>
    <row r="29" spans="1:14" x14ac:dyDescent="0.3">
      <c r="A29" s="21"/>
    </row>
    <row r="30" spans="1:14" x14ac:dyDescent="0.3">
      <c r="A30" s="21"/>
    </row>
    <row r="31" spans="1:14" x14ac:dyDescent="0.3">
      <c r="A31" s="21"/>
    </row>
  </sheetData>
  <mergeCells count="1">
    <mergeCell ref="A1:A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ConsultaFiltro</vt:lpstr>
      <vt:lpstr>BaseDeDatos</vt:lpstr>
      <vt:lpstr>TablaDinamica</vt:lpstr>
      <vt:lpstr>TablaFormato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Teran</dc:creator>
  <cp:lastModifiedBy>Francisco Teran</cp:lastModifiedBy>
  <dcterms:created xsi:type="dcterms:W3CDTF">2022-10-28T11:57:43Z</dcterms:created>
  <dcterms:modified xsi:type="dcterms:W3CDTF">2022-11-02T22:39:14Z</dcterms:modified>
</cp:coreProperties>
</file>